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eova\.gemini\antigravity\scratch\"/>
    </mc:Choice>
  </mc:AlternateContent>
  <xr:revisionPtr revIDLastSave="0" documentId="13_ncr:1_{81765D97-89C5-4873-8B5B-F2E9386426E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CORNISH FISH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4" i="1" l="1"/>
  <c r="D84" i="1"/>
  <c r="F83" i="1"/>
  <c r="D83" i="1"/>
  <c r="F82" i="1"/>
  <c r="D82" i="1"/>
  <c r="F81" i="1"/>
  <c r="D81" i="1"/>
  <c r="F80" i="1"/>
  <c r="D80" i="1"/>
  <c r="F79" i="1"/>
  <c r="D79" i="1"/>
  <c r="F78" i="1"/>
  <c r="D78" i="1"/>
  <c r="F77" i="1"/>
  <c r="D77" i="1"/>
  <c r="F76" i="1"/>
  <c r="D76" i="1"/>
  <c r="F75" i="1"/>
  <c r="D75" i="1"/>
  <c r="F74" i="1"/>
  <c r="D74" i="1"/>
  <c r="F73" i="1"/>
  <c r="D73" i="1"/>
  <c r="F72" i="1"/>
  <c r="D72" i="1"/>
  <c r="F71" i="1"/>
  <c r="D71" i="1"/>
  <c r="F70" i="1"/>
  <c r="D70" i="1"/>
  <c r="F69" i="1"/>
  <c r="D69" i="1"/>
  <c r="F68" i="1"/>
  <c r="D68" i="1"/>
  <c r="F67" i="1"/>
  <c r="D67" i="1"/>
  <c r="F66" i="1"/>
  <c r="D66" i="1"/>
  <c r="F65" i="1"/>
  <c r="D65" i="1"/>
  <c r="F64" i="1"/>
  <c r="D64" i="1"/>
  <c r="F63" i="1"/>
  <c r="D63" i="1"/>
  <c r="F62" i="1"/>
  <c r="D62" i="1"/>
  <c r="F61" i="1"/>
  <c r="D61" i="1"/>
  <c r="F60" i="1"/>
  <c r="D60" i="1"/>
  <c r="F59" i="1"/>
  <c r="D59" i="1"/>
  <c r="F58" i="1"/>
  <c r="D58" i="1"/>
  <c r="F57" i="1"/>
  <c r="D57" i="1"/>
  <c r="F56" i="1"/>
  <c r="D56" i="1"/>
  <c r="F55" i="1"/>
  <c r="D55" i="1"/>
  <c r="F54" i="1"/>
  <c r="D54" i="1"/>
  <c r="F53" i="1"/>
  <c r="D53" i="1"/>
  <c r="F52" i="1"/>
  <c r="D52" i="1"/>
  <c r="N51" i="1"/>
  <c r="F51" i="1"/>
  <c r="D51" i="1"/>
  <c r="F50" i="1"/>
  <c r="D50" i="1"/>
  <c r="F49" i="1"/>
  <c r="D49" i="1"/>
  <c r="F48" i="1"/>
  <c r="D48" i="1"/>
  <c r="F47" i="1"/>
  <c r="D47" i="1"/>
  <c r="F46" i="1"/>
  <c r="D46" i="1"/>
  <c r="N45" i="1"/>
  <c r="F45" i="1"/>
  <c r="D45" i="1"/>
  <c r="F44" i="1"/>
  <c r="D44" i="1"/>
  <c r="F43" i="1"/>
  <c r="D43" i="1"/>
  <c r="F42" i="1"/>
  <c r="D42" i="1"/>
  <c r="F41" i="1"/>
  <c r="D41" i="1"/>
  <c r="F40" i="1"/>
  <c r="D40" i="1"/>
  <c r="N39" i="1"/>
  <c r="F39" i="1"/>
  <c r="D39" i="1"/>
  <c r="F38" i="1"/>
  <c r="D38" i="1"/>
  <c r="F37" i="1"/>
  <c r="D37" i="1"/>
  <c r="F36" i="1"/>
  <c r="D36" i="1"/>
  <c r="F35" i="1"/>
  <c r="D35" i="1"/>
  <c r="F34" i="1"/>
  <c r="D34" i="1"/>
  <c r="F33" i="1"/>
  <c r="D33" i="1"/>
  <c r="F32" i="1"/>
  <c r="D32" i="1"/>
  <c r="F31" i="1"/>
  <c r="D31" i="1"/>
  <c r="F30" i="1"/>
  <c r="D30" i="1"/>
  <c r="N29" i="1"/>
  <c r="F29" i="1"/>
  <c r="D29" i="1"/>
  <c r="F28" i="1"/>
  <c r="D28" i="1"/>
  <c r="F27" i="1"/>
  <c r="D27" i="1"/>
  <c r="F26" i="1"/>
  <c r="D26" i="1"/>
  <c r="F25" i="1"/>
  <c r="D25" i="1"/>
  <c r="F24" i="1"/>
  <c r="D24" i="1"/>
  <c r="N23" i="1"/>
  <c r="F23" i="1"/>
  <c r="D23" i="1"/>
  <c r="F22" i="1"/>
  <c r="D22" i="1"/>
  <c r="F21" i="1"/>
  <c r="D21" i="1"/>
  <c r="F20" i="1"/>
  <c r="D20" i="1"/>
  <c r="F19" i="1"/>
  <c r="D19" i="1"/>
  <c r="F18" i="1"/>
  <c r="D18" i="1"/>
  <c r="N17" i="1"/>
  <c r="F17" i="1"/>
  <c r="D17" i="1"/>
  <c r="F16" i="1"/>
  <c r="D16" i="1"/>
  <c r="F15" i="1"/>
  <c r="D15" i="1"/>
  <c r="F14" i="1"/>
  <c r="D14" i="1"/>
  <c r="F13" i="1"/>
  <c r="D13" i="1"/>
  <c r="N12" i="1"/>
  <c r="M12" i="1"/>
  <c r="F12" i="1"/>
  <c r="D12" i="1"/>
  <c r="N11" i="1"/>
  <c r="M11" i="1"/>
  <c r="F11" i="1"/>
  <c r="D11" i="1"/>
  <c r="N10" i="1"/>
  <c r="M10" i="1"/>
  <c r="F10" i="1"/>
  <c r="D10" i="1"/>
  <c r="F9" i="1"/>
  <c r="D9" i="1"/>
  <c r="F8" i="1"/>
  <c r="D8" i="1"/>
  <c r="F7" i="1"/>
  <c r="D7" i="1"/>
  <c r="F6" i="1"/>
  <c r="J4" i="1" s="1"/>
  <c r="D6" i="1"/>
  <c r="I6" i="1" s="1"/>
  <c r="F5" i="1"/>
  <c r="J8" i="1" s="1"/>
  <c r="D5" i="1"/>
  <c r="I8" i="1" s="1"/>
  <c r="N48" i="1" l="1"/>
  <c r="J6" i="1"/>
  <c r="N42" i="1"/>
  <c r="N20" i="1"/>
  <c r="J7" i="1"/>
  <c r="I9" i="1"/>
  <c r="N31" i="1" s="1"/>
  <c r="J9" i="1"/>
  <c r="N47" i="1" s="1"/>
  <c r="N49" i="1" s="1"/>
  <c r="N50" i="1" s="1"/>
  <c r="N30" i="1"/>
  <c r="N33" i="1" s="1"/>
  <c r="N34" i="1" s="1"/>
  <c r="I4" i="1"/>
  <c r="I10" i="1"/>
  <c r="J10" i="1"/>
  <c r="J5" i="1"/>
  <c r="N26" i="1"/>
  <c r="N54" i="1"/>
  <c r="N32" i="1"/>
  <c r="N40" i="1"/>
  <c r="N18" i="1"/>
  <c r="N46" i="1"/>
  <c r="N24" i="1"/>
  <c r="N52" i="1"/>
  <c r="I7" i="1"/>
  <c r="I5" i="1"/>
  <c r="N53" i="1" l="1"/>
  <c r="N55" i="1" s="1"/>
  <c r="N56" i="1" s="1"/>
  <c r="N41" i="1"/>
  <c r="N43" i="1" s="1"/>
  <c r="N44" i="1" s="1"/>
  <c r="N25" i="1"/>
  <c r="N27" i="1" s="1"/>
  <c r="N28" i="1" s="1"/>
  <c r="N19" i="1"/>
  <c r="N21" i="1" s="1"/>
  <c r="N22" i="1" s="1"/>
  <c r="U15" i="1"/>
  <c r="U9" i="1"/>
  <c r="U4" i="1"/>
  <c r="V9" i="1"/>
  <c r="V4" i="1"/>
  <c r="V15" i="1"/>
  <c r="S10" i="1"/>
  <c r="T10" i="1"/>
  <c r="T5" i="1"/>
  <c r="S5" i="1"/>
  <c r="S16" i="1"/>
  <c r="T16" i="1"/>
  <c r="Q15" i="1" l="1"/>
  <c r="Q9" i="1"/>
  <c r="R9" i="1"/>
  <c r="R4" i="1"/>
  <c r="Q4" i="1"/>
  <c r="R15" i="1"/>
  <c r="T15" i="1"/>
  <c r="T9" i="1"/>
  <c r="T4" i="1"/>
  <c r="S4" i="1"/>
  <c r="S9" i="1"/>
  <c r="S15" i="1"/>
  <c r="Q5" i="1"/>
  <c r="R16" i="1"/>
  <c r="R10" i="1"/>
  <c r="Q10" i="1"/>
  <c r="Q16" i="1"/>
  <c r="R5" i="1"/>
  <c r="U10" i="1"/>
  <c r="V5" i="1"/>
  <c r="U5" i="1"/>
  <c r="V10" i="1"/>
  <c r="V16" i="1"/>
  <c r="U16" i="1"/>
</calcChain>
</file>

<file path=xl/sharedStrings.xml><?xml version="1.0" encoding="utf-8"?>
<sst xmlns="http://schemas.openxmlformats.org/spreadsheetml/2006/main" count="189" uniqueCount="127">
  <si>
    <t>STOCK</t>
  </si>
  <si>
    <t>Statistik Deskriptif</t>
  </si>
  <si>
    <t>Parameters</t>
  </si>
  <si>
    <t>Value at Risk (VaR) 1 HARI</t>
  </si>
  <si>
    <t>Date</t>
  </si>
  <si>
    <t>ASII Price</t>
  </si>
  <si>
    <t>ASII Log Return</t>
  </si>
  <si>
    <t>BBCA Price</t>
  </si>
  <si>
    <t>BBCA Log Return</t>
  </si>
  <si>
    <t>ASII</t>
  </si>
  <si>
    <t>BBCA</t>
  </si>
  <si>
    <t>Initial Investment (V0)</t>
  </si>
  <si>
    <t>Stock</t>
  </si>
  <si>
    <t>VaR (1%)</t>
  </si>
  <si>
    <t>VaR (5%)</t>
  </si>
  <si>
    <t>VaR (10%)</t>
  </si>
  <si>
    <t>2026-06-08</t>
  </si>
  <si>
    <t>Mean</t>
  </si>
  <si>
    <t>Alpha 1%</t>
  </si>
  <si>
    <t>2026-06-09</t>
  </si>
  <si>
    <t>St dev</t>
  </si>
  <si>
    <t>Alpha 5%</t>
  </si>
  <si>
    <t>2026-06-10</t>
  </si>
  <si>
    <t>Min</t>
  </si>
  <si>
    <t>Alpha 10%</t>
  </si>
  <si>
    <t>2026-06-11</t>
  </si>
  <si>
    <t>Max</t>
  </si>
  <si>
    <t>Value at Risk (VaR) 5 HARI</t>
  </si>
  <si>
    <t>2026-06-12</t>
  </si>
  <si>
    <t>Skewness</t>
  </si>
  <si>
    <t>Nilai Distribusi Normal</t>
  </si>
  <si>
    <t>2026-06-15</t>
  </si>
  <si>
    <t>Kurtosis</t>
  </si>
  <si>
    <t>Alpha</t>
  </si>
  <si>
    <t>Nilai Alpha</t>
  </si>
  <si>
    <t>Nilai 1-Alpha</t>
  </si>
  <si>
    <t>2026-06-17</t>
  </si>
  <si>
    <t>Jumlah Hari (n)</t>
  </si>
  <si>
    <t>2026-06-18</t>
  </si>
  <si>
    <t>2026-06-19</t>
  </si>
  <si>
    <t>Pengecekan Distribusi Normalitas</t>
  </si>
  <si>
    <t>2026-06-22</t>
  </si>
  <si>
    <t>Value at Risk (VaR) 20 HARI</t>
  </si>
  <si>
    <t>2026-06-23</t>
  </si>
  <si>
    <t>2026-06-24</t>
  </si>
  <si>
    <t>Value at Risk Cornish-Fisher</t>
  </si>
  <si>
    <t>2026-06-25</t>
  </si>
  <si>
    <t>Pehitungan</t>
  </si>
  <si>
    <t>Nilai</t>
  </si>
  <si>
    <t>2026-06-26</t>
  </si>
  <si>
    <t>Kuantil normal standar (100%-Alpha)</t>
  </si>
  <si>
    <t>2026-06-29</t>
  </si>
  <si>
    <t>Perhitungan 1</t>
  </si>
  <si>
    <t>KESIMPULAN ANALISIS VALUE AT RISK (VaR) METODE CORNISH FISHER</t>
  </si>
  <si>
    <t>2026-06-30</t>
  </si>
  <si>
    <t>Perhitungan 2</t>
  </si>
  <si>
    <t>Berdasarkan hasil analisis Value at Risk (VaR) metode Ekspansi Cornish-Fisher pada 2 saham konstituen indeks LQ45 (PT Astra International Tbk [ASII] dan PT Bank Central Asia Tbk [BBCA]) dengan modal investasi awal Rp 1.000.000 (80 observasi return harian bursa):
1. Karakteristik Distribusi dan Non-Normalitas: Return saham ASII dan BBCA menunjukkan deviasi dari distribusi normal standar, dengan skewness positif (ASII = +1,131467; BBCA = +0,742120) dan sifat leptokurtik / ekor tebal (excess kurtosis ASII = +2,205831; BBCA = +2,894327). Uji formal Shapiro-Wilk dan Kolmogorov-Smirnov Lilliefors mengonfirmasi penolakan asumsi normalitas baku pada taraf 5%. Kondisi ini mengonfirmasi bahwa penggunaan metode parametrik normal konvensional akan meremehkan (underestimate) potensi risiko ekstrem pada tingkat keyakinan 99%.
2. Komparasi Risiko Pasar Saham LQ45 (Holding Period 1 Hari):
   - Pada Alpha 1% (Confidence Level 99%): Potensi kerugian maksimum 1 hari saham BBCA adalah sebesar Rp 74.645,79 (7,465%), sedangkan saham ASII adalah sebesar Rp 62.433,50 (6,243%). Saham BBCA memiliki risiko ekstrem lebih besar dibandingkan ASII karena dipengaruhi oleh volatilitas harian standar deviasi yang lebih tinggi (2,32% vs 1,97%) dan derajat kepuncakan kurtosis yang lebih tebal (2,89 vs 2,21).
   - Pada Alpha 5% (Confidence Level 95%): Estimasi risiko 1 hari saham BBCA adalah Rp 38.612,26 (3,861%), sedangkan ASII adalah Rp 36.914,34 (3,691%).
   - Pada Alpha 10% (Confidence Level 90%): Estimasi risiko 1 hari saham ASII adalah Rp 25.538,60 (2,554%), sedangkan BBCA adalah Rp 24.651,14 (2,465%). Pada tingkat signifikansi 10%, risiko ASII sedikit lebih tinggi karena koefisien kemencengan positif ASII yang jauh lebih besar (+1,13 vs +0,74).
3. Pengaruh Horizon Waktu Penahanan (Square Root of Time Rule): Nilai potensi kerugian maksimum berbanding lurus dengan panjang waktu investasi. Untuk holding period 5 hari (1 pekan perdagangan), potensi risiko tereskalasi faktor √5 (VaR 1% BBCA = Rp 166.913,07; ASII = Rp 139.605,55). Untuk holding period 20 hari (1 bulan perdagangan aktif), potensi risiko tereskalasi faktor √20 (VaR 1% BBCA = Rp 333.826,13; ASII = Rp 279.211,10).
4. Kesimpulan Metodologis: Nilai VaR meningkat secara teratur seiring bertambahnya jangka waktu investasi (akar waktu) dan semakin kecilnya nilai alpha (tingkat keyakinan semakin tinggi). Koreksi kuantil ekspansi Cornish-Fisher terbukti efektif dan presisi dalam mengakomodasi asimetri dan ekor gemuk pada data return saham LQ45 di Bursa Efek Indonesia.</t>
  </si>
  <si>
    <t>2026-07-01</t>
  </si>
  <si>
    <t>Perhitungan 3</t>
  </si>
  <si>
    <t>2026-07-02</t>
  </si>
  <si>
    <t>ECF</t>
  </si>
  <si>
    <t>2026-07-03</t>
  </si>
  <si>
    <t>VaR ECF</t>
  </si>
  <si>
    <t>2026-07-06</t>
  </si>
  <si>
    <t>2026-07-07</t>
  </si>
  <si>
    <t>2026-07-08</t>
  </si>
  <si>
    <t>2026-07-09</t>
  </si>
  <si>
    <t>2026-07-10</t>
  </si>
  <si>
    <t>2026-07-13</t>
  </si>
  <si>
    <t>2026-07-14</t>
  </si>
  <si>
    <t>2026-07-15</t>
  </si>
  <si>
    <t>2026-07-16</t>
  </si>
  <si>
    <t>2026-07-17</t>
  </si>
  <si>
    <t>2026-07-20</t>
  </si>
  <si>
    <t>2026-07-21</t>
  </si>
  <si>
    <t>2026-07-22</t>
  </si>
  <si>
    <t>2026-07-23</t>
  </si>
  <si>
    <t>2026-07-24</t>
  </si>
  <si>
    <t>2026-07-27</t>
  </si>
  <si>
    <t>2026-07-28</t>
  </si>
  <si>
    <t>Berdasarkan visual grafik Normal Q-Q Plot dan Histogram Fit, kurva return saham ASII (LQ45) memiliki kepuncakan leptokurtik (excess kurtosis = 2,21) dan kemencengan positif nyata (skewness = 1,13). Uji normalitas Shapiro-Wilk (W = 0,9227; p = 0,000127) dan Kolmogorov-Smirnov Lilliefors (D = 0,1230; p = 0,0044) membuktikan adanya deviasi momen skewness dan kurtosis dari normalitas, sehingga penyesuaian kuantil ekspansi Cornish-Fisher mutlak diperlukan untuk mengoreksi bias estimasi risiko ekor tebal.</t>
  </si>
  <si>
    <t>2026-07-29</t>
  </si>
  <si>
    <t>2026-07-30</t>
  </si>
  <si>
    <t>2026-07-31</t>
  </si>
  <si>
    <t>2026-08-03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</si>
  <si>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</si>
  <si>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</si>
  <si>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</si>
  <si>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</si>
  <si>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</si>
  <si>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</si>
  <si>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</si>
  <si>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</si>
  <si>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</si>
  <si>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2026-08-18</t>
  </si>
  <si>
    <t>2026-08-19</t>
  </si>
  <si>
    <t>2026-08-20</t>
  </si>
  <si>
    <t>2026-08-21</t>
  </si>
  <si>
    <t>2026-08-24</t>
  </si>
  <si>
    <t>2026-08-26</t>
  </si>
  <si>
    <t>2026-08-27</t>
  </si>
  <si>
    <t>2026-08-28</t>
  </si>
  <si>
    <t>2026-08-31</t>
  </si>
  <si>
    <t>2026-09-01</t>
  </si>
  <si>
    <t>2026-09-02</t>
  </si>
  <si>
    <t>2026-09-03</t>
  </si>
  <si>
    <t>2026-09-04</t>
  </si>
  <si>
    <t>2026-09-07</t>
  </si>
  <si>
    <t>2026-09-08</t>
  </si>
  <si>
    <t>2026-09-09</t>
  </si>
  <si>
    <t>2026-09-10</t>
  </si>
  <si>
    <t>Berdasarkan visual grafik Normal Q-Q Plot dan Histogram Fit, kurva return saham BBCA (LQ45) menunjukkan ekor gemuk leptokurtik (excess kurtosis = 2,89) serta kemencengan positif (skewness = 0,74). Uji Shapiro-Wilk (W = 0,9447; p = 0,001734) dan Kolmogorov-Smirnov Lilliefors (D = 0,1104; p = 0,0172) menolak hipotesis normalitas pada taraf 5%. Deviasi kepuncakan dan asimetri ini membuktikan perlunya pendekatan ekspansi Cornish-Fisher guna mencegah underestimation risiko pada tingkat kepercayaan 99%.</t>
  </si>
  <si>
    <t>2026-09-11</t>
  </si>
  <si>
    <t>2026-09-14</t>
  </si>
  <si>
    <t>2026-09-15</t>
  </si>
  <si>
    <t>2026-09-16</t>
  </si>
  <si>
    <t>2026-09-17</t>
  </si>
  <si>
    <t>2026-09-18</t>
  </si>
  <si>
    <t>2026-09-21</t>
  </si>
  <si>
    <t>2026-09-22</t>
  </si>
  <si>
    <t>2026-09-23</t>
  </si>
  <si>
    <t>2026-09-24</t>
  </si>
  <si>
    <t>2026-09-25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</si>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</sst>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R\p#,##0"/>
    <numFmt numFmtId="165" formatCode="0.000000"/>
    <numFmt numFmtId="166" formatCode="0.0000000"/>
    <numFmt numFmtId="167" formatCode="0.00000"/>
    <numFmt numFmtId="168" formatCode="\R\p#,##0.00"/>
    <numFmt numFmtId="169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Times New Roman"/>
    </font>
    <font>
      <sz val="11"/>
      <name val="Times New Roman"/>
    </font>
    <font>
      <i/>
      <sz val="10"/>
      <name val="Times New Roman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0" borderId="2" xfId="0" applyFont="1" applyBorder="1"/>
    <xf numFmtId="164" fontId="1" fillId="0" borderId="2" xfId="0" applyNumberFormat="1" applyFont="1" applyBorder="1" applyAlignment="1">
      <alignment horizontal="right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/>
    <xf numFmtId="165" fontId="2" fillId="0" borderId="2" xfId="0" applyNumberFormat="1" applyFont="1" applyBorder="1" applyAlignment="1">
      <alignment horizontal="center"/>
    </xf>
    <xf numFmtId="165" fontId="2" fillId="0" borderId="2" xfId="0" applyNumberFormat="1" applyFont="1" applyBorder="1" applyAlignment="1">
      <alignment horizontal="right"/>
    </xf>
    <xf numFmtId="0" fontId="2" fillId="0" borderId="2" xfId="0" applyFont="1" applyBorder="1"/>
    <xf numFmtId="10" fontId="2" fillId="0" borderId="2" xfId="0" applyNumberFormat="1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168" fontId="2" fillId="0" borderId="2" xfId="0" applyNumberFormat="1" applyFont="1" applyBorder="1" applyAlignment="1">
      <alignment horizontal="right"/>
    </xf>
    <xf numFmtId="169" fontId="2" fillId="0" borderId="2" xfId="0" applyNumberFormat="1" applyFont="1" applyBorder="1" applyAlignment="1">
      <alignment horizontal="right"/>
    </xf>
    <xf numFmtId="165" fontId="2" fillId="0" borderId="2" xfId="0" applyNumberFormat="1" applyFont="1" applyBorder="1"/>
    <xf numFmtId="165" fontId="1" fillId="4" borderId="2" xfId="0" applyNumberFormat="1" applyFont="1" applyFill="1" applyBorder="1" applyAlignment="1">
      <alignment horizontal="right"/>
    </xf>
    <xf numFmtId="1" fontId="2" fillId="0" borderId="2" xfId="0" applyNumberFormat="1" applyFont="1" applyBorder="1" applyAlignment="1">
      <alignment horizontal="right"/>
    </xf>
    <xf numFmtId="9" fontId="2" fillId="0" borderId="2" xfId="0" applyNumberFormat="1" applyFont="1" applyBorder="1" applyAlignment="1">
      <alignment horizontal="center"/>
    </xf>
    <xf numFmtId="166" fontId="2" fillId="0" borderId="2" xfId="0" applyNumberFormat="1" applyFont="1" applyBorder="1" applyAlignment="1">
      <alignment horizontal="right"/>
    </xf>
    <xf numFmtId="167" fontId="2" fillId="0" borderId="2" xfId="0" applyNumberFormat="1" applyFont="1" applyBorder="1" applyAlignment="1">
      <alignment horizontal="right"/>
    </xf>
    <xf numFmtId="167" fontId="1" fillId="5" borderId="2" xfId="0" applyNumberFormat="1" applyFont="1" applyFill="1" applyBorder="1" applyAlignment="1">
      <alignment horizontal="right"/>
    </xf>
    <xf numFmtId="167" fontId="1" fillId="4" borderId="2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 vertical="center"/>
    </xf>
    <xf numFmtId="0" fontId="0" fillId="0" borderId="0" xfId="0"/>
    <xf numFmtId="9" fontId="1" fillId="0" borderId="2" xfId="0" applyNumberFormat="1" applyFont="1" applyBorder="1" applyAlignment="1">
      <alignment horizontal="center" vertical="center"/>
    </xf>
    <xf numFmtId="0" fontId="0" fillId="0" borderId="2" xfId="0" applyBorder="1"/>
    <xf numFmtId="0" fontId="1" fillId="3" borderId="0" xfId="0" applyFont="1" applyFill="1" applyAlignment="1">
      <alignment horizontal="center" vertical="center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13</xdr:row>
      <xdr:rowOff>0</xdr:rowOff>
    </xdr:from>
    <xdr:ext cx="4381500" cy="34004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0</xdr:colOff>
      <xdr:row>43</xdr:row>
      <xdr:rowOff>0</xdr:rowOff>
    </xdr:from>
    <xdr:ext cx="4381500" cy="34004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V84"/>
  <sheetViews>
    <sheetView tabSelected="1" workbookViewId="0"/>
  </sheetViews>
  <sheetFormatPr defaultRowHeight="14.4" x14ac:dyDescent="0.3"/>
  <cols>
    <col min="1" max="1" width="4" customWidth="1"/>
    <col min="2" max="2" width="13" customWidth="1"/>
    <col min="3" max="3" width="15" customWidth="1"/>
    <col min="4" max="4" width="19" customWidth="1"/>
    <col min="5" max="5" width="15" customWidth="1"/>
    <col min="6" max="6" width="19" customWidth="1"/>
    <col min="7" max="7" width="6" customWidth="1"/>
    <col min="8" max="8" width="28.44140625" customWidth="1"/>
    <col min="9" max="10" width="16" customWidth="1"/>
    <col min="11" max="11" width="6" customWidth="1"/>
    <col min="12" max="12" width="27" customWidth="1"/>
    <col min="13" max="13" width="37" customWidth="1"/>
    <col min="14" max="14" width="20" customWidth="1"/>
    <col min="15" max="15" width="6" customWidth="1"/>
    <col min="16" max="16" width="14" customWidth="1"/>
    <col min="17" max="17" width="20" customWidth="1"/>
    <col min="18" max="18" width="18" customWidth="1"/>
    <col min="19" max="19" width="20" customWidth="1"/>
    <col min="20" max="20" width="18" customWidth="1"/>
    <col min="21" max="21" width="20" customWidth="1"/>
    <col min="22" max="22" width="18" customWidth="1"/>
  </cols>
  <sheetData>
    <row r="2" spans="2:22" x14ac:dyDescent="0.3">
      <c r="B2" s="22" t="s">
        <v>0</v>
      </c>
      <c r="C2" s="23"/>
      <c r="D2" s="23"/>
      <c r="E2" s="23"/>
      <c r="F2" s="23"/>
      <c r="H2" s="22" t="s">
        <v>1</v>
      </c>
      <c r="I2" s="23"/>
      <c r="J2" s="23"/>
      <c r="L2" s="22" t="s">
        <v>2</v>
      </c>
      <c r="M2" s="23"/>
      <c r="P2" s="22" t="s">
        <v>3</v>
      </c>
      <c r="Q2" s="23"/>
      <c r="R2" s="23"/>
      <c r="S2" s="23"/>
      <c r="T2" s="23"/>
      <c r="U2" s="23"/>
      <c r="V2" s="23"/>
    </row>
    <row r="3" spans="2:22" x14ac:dyDescent="0.3"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  <c r="I3" s="2" t="s">
        <v>9</v>
      </c>
      <c r="J3" s="2" t="s">
        <v>10</v>
      </c>
      <c r="L3" s="3" t="s">
        <v>11</v>
      </c>
      <c r="M3" s="4">
        <v>1000000</v>
      </c>
      <c r="P3" s="1" t="s">
        <v>12</v>
      </c>
      <c r="Q3" s="1" t="s">
        <v>13</v>
      </c>
      <c r="R3" s="1" t="s">
        <v>13</v>
      </c>
      <c r="S3" s="1" t="s">
        <v>14</v>
      </c>
      <c r="T3" s="1" t="s">
        <v>14</v>
      </c>
      <c r="U3" s="1" t="s">
        <v>15</v>
      </c>
      <c r="V3" s="1" t="s">
        <v>15</v>
      </c>
    </row>
    <row r="4" spans="2:22" x14ac:dyDescent="0.3">
      <c r="B4" s="5" t="s">
        <v>16</v>
      </c>
      <c r="C4" s="6">
        <v>4360</v>
      </c>
      <c r="D4" s="7">
        <v>0</v>
      </c>
      <c r="E4" s="6">
        <v>4850</v>
      </c>
      <c r="F4" s="7">
        <v>0</v>
      </c>
      <c r="H4" s="3" t="s">
        <v>17</v>
      </c>
      <c r="I4" s="8">
        <f>AVERAGE(D5:D84)</f>
        <v>5.0568693365391816E-4</v>
      </c>
      <c r="J4" s="8">
        <f>AVERAGE(F5:F84)</f>
        <v>2.8150410534652556E-3</v>
      </c>
      <c r="L4" s="9" t="s">
        <v>18</v>
      </c>
      <c r="M4" s="10">
        <v>0.01</v>
      </c>
      <c r="P4" s="11" t="s">
        <v>9</v>
      </c>
      <c r="Q4" s="12">
        <f>-$M$3*N22*SQRT(1)</f>
        <v>62433.499920832946</v>
      </c>
      <c r="R4" s="13">
        <f>-N22*SQRT(1)</f>
        <v>6.2433499920832948E-2</v>
      </c>
      <c r="S4" s="12">
        <f>-$M$3*N28*SQRT(1)</f>
        <v>36914.34060912313</v>
      </c>
      <c r="T4" s="13">
        <f>-N28*SQRT(1)</f>
        <v>3.6914340609123131E-2</v>
      </c>
      <c r="U4" s="12">
        <f>-$M$3*N34*SQRT(1)</f>
        <v>25538.595318353164</v>
      </c>
      <c r="V4" s="13">
        <f>-N34*SQRT(1)</f>
        <v>2.5538595318353164E-2</v>
      </c>
    </row>
    <row r="5" spans="2:22" x14ac:dyDescent="0.3">
      <c r="B5" s="5" t="s">
        <v>19</v>
      </c>
      <c r="C5" s="6">
        <v>4670</v>
      </c>
      <c r="D5" s="14">
        <f t="shared" ref="D5:D36" si="0">LN(C5/C4)</f>
        <v>6.8687014319863057E-2</v>
      </c>
      <c r="E5" s="6">
        <v>5150</v>
      </c>
      <c r="F5" s="14">
        <f t="shared" ref="F5:F36" si="1">LN(E5/E4)</f>
        <v>6.0018009726252951E-2</v>
      </c>
      <c r="H5" s="3" t="s">
        <v>20</v>
      </c>
      <c r="I5" s="8">
        <f>_xlfn.STDEV.S(D5:D84)</f>
        <v>1.9716335671547142E-2</v>
      </c>
      <c r="J5" s="8">
        <f>_xlfn.STDEV.S(F5:F84)</f>
        <v>2.3181917043316208E-2</v>
      </c>
      <c r="L5" s="9" t="s">
        <v>21</v>
      </c>
      <c r="M5" s="10">
        <v>0.05</v>
      </c>
      <c r="P5" s="11" t="s">
        <v>10</v>
      </c>
      <c r="Q5" s="12">
        <f>-$M$3*N44*SQRT(1)</f>
        <v>74645.792682008454</v>
      </c>
      <c r="R5" s="13">
        <f>-N44*SQRT(1)</f>
        <v>7.4645792682008452E-2</v>
      </c>
      <c r="S5" s="12">
        <f>-$M$3*N50*SQRT(1)</f>
        <v>38612.259092629654</v>
      </c>
      <c r="T5" s="13">
        <f>-N50*SQRT(1)</f>
        <v>3.8612259092629657E-2</v>
      </c>
      <c r="U5" s="12">
        <f>-$M$3*N56*SQRT(1)</f>
        <v>24651.139548065985</v>
      </c>
      <c r="V5" s="13">
        <f>-N56*SQRT(1)</f>
        <v>2.4651139548065984E-2</v>
      </c>
    </row>
    <row r="6" spans="2:22" x14ac:dyDescent="0.3">
      <c r="B6" s="5" t="s">
        <v>22</v>
      </c>
      <c r="C6" s="6">
        <v>4700</v>
      </c>
      <c r="D6" s="14">
        <f t="shared" si="0"/>
        <v>6.4034370352070071E-3</v>
      </c>
      <c r="E6" s="6">
        <v>5650</v>
      </c>
      <c r="F6" s="14">
        <f t="shared" si="1"/>
        <v>9.2658830482704763E-2</v>
      </c>
      <c r="H6" s="9" t="s">
        <v>23</v>
      </c>
      <c r="I6" s="8">
        <f>MIN(D5:D84)</f>
        <v>-4.1175914184186549E-2</v>
      </c>
      <c r="J6" s="8">
        <f>MIN(F5:F84)</f>
        <v>-6.5382759262851739E-2</v>
      </c>
      <c r="L6" s="9" t="s">
        <v>24</v>
      </c>
      <c r="M6" s="10">
        <v>0.1</v>
      </c>
    </row>
    <row r="7" spans="2:22" x14ac:dyDescent="0.3">
      <c r="B7" s="5" t="s">
        <v>25</v>
      </c>
      <c r="C7" s="6">
        <v>4700</v>
      </c>
      <c r="D7" s="14">
        <f t="shared" si="0"/>
        <v>0</v>
      </c>
      <c r="E7" s="6">
        <v>5825</v>
      </c>
      <c r="F7" s="14">
        <f t="shared" si="1"/>
        <v>3.0503454293414625E-2</v>
      </c>
      <c r="H7" s="9" t="s">
        <v>26</v>
      </c>
      <c r="I7" s="8">
        <f>MAX(D5:D84)</f>
        <v>6.8687014319863057E-2</v>
      </c>
      <c r="J7" s="8">
        <f>MAX(F5:F84)</f>
        <v>9.2658830482704763E-2</v>
      </c>
      <c r="P7" s="22" t="s">
        <v>27</v>
      </c>
      <c r="Q7" s="23"/>
      <c r="R7" s="23"/>
      <c r="S7" s="23"/>
      <c r="T7" s="23"/>
      <c r="U7" s="23"/>
      <c r="V7" s="23"/>
    </row>
    <row r="8" spans="2:22" x14ac:dyDescent="0.3">
      <c r="B8" s="5" t="s">
        <v>28</v>
      </c>
      <c r="C8" s="6">
        <v>4740</v>
      </c>
      <c r="D8" s="14">
        <f t="shared" si="0"/>
        <v>8.4746269909722356E-3</v>
      </c>
      <c r="E8" s="6">
        <v>5925</v>
      </c>
      <c r="F8" s="14">
        <f t="shared" si="1"/>
        <v>1.7021687569430524E-2</v>
      </c>
      <c r="H8" s="3" t="s">
        <v>29</v>
      </c>
      <c r="I8" s="15">
        <f>SKEW(D5:D84)</f>
        <v>1.1314668324921364</v>
      </c>
      <c r="J8" s="15">
        <f>SKEW(F5:F84)</f>
        <v>0.74211957758011027</v>
      </c>
      <c r="L8" s="22" t="s">
        <v>30</v>
      </c>
      <c r="M8" s="23"/>
      <c r="N8" s="23"/>
      <c r="P8" s="1" t="s">
        <v>12</v>
      </c>
      <c r="Q8" s="1" t="s">
        <v>13</v>
      </c>
      <c r="R8" s="1" t="s">
        <v>13</v>
      </c>
      <c r="S8" s="1" t="s">
        <v>14</v>
      </c>
      <c r="T8" s="1" t="s">
        <v>14</v>
      </c>
      <c r="U8" s="1" t="s">
        <v>15</v>
      </c>
      <c r="V8" s="1" t="s">
        <v>15</v>
      </c>
    </row>
    <row r="9" spans="2:22" x14ac:dyDescent="0.3">
      <c r="B9" s="5" t="s">
        <v>31</v>
      </c>
      <c r="C9" s="6">
        <v>4890</v>
      </c>
      <c r="D9" s="14">
        <f t="shared" si="0"/>
        <v>3.1155167779795479E-2</v>
      </c>
      <c r="E9" s="6">
        <v>6275</v>
      </c>
      <c r="F9" s="14">
        <f t="shared" si="1"/>
        <v>5.7392797996652652E-2</v>
      </c>
      <c r="H9" s="3" t="s">
        <v>32</v>
      </c>
      <c r="I9" s="15">
        <f>KURT(D5:D84)</f>
        <v>2.2058314263382068</v>
      </c>
      <c r="J9" s="15">
        <f>KURT(F5:F84)</f>
        <v>2.8943272913915279</v>
      </c>
      <c r="L9" s="1" t="s">
        <v>33</v>
      </c>
      <c r="M9" s="1" t="s">
        <v>34</v>
      </c>
      <c r="N9" s="1" t="s">
        <v>35</v>
      </c>
      <c r="P9" s="11" t="s">
        <v>9</v>
      </c>
      <c r="Q9" s="12">
        <f>-$M$3*N22*SQRT(5)</f>
        <v>139605.5498962102</v>
      </c>
      <c r="R9" s="13">
        <f>-N22*SQRT(5)</f>
        <v>0.13960554989621021</v>
      </c>
      <c r="S9" s="12">
        <f>-$M$3*N28*SQRT(5)</f>
        <v>82542.974946580318</v>
      </c>
      <c r="T9" s="13">
        <f>-N28*SQRT(5)</f>
        <v>8.2542974946580319E-2</v>
      </c>
      <c r="U9" s="12">
        <f>-$M$3*N34*SQRT(5)</f>
        <v>57106.035181695559</v>
      </c>
      <c r="V9" s="13">
        <f>-N34*SQRT(5)</f>
        <v>5.7106035181695561E-2</v>
      </c>
    </row>
    <row r="10" spans="2:22" x14ac:dyDescent="0.3">
      <c r="B10" s="5" t="s">
        <v>36</v>
      </c>
      <c r="C10" s="6">
        <v>4800</v>
      </c>
      <c r="D10" s="14">
        <f t="shared" si="0"/>
        <v>-1.8576385572935419E-2</v>
      </c>
      <c r="E10" s="6">
        <v>6275</v>
      </c>
      <c r="F10" s="14">
        <f t="shared" si="1"/>
        <v>0</v>
      </c>
      <c r="H10" s="9" t="s">
        <v>37</v>
      </c>
      <c r="I10" s="16">
        <f>COUNT(D5:D84)</f>
        <v>80</v>
      </c>
      <c r="J10" s="16">
        <f>COUNT(F5:F84)</f>
        <v>80</v>
      </c>
      <c r="L10" s="17">
        <v>0.01</v>
      </c>
      <c r="M10" s="18">
        <f>NORMSINV(L10)</f>
        <v>-2.3263478740408408</v>
      </c>
      <c r="N10" s="18">
        <f>NORMSINV(1-L10)</f>
        <v>2.3263478740408408</v>
      </c>
      <c r="P10" s="11" t="s">
        <v>10</v>
      </c>
      <c r="Q10" s="12">
        <f>-$M$3*N44*SQRT(5)</f>
        <v>166913.06667132725</v>
      </c>
      <c r="R10" s="13">
        <f>-N44*SQRT(5)</f>
        <v>0.16691306667132724</v>
      </c>
      <c r="S10" s="12">
        <f>-$M$3*N50*SQRT(5)</f>
        <v>86339.636095954265</v>
      </c>
      <c r="T10" s="13">
        <f>-N50*SQRT(5)</f>
        <v>8.633963609595427E-2</v>
      </c>
      <c r="U10" s="12">
        <f>-$M$3*N56*SQRT(5)</f>
        <v>55121.623752308988</v>
      </c>
      <c r="V10" s="13">
        <f>-N56*SQRT(5)</f>
        <v>5.5121623752308987E-2</v>
      </c>
    </row>
    <row r="11" spans="2:22" x14ac:dyDescent="0.3">
      <c r="B11" s="5" t="s">
        <v>38</v>
      </c>
      <c r="C11" s="6">
        <v>4770</v>
      </c>
      <c r="D11" s="14">
        <f t="shared" si="0"/>
        <v>-6.2696130135953742E-3</v>
      </c>
      <c r="E11" s="6">
        <v>6075</v>
      </c>
      <c r="F11" s="14">
        <f t="shared" si="1"/>
        <v>-3.2391495791235403E-2</v>
      </c>
      <c r="L11" s="17">
        <v>0.05</v>
      </c>
      <c r="M11" s="18">
        <f>NORMSINV(L11)</f>
        <v>-1.6448536269514726</v>
      </c>
      <c r="N11" s="18">
        <f>NORMSINV(1-L11)</f>
        <v>1.6448536269514715</v>
      </c>
    </row>
    <row r="12" spans="2:22" x14ac:dyDescent="0.3">
      <c r="B12" s="5" t="s">
        <v>39</v>
      </c>
      <c r="C12" s="6">
        <v>4810</v>
      </c>
      <c r="D12" s="14">
        <f t="shared" si="0"/>
        <v>8.3507792174198885E-3</v>
      </c>
      <c r="E12" s="6">
        <v>6300</v>
      </c>
      <c r="F12" s="14">
        <f t="shared" si="1"/>
        <v>3.6367644170874791E-2</v>
      </c>
      <c r="H12" s="22" t="s">
        <v>40</v>
      </c>
      <c r="I12" s="23"/>
      <c r="J12" s="23"/>
      <c r="L12" s="17">
        <v>0.1</v>
      </c>
      <c r="M12" s="18">
        <f>NORMSINV(L12)</f>
        <v>-1.2815515655446006</v>
      </c>
      <c r="N12" s="18">
        <f>NORMSINV(1-L12)</f>
        <v>1.2815515655446006</v>
      </c>
    </row>
    <row r="13" spans="2:22" x14ac:dyDescent="0.3">
      <c r="B13" s="5" t="s">
        <v>41</v>
      </c>
      <c r="C13" s="6">
        <v>4730</v>
      </c>
      <c r="D13" s="14">
        <f t="shared" si="0"/>
        <v>-1.6771881613828213E-2</v>
      </c>
      <c r="E13" s="6">
        <v>6225</v>
      </c>
      <c r="F13" s="14">
        <f t="shared" si="1"/>
        <v>-1.1976191046715649E-2</v>
      </c>
      <c r="H13" s="26" t="s">
        <v>9</v>
      </c>
      <c r="I13" s="23"/>
      <c r="J13" s="23"/>
      <c r="P13" s="22" t="s">
        <v>42</v>
      </c>
      <c r="Q13" s="23"/>
      <c r="R13" s="23"/>
      <c r="S13" s="23"/>
      <c r="T13" s="23"/>
      <c r="U13" s="23"/>
      <c r="V13" s="23"/>
    </row>
    <row r="14" spans="2:22" x14ac:dyDescent="0.3">
      <c r="B14" s="5" t="s">
        <v>43</v>
      </c>
      <c r="C14" s="6">
        <v>4680</v>
      </c>
      <c r="D14" s="14">
        <f t="shared" si="0"/>
        <v>-1.0627092574286238E-2</v>
      </c>
      <c r="E14" s="6">
        <v>6125</v>
      </c>
      <c r="F14" s="14">
        <f t="shared" si="1"/>
        <v>-1.6194685919980606E-2</v>
      </c>
      <c r="L14" s="22" t="s">
        <v>9</v>
      </c>
      <c r="M14" s="23"/>
      <c r="N14" s="23"/>
      <c r="P14" s="1" t="s">
        <v>12</v>
      </c>
      <c r="Q14" s="1" t="s">
        <v>13</v>
      </c>
      <c r="R14" s="1" t="s">
        <v>13</v>
      </c>
      <c r="S14" s="1" t="s">
        <v>14</v>
      </c>
      <c r="T14" s="1" t="s">
        <v>14</v>
      </c>
      <c r="U14" s="1" t="s">
        <v>15</v>
      </c>
      <c r="V14" s="1" t="s">
        <v>15</v>
      </c>
    </row>
    <row r="15" spans="2:22" x14ac:dyDescent="0.3">
      <c r="B15" s="5" t="s">
        <v>44</v>
      </c>
      <c r="C15" s="6">
        <v>4640</v>
      </c>
      <c r="D15" s="14">
        <f t="shared" si="0"/>
        <v>-8.5837436913914419E-3</v>
      </c>
      <c r="E15" s="6">
        <v>5925</v>
      </c>
      <c r="F15" s="14">
        <f t="shared" si="1"/>
        <v>-3.3198069409595743E-2</v>
      </c>
      <c r="L15" s="22" t="s">
        <v>45</v>
      </c>
      <c r="M15" s="23"/>
      <c r="N15" s="23"/>
      <c r="P15" s="11" t="s">
        <v>9</v>
      </c>
      <c r="Q15" s="12">
        <f>-$M$3*N22*SQRT(20)</f>
        <v>279211.0997924204</v>
      </c>
      <c r="R15" s="13">
        <f>-N22*SQRT(20)</f>
        <v>0.27921109979242043</v>
      </c>
      <c r="S15" s="12">
        <f>-$M$3*N28*SQRT(20)</f>
        <v>165085.94989316064</v>
      </c>
      <c r="T15" s="13">
        <f>-N28*SQRT(20)</f>
        <v>0.16508594989316064</v>
      </c>
      <c r="U15" s="12">
        <f>-$M$3*N34*SQRT(20)</f>
        <v>114212.07036339112</v>
      </c>
      <c r="V15" s="13">
        <f>-N34*SQRT(20)</f>
        <v>0.11421207036339112</v>
      </c>
    </row>
    <row r="16" spans="2:22" x14ac:dyDescent="0.3">
      <c r="B16" s="5" t="s">
        <v>46</v>
      </c>
      <c r="C16" s="6">
        <v>4920</v>
      </c>
      <c r="D16" s="14">
        <f t="shared" si="0"/>
        <v>5.8594164266052809E-2</v>
      </c>
      <c r="E16" s="6">
        <v>6025</v>
      </c>
      <c r="F16" s="14">
        <f t="shared" si="1"/>
        <v>1.6736792355523826E-2</v>
      </c>
      <c r="L16" s="1" t="s">
        <v>33</v>
      </c>
      <c r="M16" s="1" t="s">
        <v>47</v>
      </c>
      <c r="N16" s="1" t="s">
        <v>48</v>
      </c>
      <c r="P16" s="11" t="s">
        <v>10</v>
      </c>
      <c r="Q16" s="12">
        <f>-$M$3*N44*SQRT(20)</f>
        <v>333826.1333426545</v>
      </c>
      <c r="R16" s="13">
        <f>-N44*SQRT(20)</f>
        <v>0.33382613334265449</v>
      </c>
      <c r="S16" s="12">
        <f>-$M$3*N50*SQRT(20)</f>
        <v>172679.27219190853</v>
      </c>
      <c r="T16" s="13">
        <f>-N50*SQRT(20)</f>
        <v>0.17267927219190854</v>
      </c>
      <c r="U16" s="12">
        <f>-$M$3*N56*SQRT(20)</f>
        <v>110243.24750461798</v>
      </c>
      <c r="V16" s="13">
        <f>-N56*SQRT(20)</f>
        <v>0.11024324750461797</v>
      </c>
    </row>
    <row r="17" spans="2:22" x14ac:dyDescent="0.3">
      <c r="B17" s="5" t="s">
        <v>49</v>
      </c>
      <c r="C17" s="6">
        <v>4760</v>
      </c>
      <c r="D17" s="14">
        <f t="shared" si="0"/>
        <v>-3.3060862260888065E-2</v>
      </c>
      <c r="E17" s="6">
        <v>6175</v>
      </c>
      <c r="F17" s="14">
        <f t="shared" si="1"/>
        <v>2.4591403137322113E-2</v>
      </c>
      <c r="L17" s="24">
        <v>0.01</v>
      </c>
      <c r="M17" s="9" t="s">
        <v>50</v>
      </c>
      <c r="N17" s="19">
        <f>NORMSINV(1-L17)</f>
        <v>2.3263478740408408</v>
      </c>
    </row>
    <row r="18" spans="2:22" x14ac:dyDescent="0.3">
      <c r="B18" s="5" t="s">
        <v>51</v>
      </c>
      <c r="C18" s="6">
        <v>4710</v>
      </c>
      <c r="D18" s="14">
        <f t="shared" si="0"/>
        <v>-1.0559760215002217E-2</v>
      </c>
      <c r="E18" s="6">
        <v>5925</v>
      </c>
      <c r="F18" s="14">
        <f t="shared" si="1"/>
        <v>-4.1328195492846061E-2</v>
      </c>
      <c r="L18" s="25"/>
      <c r="M18" s="9" t="s">
        <v>52</v>
      </c>
      <c r="N18" s="19">
        <f>1/6*(N17^2-1)*$I$8</f>
        <v>0.83198536953245827</v>
      </c>
      <c r="P18" s="22" t="s">
        <v>53</v>
      </c>
      <c r="Q18" s="23"/>
      <c r="R18" s="23"/>
      <c r="S18" s="23"/>
      <c r="T18" s="23"/>
      <c r="U18" s="23"/>
      <c r="V18" s="23"/>
    </row>
    <row r="19" spans="2:22" x14ac:dyDescent="0.3">
      <c r="B19" s="5" t="s">
        <v>54</v>
      </c>
      <c r="C19" s="6">
        <v>4520</v>
      </c>
      <c r="D19" s="14">
        <f t="shared" si="0"/>
        <v>-4.1175914184186549E-2</v>
      </c>
      <c r="E19" s="6">
        <v>5550</v>
      </c>
      <c r="F19" s="14">
        <f t="shared" si="1"/>
        <v>-6.5382759262851739E-2</v>
      </c>
      <c r="L19" s="25"/>
      <c r="M19" s="9" t="s">
        <v>55</v>
      </c>
      <c r="N19" s="19">
        <f>1/24*(N17^3-3*N17)*$I$9</f>
        <v>0.51569631844236341</v>
      </c>
      <c r="P19" s="28" t="s">
        <v>56</v>
      </c>
      <c r="Q19" s="23"/>
      <c r="R19" s="23"/>
      <c r="S19" s="23"/>
      <c r="T19" s="23"/>
      <c r="U19" s="23"/>
      <c r="V19" s="23"/>
    </row>
    <row r="20" spans="2:22" x14ac:dyDescent="0.3">
      <c r="B20" s="5" t="s">
        <v>57</v>
      </c>
      <c r="C20" s="6">
        <v>4600</v>
      </c>
      <c r="D20" s="14">
        <f t="shared" si="0"/>
        <v>1.7544309650909525E-2</v>
      </c>
      <c r="E20" s="6">
        <v>5600</v>
      </c>
      <c r="F20" s="14">
        <f t="shared" si="1"/>
        <v>8.9686699827603161E-3</v>
      </c>
      <c r="L20" s="25"/>
      <c r="M20" s="9" t="s">
        <v>58</v>
      </c>
      <c r="N20" s="19">
        <f>1/36*(2*N17^3-5*N17)*$I$8^2</f>
        <v>0.48179405218332128</v>
      </c>
      <c r="P20" s="23"/>
      <c r="Q20" s="23"/>
      <c r="R20" s="23"/>
      <c r="S20" s="23"/>
      <c r="T20" s="23"/>
      <c r="U20" s="23"/>
      <c r="V20" s="23"/>
    </row>
    <row r="21" spans="2:22" x14ac:dyDescent="0.3">
      <c r="B21" s="5" t="s">
        <v>59</v>
      </c>
      <c r="C21" s="6">
        <v>4580</v>
      </c>
      <c r="D21" s="14">
        <f t="shared" si="0"/>
        <v>-4.3573053689557007E-3</v>
      </c>
      <c r="E21" s="6">
        <v>5800</v>
      </c>
      <c r="F21" s="14">
        <f t="shared" si="1"/>
        <v>3.5091319811270193E-2</v>
      </c>
      <c r="L21" s="25"/>
      <c r="M21" s="3" t="s">
        <v>60</v>
      </c>
      <c r="N21" s="20">
        <f>N17+N18+N19-N20</f>
        <v>3.1922355098323409</v>
      </c>
      <c r="P21" s="23"/>
      <c r="Q21" s="23"/>
      <c r="R21" s="23"/>
      <c r="S21" s="23"/>
      <c r="T21" s="23"/>
      <c r="U21" s="23"/>
      <c r="V21" s="23"/>
    </row>
    <row r="22" spans="2:22" x14ac:dyDescent="0.3">
      <c r="B22" s="5" t="s">
        <v>61</v>
      </c>
      <c r="C22" s="6">
        <v>4810</v>
      </c>
      <c r="D22" s="14">
        <f t="shared" si="0"/>
        <v>4.8998085991576172E-2</v>
      </c>
      <c r="E22" s="6">
        <v>6050</v>
      </c>
      <c r="F22" s="14">
        <f t="shared" si="1"/>
        <v>4.2200354490376471E-2</v>
      </c>
      <c r="L22" s="25"/>
      <c r="M22" s="3" t="s">
        <v>62</v>
      </c>
      <c r="N22" s="21">
        <f>$I$4-N21*$I$5</f>
        <v>-6.2433499920832948E-2</v>
      </c>
      <c r="P22" s="23"/>
      <c r="Q22" s="23"/>
      <c r="R22" s="23"/>
      <c r="S22" s="23"/>
      <c r="T22" s="23"/>
      <c r="U22" s="23"/>
      <c r="V22" s="23"/>
    </row>
    <row r="23" spans="2:22" x14ac:dyDescent="0.3">
      <c r="B23" s="5" t="s">
        <v>63</v>
      </c>
      <c r="C23" s="6">
        <v>4780</v>
      </c>
      <c r="D23" s="14">
        <f t="shared" si="0"/>
        <v>-6.2565376143051488E-3</v>
      </c>
      <c r="E23" s="6">
        <v>6125</v>
      </c>
      <c r="F23" s="14">
        <f t="shared" si="1"/>
        <v>1.2320484388040657E-2</v>
      </c>
      <c r="L23" s="24">
        <v>0.05</v>
      </c>
      <c r="M23" s="9" t="s">
        <v>50</v>
      </c>
      <c r="N23" s="19">
        <f>NORMSINV(1-L23)</f>
        <v>1.6448536269514715</v>
      </c>
      <c r="P23" s="23"/>
      <c r="Q23" s="23"/>
      <c r="R23" s="23"/>
      <c r="S23" s="23"/>
      <c r="T23" s="23"/>
      <c r="U23" s="23"/>
      <c r="V23" s="23"/>
    </row>
    <row r="24" spans="2:22" x14ac:dyDescent="0.3">
      <c r="B24" s="5" t="s">
        <v>64</v>
      </c>
      <c r="C24" s="6">
        <v>4930</v>
      </c>
      <c r="D24" s="14">
        <f t="shared" si="0"/>
        <v>3.0898441551234238E-2</v>
      </c>
      <c r="E24" s="6">
        <v>6300</v>
      </c>
      <c r="F24" s="14">
        <f t="shared" si="1"/>
        <v>2.8170876966696224E-2</v>
      </c>
      <c r="L24" s="25"/>
      <c r="M24" s="9" t="s">
        <v>52</v>
      </c>
      <c r="N24" s="19">
        <f>1/6*(N23^2-1)*$I$8</f>
        <v>0.32162764161383861</v>
      </c>
      <c r="P24" s="23"/>
      <c r="Q24" s="23"/>
      <c r="R24" s="23"/>
      <c r="S24" s="23"/>
      <c r="T24" s="23"/>
      <c r="U24" s="23"/>
      <c r="V24" s="23"/>
    </row>
    <row r="25" spans="2:22" x14ac:dyDescent="0.3">
      <c r="B25" s="5" t="s">
        <v>65</v>
      </c>
      <c r="C25" s="6">
        <v>4890</v>
      </c>
      <c r="D25" s="14">
        <f t="shared" si="0"/>
        <v>-8.1466845678181375E-3</v>
      </c>
      <c r="E25" s="6">
        <v>6175</v>
      </c>
      <c r="F25" s="14">
        <f t="shared" si="1"/>
        <v>-2.0040750883446153E-2</v>
      </c>
      <c r="L25" s="25"/>
      <c r="M25" s="9" t="s">
        <v>55</v>
      </c>
      <c r="N25" s="19">
        <f>1/24*(N23^3-3*N23)*$I$9</f>
        <v>-4.4515324975518737E-2</v>
      </c>
      <c r="P25" s="23"/>
      <c r="Q25" s="23"/>
      <c r="R25" s="23"/>
      <c r="S25" s="23"/>
      <c r="T25" s="23"/>
      <c r="U25" s="23"/>
      <c r="V25" s="23"/>
    </row>
    <row r="26" spans="2:22" x14ac:dyDescent="0.3">
      <c r="B26" s="5" t="s">
        <v>66</v>
      </c>
      <c r="C26" s="6">
        <v>4880</v>
      </c>
      <c r="D26" s="14">
        <f t="shared" si="0"/>
        <v>-2.0470836217247996E-3</v>
      </c>
      <c r="E26" s="6">
        <v>6200</v>
      </c>
      <c r="F26" s="14">
        <f t="shared" si="1"/>
        <v>4.0404095370049058E-3</v>
      </c>
      <c r="L26" s="25"/>
      <c r="M26" s="9" t="s">
        <v>58</v>
      </c>
      <c r="N26" s="19">
        <f>1/36*(2*N23^3-5*N23)*$I$8^2</f>
        <v>2.4045956521489647E-2</v>
      </c>
      <c r="P26" s="23"/>
      <c r="Q26" s="23"/>
      <c r="R26" s="23"/>
      <c r="S26" s="23"/>
      <c r="T26" s="23"/>
      <c r="U26" s="23"/>
      <c r="V26" s="23"/>
    </row>
    <row r="27" spans="2:22" x14ac:dyDescent="0.3">
      <c r="B27" s="5" t="s">
        <v>67</v>
      </c>
      <c r="C27" s="6">
        <v>4810</v>
      </c>
      <c r="D27" s="14">
        <f t="shared" si="0"/>
        <v>-1.4448135747386041E-2</v>
      </c>
      <c r="E27" s="6">
        <v>6175</v>
      </c>
      <c r="F27" s="14">
        <f t="shared" si="1"/>
        <v>-4.0404095370049744E-3</v>
      </c>
      <c r="L27" s="25"/>
      <c r="M27" s="3" t="s">
        <v>60</v>
      </c>
      <c r="N27" s="20">
        <f>N23+N24+N25-N26</f>
        <v>1.8979199870683017</v>
      </c>
      <c r="P27" s="23"/>
      <c r="Q27" s="23"/>
      <c r="R27" s="23"/>
      <c r="S27" s="23"/>
      <c r="T27" s="23"/>
      <c r="U27" s="23"/>
      <c r="V27" s="23"/>
    </row>
    <row r="28" spans="2:22" x14ac:dyDescent="0.3">
      <c r="B28" s="5" t="s">
        <v>68</v>
      </c>
      <c r="C28" s="6">
        <v>4850</v>
      </c>
      <c r="D28" s="14">
        <f t="shared" si="0"/>
        <v>8.2816208317220176E-3</v>
      </c>
      <c r="E28" s="6">
        <v>6225</v>
      </c>
      <c r="F28" s="14">
        <f t="shared" si="1"/>
        <v>8.0645598367304946E-3</v>
      </c>
      <c r="L28" s="25"/>
      <c r="M28" s="3" t="s">
        <v>62</v>
      </c>
      <c r="N28" s="21">
        <f>$I$4-N27*$I$5</f>
        <v>-3.6914340609123131E-2</v>
      </c>
      <c r="P28" s="23"/>
      <c r="Q28" s="23"/>
      <c r="R28" s="23"/>
      <c r="S28" s="23"/>
      <c r="T28" s="23"/>
      <c r="U28" s="23"/>
      <c r="V28" s="23"/>
    </row>
    <row r="29" spans="2:22" x14ac:dyDescent="0.3">
      <c r="B29" s="5" t="s">
        <v>69</v>
      </c>
      <c r="C29" s="6">
        <v>4880</v>
      </c>
      <c r="D29" s="14">
        <f t="shared" si="0"/>
        <v>6.1665149156639584E-3</v>
      </c>
      <c r="E29" s="6">
        <v>6125</v>
      </c>
      <c r="F29" s="14">
        <f t="shared" si="1"/>
        <v>-1.6194685919980606E-2</v>
      </c>
      <c r="L29" s="24">
        <v>0.1</v>
      </c>
      <c r="M29" s="9" t="s">
        <v>50</v>
      </c>
      <c r="N29" s="19">
        <f>NORMSINV(1-L29)</f>
        <v>1.2815515655446006</v>
      </c>
      <c r="P29" s="23"/>
      <c r="Q29" s="23"/>
      <c r="R29" s="23"/>
      <c r="S29" s="23"/>
      <c r="T29" s="23"/>
      <c r="U29" s="23"/>
      <c r="V29" s="23"/>
    </row>
    <row r="30" spans="2:22" x14ac:dyDescent="0.3">
      <c r="B30" s="5" t="s">
        <v>70</v>
      </c>
      <c r="C30" s="6">
        <v>4850</v>
      </c>
      <c r="D30" s="14">
        <f t="shared" si="0"/>
        <v>-6.1665149156640148E-3</v>
      </c>
      <c r="E30" s="6">
        <v>6125</v>
      </c>
      <c r="F30" s="14">
        <f t="shared" si="1"/>
        <v>0</v>
      </c>
      <c r="L30" s="25"/>
      <c r="M30" s="9" t="s">
        <v>52</v>
      </c>
      <c r="N30" s="19">
        <f>1/6*(N29^2-1)*$I$8</f>
        <v>0.12113755746392529</v>
      </c>
      <c r="P30" s="23"/>
      <c r="Q30" s="23"/>
      <c r="R30" s="23"/>
      <c r="S30" s="23"/>
      <c r="T30" s="23"/>
      <c r="U30" s="23"/>
      <c r="V30" s="23"/>
    </row>
    <row r="31" spans="2:22" x14ac:dyDescent="0.3">
      <c r="B31" s="5" t="s">
        <v>71</v>
      </c>
      <c r="C31" s="6">
        <v>5100</v>
      </c>
      <c r="D31" s="14">
        <f t="shared" si="0"/>
        <v>5.0261834780888297E-2</v>
      </c>
      <c r="E31" s="6">
        <v>6225</v>
      </c>
      <c r="F31" s="14">
        <f t="shared" si="1"/>
        <v>1.6194685919980606E-2</v>
      </c>
      <c r="L31" s="25"/>
      <c r="M31" s="9" t="s">
        <v>55</v>
      </c>
      <c r="N31" s="19">
        <f>1/24*(N29^3-3*N29)*$I$9</f>
        <v>-0.15991057222884159</v>
      </c>
      <c r="P31" s="23"/>
      <c r="Q31" s="23"/>
      <c r="R31" s="23"/>
      <c r="S31" s="23"/>
      <c r="T31" s="23"/>
      <c r="U31" s="23"/>
      <c r="V31" s="23"/>
    </row>
    <row r="32" spans="2:22" x14ac:dyDescent="0.3">
      <c r="B32" s="5" t="s">
        <v>72</v>
      </c>
      <c r="C32" s="6">
        <v>5100</v>
      </c>
      <c r="D32" s="14">
        <f t="shared" si="0"/>
        <v>0</v>
      </c>
      <c r="E32" s="6">
        <v>6475</v>
      </c>
      <c r="F32" s="14">
        <f t="shared" si="1"/>
        <v>3.9375165234830187E-2</v>
      </c>
      <c r="L32" s="25"/>
      <c r="M32" s="9" t="s">
        <v>58</v>
      </c>
      <c r="N32" s="19">
        <f>1/36*(2*N29^3-5*N29)*$I$8^2</f>
        <v>-7.8170873386991496E-2</v>
      </c>
      <c r="P32" s="23"/>
      <c r="Q32" s="23"/>
      <c r="R32" s="23"/>
      <c r="S32" s="23"/>
      <c r="T32" s="23"/>
      <c r="U32" s="23"/>
      <c r="V32" s="23"/>
    </row>
    <row r="33" spans="2:22" x14ac:dyDescent="0.3">
      <c r="B33" s="5" t="s">
        <v>73</v>
      </c>
      <c r="C33" s="6">
        <v>5050</v>
      </c>
      <c r="D33" s="14">
        <f t="shared" si="0"/>
        <v>-9.8522964430115944E-3</v>
      </c>
      <c r="E33" s="6">
        <v>6475</v>
      </c>
      <c r="F33" s="14">
        <f t="shared" si="1"/>
        <v>0</v>
      </c>
      <c r="L33" s="25"/>
      <c r="M33" s="3" t="s">
        <v>60</v>
      </c>
      <c r="N33" s="20">
        <f>N29+N30+N31-N32</f>
        <v>1.3209494241666757</v>
      </c>
      <c r="P33" s="23"/>
      <c r="Q33" s="23"/>
      <c r="R33" s="23"/>
      <c r="S33" s="23"/>
      <c r="T33" s="23"/>
      <c r="U33" s="23"/>
      <c r="V33" s="23"/>
    </row>
    <row r="34" spans="2:22" x14ac:dyDescent="0.3">
      <c r="B34" s="5" t="s">
        <v>74</v>
      </c>
      <c r="C34" s="6">
        <v>5100</v>
      </c>
      <c r="D34" s="14">
        <f t="shared" si="0"/>
        <v>9.8522964430116395E-3</v>
      </c>
      <c r="E34" s="6">
        <v>6525</v>
      </c>
      <c r="F34" s="14">
        <f t="shared" si="1"/>
        <v>7.6923456231556449E-3</v>
      </c>
      <c r="L34" s="25"/>
      <c r="M34" s="3" t="s">
        <v>62</v>
      </c>
      <c r="N34" s="21">
        <f>$I$4-N33*$I$5</f>
        <v>-2.5538595318353164E-2</v>
      </c>
      <c r="P34" s="23"/>
      <c r="Q34" s="23"/>
      <c r="R34" s="23"/>
      <c r="S34" s="23"/>
      <c r="T34" s="23"/>
      <c r="U34" s="23"/>
      <c r="V34" s="23"/>
    </row>
    <row r="35" spans="2:22" x14ac:dyDescent="0.3">
      <c r="B35" s="5" t="s">
        <v>75</v>
      </c>
      <c r="C35" s="6">
        <v>5150</v>
      </c>
      <c r="D35" s="14">
        <f t="shared" si="0"/>
        <v>9.7561749453646558E-3</v>
      </c>
      <c r="E35" s="6">
        <v>6500</v>
      </c>
      <c r="F35" s="14">
        <f t="shared" si="1"/>
        <v>-3.8387763071657129E-3</v>
      </c>
      <c r="P35" s="23"/>
      <c r="Q35" s="23"/>
      <c r="R35" s="23"/>
      <c r="S35" s="23"/>
      <c r="T35" s="23"/>
      <c r="U35" s="23"/>
      <c r="V35" s="23"/>
    </row>
    <row r="36" spans="2:22" x14ac:dyDescent="0.3">
      <c r="B36" s="5" t="s">
        <v>76</v>
      </c>
      <c r="C36" s="6">
        <v>5000</v>
      </c>
      <c r="D36" s="14">
        <f t="shared" si="0"/>
        <v>-2.9558802241544391E-2</v>
      </c>
      <c r="E36" s="6">
        <v>6275</v>
      </c>
      <c r="F36" s="14">
        <f t="shared" si="1"/>
        <v>-3.5228691883743828E-2</v>
      </c>
      <c r="L36" s="22" t="s">
        <v>10</v>
      </c>
      <c r="M36" s="23"/>
      <c r="N36" s="23"/>
    </row>
    <row r="37" spans="2:22" x14ac:dyDescent="0.3">
      <c r="B37" s="5" t="s">
        <v>77</v>
      </c>
      <c r="C37" s="6">
        <v>4980</v>
      </c>
      <c r="D37" s="14">
        <f t="shared" ref="D37:D68" si="2">LN(C37/C36)</f>
        <v>-4.0080213975388218E-3</v>
      </c>
      <c r="E37" s="6">
        <v>6275</v>
      </c>
      <c r="F37" s="14">
        <f t="shared" ref="F37:F68" si="3">LN(E37/E36)</f>
        <v>0</v>
      </c>
      <c r="L37" s="22" t="s">
        <v>45</v>
      </c>
      <c r="M37" s="23"/>
      <c r="N37" s="23"/>
    </row>
    <row r="38" spans="2:22" x14ac:dyDescent="0.3">
      <c r="B38" s="5" t="s">
        <v>78</v>
      </c>
      <c r="C38" s="6">
        <v>4910</v>
      </c>
      <c r="D38" s="14">
        <f t="shared" si="2"/>
        <v>-1.4155949230132298E-2</v>
      </c>
      <c r="E38" s="6">
        <v>6300</v>
      </c>
      <c r="F38" s="14">
        <f t="shared" si="3"/>
        <v>3.9761483796394168E-3</v>
      </c>
      <c r="L38" s="1" t="s">
        <v>33</v>
      </c>
      <c r="M38" s="1" t="s">
        <v>47</v>
      </c>
      <c r="N38" s="1" t="s">
        <v>48</v>
      </c>
    </row>
    <row r="39" spans="2:22" x14ac:dyDescent="0.3">
      <c r="B39" s="5" t="s">
        <v>79</v>
      </c>
      <c r="C39" s="6">
        <v>4970</v>
      </c>
      <c r="D39" s="14">
        <f t="shared" si="2"/>
        <v>1.214589830210812E-2</v>
      </c>
      <c r="E39" s="6">
        <v>6225</v>
      </c>
      <c r="F39" s="14">
        <f t="shared" si="3"/>
        <v>-1.1976191046715649E-2</v>
      </c>
      <c r="H39" s="27" t="s">
        <v>80</v>
      </c>
      <c r="I39" s="23"/>
      <c r="J39" s="23"/>
      <c r="L39" s="24">
        <v>0.01</v>
      </c>
      <c r="M39" s="9" t="s">
        <v>50</v>
      </c>
      <c r="N39" s="19">
        <f>NORMSINV(1-L39)</f>
        <v>2.3263478740408408</v>
      </c>
    </row>
    <row r="40" spans="2:22" x14ac:dyDescent="0.3">
      <c r="B40" s="5" t="s">
        <v>81</v>
      </c>
      <c r="C40" s="6">
        <v>4960</v>
      </c>
      <c r="D40" s="14">
        <f t="shared" si="2"/>
        <v>-2.0140993717012562E-3</v>
      </c>
      <c r="E40" s="6">
        <v>6275</v>
      </c>
      <c r="F40" s="14">
        <f t="shared" si="3"/>
        <v>8.0000426670763704E-3</v>
      </c>
      <c r="H40" s="23"/>
      <c r="I40" s="23"/>
      <c r="J40" s="23"/>
      <c r="L40" s="25"/>
      <c r="M40" s="9" t="s">
        <v>52</v>
      </c>
      <c r="N40" s="19">
        <f>1/6*(N39^2-1)*$J$8</f>
        <v>0.54569220525034789</v>
      </c>
    </row>
    <row r="41" spans="2:22" x14ac:dyDescent="0.3">
      <c r="B41" s="5" t="s">
        <v>82</v>
      </c>
      <c r="C41" s="6">
        <v>4950</v>
      </c>
      <c r="D41" s="14">
        <f t="shared" si="2"/>
        <v>-2.0181641562372361E-3</v>
      </c>
      <c r="E41" s="6">
        <v>6450</v>
      </c>
      <c r="F41" s="14">
        <f t="shared" si="3"/>
        <v>2.7506645789833514E-2</v>
      </c>
      <c r="H41" s="23"/>
      <c r="I41" s="23"/>
      <c r="J41" s="23"/>
      <c r="L41" s="25"/>
      <c r="M41" s="9" t="s">
        <v>55</v>
      </c>
      <c r="N41" s="19">
        <f>1/24*(N39^3-3*N39)*$J$9</f>
        <v>0.67665820276014965</v>
      </c>
    </row>
    <row r="42" spans="2:22" x14ac:dyDescent="0.3">
      <c r="B42" s="5" t="s">
        <v>83</v>
      </c>
      <c r="C42" s="6">
        <v>5100</v>
      </c>
      <c r="D42" s="14">
        <f t="shared" si="2"/>
        <v>2.9852963149681128E-2</v>
      </c>
      <c r="E42" s="6">
        <v>6325</v>
      </c>
      <c r="F42" s="14">
        <f t="shared" si="3"/>
        <v>-1.9570096194097223E-2</v>
      </c>
      <c r="H42" s="23"/>
      <c r="I42" s="23"/>
      <c r="J42" s="23"/>
      <c r="L42" s="25"/>
      <c r="M42" s="9" t="s">
        <v>58</v>
      </c>
      <c r="N42" s="19">
        <f>1/36*(2*N39^3-5*N39)*$J$8^2</f>
        <v>0.20726480220860238</v>
      </c>
    </row>
    <row r="43" spans="2:22" x14ac:dyDescent="0.3">
      <c r="B43" s="5" t="s">
        <v>84</v>
      </c>
      <c r="C43" s="6">
        <v>5050</v>
      </c>
      <c r="D43" s="14">
        <f t="shared" si="2"/>
        <v>-9.8522964430115944E-3</v>
      </c>
      <c r="E43" s="6">
        <v>6300</v>
      </c>
      <c r="F43" s="14">
        <f t="shared" si="3"/>
        <v>-3.9604012160969048E-3</v>
      </c>
      <c r="H43" s="26" t="s">
        <v>10</v>
      </c>
      <c r="I43" s="23"/>
      <c r="J43" s="23"/>
      <c r="L43" s="25"/>
      <c r="M43" s="3" t="s">
        <v>60</v>
      </c>
      <c r="N43" s="20">
        <f>N39+N40+N41-N42</f>
        <v>3.3414334798427361</v>
      </c>
    </row>
    <row r="44" spans="2:22" x14ac:dyDescent="0.3">
      <c r="B44" s="5" t="s">
        <v>85</v>
      </c>
      <c r="C44" s="6">
        <v>5125</v>
      </c>
      <c r="D44" s="14">
        <f t="shared" si="2"/>
        <v>1.4742281737203431E-2</v>
      </c>
      <c r="E44" s="6">
        <v>6500</v>
      </c>
      <c r="F44" s="14">
        <f t="shared" si="3"/>
        <v>3.125254350410453E-2</v>
      </c>
      <c r="L44" s="25"/>
      <c r="M44" s="3" t="s">
        <v>62</v>
      </c>
      <c r="N44" s="21">
        <f>$J$4-N43*$J$5</f>
        <v>-7.4645792682008452E-2</v>
      </c>
    </row>
    <row r="45" spans="2:22" x14ac:dyDescent="0.3">
      <c r="B45" s="5" t="s">
        <v>86</v>
      </c>
      <c r="C45" s="6">
        <v>5025</v>
      </c>
      <c r="D45" s="14">
        <f t="shared" si="2"/>
        <v>-1.9705071079332444E-2</v>
      </c>
      <c r="E45" s="6">
        <v>6450</v>
      </c>
      <c r="F45" s="14">
        <f t="shared" si="3"/>
        <v>-7.7220460939102778E-3</v>
      </c>
      <c r="L45" s="24">
        <v>0.05</v>
      </c>
      <c r="M45" s="9" t="s">
        <v>50</v>
      </c>
      <c r="N45" s="19">
        <f>NORMSINV(1-L45)</f>
        <v>1.6448536269514715</v>
      </c>
    </row>
    <row r="46" spans="2:22" x14ac:dyDescent="0.3">
      <c r="B46" s="5" t="s">
        <v>87</v>
      </c>
      <c r="C46" s="6">
        <v>5100</v>
      </c>
      <c r="D46" s="14">
        <f t="shared" si="2"/>
        <v>1.4815085785140682E-2</v>
      </c>
      <c r="E46" s="6">
        <v>6350</v>
      </c>
      <c r="F46" s="14">
        <f t="shared" si="3"/>
        <v>-1.562531790308087E-2</v>
      </c>
      <c r="L46" s="25"/>
      <c r="M46" s="9" t="s">
        <v>52</v>
      </c>
      <c r="N46" s="19">
        <f>1/6*(N45^2-1)*$J$8</f>
        <v>0.21095286461630139</v>
      </c>
    </row>
    <row r="47" spans="2:22" x14ac:dyDescent="0.3">
      <c r="B47" s="5" t="s">
        <v>88</v>
      </c>
      <c r="C47" s="6">
        <v>5100</v>
      </c>
      <c r="D47" s="14">
        <f t="shared" si="2"/>
        <v>0</v>
      </c>
      <c r="E47" s="6">
        <v>6375</v>
      </c>
      <c r="F47" s="14">
        <f t="shared" si="3"/>
        <v>3.929278139889557E-3</v>
      </c>
      <c r="L47" s="25"/>
      <c r="M47" s="9" t="s">
        <v>55</v>
      </c>
      <c r="N47" s="19">
        <f>1/24*(N45^3-3*N45)*$J$9</f>
        <v>-5.8409685537797858E-2</v>
      </c>
    </row>
    <row r="48" spans="2:22" x14ac:dyDescent="0.3">
      <c r="B48" s="5" t="s">
        <v>89</v>
      </c>
      <c r="C48" s="6">
        <v>5000</v>
      </c>
      <c r="D48" s="14">
        <f t="shared" si="2"/>
        <v>-1.9802627296179754E-2</v>
      </c>
      <c r="E48" s="6">
        <v>6375</v>
      </c>
      <c r="F48" s="14">
        <f t="shared" si="3"/>
        <v>0</v>
      </c>
      <c r="L48" s="25"/>
      <c r="M48" s="9" t="s">
        <v>58</v>
      </c>
      <c r="N48" s="19">
        <f>1/36*(2*N45^3-5*N45)*$J$8^2</f>
        <v>1.0344420815819559E-2</v>
      </c>
    </row>
    <row r="49" spans="2:14" x14ac:dyDescent="0.3">
      <c r="B49" s="5" t="s">
        <v>90</v>
      </c>
      <c r="C49" s="6">
        <v>4870</v>
      </c>
      <c r="D49" s="14">
        <f t="shared" si="2"/>
        <v>-2.6343975339601977E-2</v>
      </c>
      <c r="E49" s="6">
        <v>6300</v>
      </c>
      <c r="F49" s="14">
        <f t="shared" si="3"/>
        <v>-1.1834457647002796E-2</v>
      </c>
      <c r="L49" s="25"/>
      <c r="M49" s="3" t="s">
        <v>60</v>
      </c>
      <c r="N49" s="20">
        <f>N45+N46+N47-N48</f>
        <v>1.7870523852141555</v>
      </c>
    </row>
    <row r="50" spans="2:14" x14ac:dyDescent="0.3">
      <c r="B50" s="5" t="s">
        <v>91</v>
      </c>
      <c r="C50" s="6">
        <v>4860</v>
      </c>
      <c r="D50" s="14">
        <f t="shared" si="2"/>
        <v>-2.055499182095999E-3</v>
      </c>
      <c r="E50" s="6">
        <v>6350</v>
      </c>
      <c r="F50" s="14">
        <f t="shared" si="3"/>
        <v>7.9051795071132473E-3</v>
      </c>
      <c r="L50" s="25"/>
      <c r="M50" s="3" t="s">
        <v>62</v>
      </c>
      <c r="N50" s="21">
        <f>$J$4-N49*$J$5</f>
        <v>-3.8612259092629657E-2</v>
      </c>
    </row>
    <row r="51" spans="2:14" x14ac:dyDescent="0.3">
      <c r="B51" s="5" t="s">
        <v>92</v>
      </c>
      <c r="C51" s="6">
        <v>4800</v>
      </c>
      <c r="D51" s="14">
        <f t="shared" si="2"/>
        <v>-1.2422519998557209E-2</v>
      </c>
      <c r="E51" s="6">
        <v>6375</v>
      </c>
      <c r="F51" s="14">
        <f t="shared" si="3"/>
        <v>3.929278139889557E-3</v>
      </c>
      <c r="L51" s="24">
        <v>0.1</v>
      </c>
      <c r="M51" s="9" t="s">
        <v>50</v>
      </c>
      <c r="N51" s="19">
        <f>NORMSINV(1-L51)</f>
        <v>1.2815515655446006</v>
      </c>
    </row>
    <row r="52" spans="2:14" x14ac:dyDescent="0.3">
      <c r="B52" s="5" t="s">
        <v>93</v>
      </c>
      <c r="C52" s="6">
        <v>4780</v>
      </c>
      <c r="D52" s="14">
        <f t="shared" si="2"/>
        <v>-4.1753714104806215E-3</v>
      </c>
      <c r="E52" s="6">
        <v>6350</v>
      </c>
      <c r="F52" s="14">
        <f t="shared" si="3"/>
        <v>-3.9292781398895501E-3</v>
      </c>
      <c r="L52" s="25"/>
      <c r="M52" s="9" t="s">
        <v>52</v>
      </c>
      <c r="N52" s="19">
        <f>1/6*(N51^2-1)*$J$8</f>
        <v>7.9453104936542063E-2</v>
      </c>
    </row>
    <row r="53" spans="2:14" x14ac:dyDescent="0.3">
      <c r="B53" s="5" t="s">
        <v>94</v>
      </c>
      <c r="C53" s="6">
        <v>4790</v>
      </c>
      <c r="D53" s="14">
        <f t="shared" si="2"/>
        <v>2.0898649194592365E-3</v>
      </c>
      <c r="E53" s="6">
        <v>6300</v>
      </c>
      <c r="F53" s="14">
        <f t="shared" si="3"/>
        <v>-7.9051795071132611E-3</v>
      </c>
      <c r="L53" s="25"/>
      <c r="M53" s="9" t="s">
        <v>55</v>
      </c>
      <c r="N53" s="19">
        <f>1/24*(N51^3-3*N51)*$J$9</f>
        <v>-0.20982271258701746</v>
      </c>
    </row>
    <row r="54" spans="2:14" x14ac:dyDescent="0.3">
      <c r="B54" s="5" t="s">
        <v>95</v>
      </c>
      <c r="C54" s="6">
        <v>4730</v>
      </c>
      <c r="D54" s="14">
        <f t="shared" si="2"/>
        <v>-1.2605208918982279E-2</v>
      </c>
      <c r="E54" s="6">
        <v>6300</v>
      </c>
      <c r="F54" s="14">
        <f t="shared" si="3"/>
        <v>0</v>
      </c>
      <c r="L54" s="25"/>
      <c r="M54" s="9" t="s">
        <v>58</v>
      </c>
      <c r="N54" s="19">
        <f>1/36*(2*N51^3-5*N51)*$J$8^2</f>
        <v>-3.3628623138053287E-2</v>
      </c>
    </row>
    <row r="55" spans="2:14" x14ac:dyDescent="0.3">
      <c r="B55" s="5" t="s">
        <v>96</v>
      </c>
      <c r="C55" s="6">
        <v>4790</v>
      </c>
      <c r="D55" s="14">
        <f t="shared" si="2"/>
        <v>1.260520891898219E-2</v>
      </c>
      <c r="E55" s="6">
        <v>6400</v>
      </c>
      <c r="F55" s="14">
        <f t="shared" si="3"/>
        <v>1.5748356968139112E-2</v>
      </c>
      <c r="L55" s="25"/>
      <c r="M55" s="3" t="s">
        <v>60</v>
      </c>
      <c r="N55" s="20">
        <f>N51+N52+N53-N54</f>
        <v>1.1848105810321785</v>
      </c>
    </row>
    <row r="56" spans="2:14" x14ac:dyDescent="0.3">
      <c r="B56" s="5" t="s">
        <v>97</v>
      </c>
      <c r="C56" s="6">
        <v>4780</v>
      </c>
      <c r="D56" s="14">
        <f t="shared" si="2"/>
        <v>-2.0898649194592421E-3</v>
      </c>
      <c r="E56" s="6">
        <v>6450</v>
      </c>
      <c r="F56" s="14">
        <f t="shared" si="3"/>
        <v>7.782140442054949E-3</v>
      </c>
      <c r="L56" s="25"/>
      <c r="M56" s="3" t="s">
        <v>62</v>
      </c>
      <c r="N56" s="21">
        <f>$J$4-N55*$J$5</f>
        <v>-2.4651139548065984E-2</v>
      </c>
    </row>
    <row r="57" spans="2:14" x14ac:dyDescent="0.3">
      <c r="B57" s="5" t="s">
        <v>98</v>
      </c>
      <c r="C57" s="6">
        <v>4790</v>
      </c>
      <c r="D57" s="14">
        <f t="shared" si="2"/>
        <v>2.0898649194592365E-3</v>
      </c>
      <c r="E57" s="6">
        <v>6400</v>
      </c>
      <c r="F57" s="14">
        <f t="shared" si="3"/>
        <v>-7.7821404420549628E-3</v>
      </c>
    </row>
    <row r="58" spans="2:14" x14ac:dyDescent="0.3">
      <c r="B58" s="5" t="s">
        <v>99</v>
      </c>
      <c r="C58" s="6">
        <v>4780</v>
      </c>
      <c r="D58" s="14">
        <f t="shared" si="2"/>
        <v>-2.0898649194592421E-3</v>
      </c>
      <c r="E58" s="6">
        <v>6350</v>
      </c>
      <c r="F58" s="14">
        <f t="shared" si="3"/>
        <v>-7.8431774610258926E-3</v>
      </c>
    </row>
    <row r="59" spans="2:14" x14ac:dyDescent="0.3">
      <c r="B59" s="5" t="s">
        <v>100</v>
      </c>
      <c r="C59" s="6">
        <v>4790</v>
      </c>
      <c r="D59" s="14">
        <f t="shared" si="2"/>
        <v>2.0898649194592365E-3</v>
      </c>
      <c r="E59" s="6">
        <v>6400</v>
      </c>
      <c r="F59" s="14">
        <f t="shared" si="3"/>
        <v>7.8431774610258787E-3</v>
      </c>
    </row>
    <row r="60" spans="2:14" x14ac:dyDescent="0.3">
      <c r="B60" s="5" t="s">
        <v>101</v>
      </c>
      <c r="C60" s="6">
        <v>4800</v>
      </c>
      <c r="D60" s="14">
        <f t="shared" si="2"/>
        <v>2.0855064910213611E-3</v>
      </c>
      <c r="E60" s="6">
        <v>6475</v>
      </c>
      <c r="F60" s="14">
        <f t="shared" si="3"/>
        <v>1.1650617219975274E-2</v>
      </c>
    </row>
    <row r="61" spans="2:14" x14ac:dyDescent="0.3">
      <c r="B61" s="5" t="s">
        <v>102</v>
      </c>
      <c r="C61" s="6">
        <v>4800</v>
      </c>
      <c r="D61" s="14">
        <f t="shared" si="2"/>
        <v>0</v>
      </c>
      <c r="E61" s="6">
        <v>6475</v>
      </c>
      <c r="F61" s="14">
        <f t="shared" si="3"/>
        <v>0</v>
      </c>
    </row>
    <row r="62" spans="2:14" x14ac:dyDescent="0.3">
      <c r="B62" s="5" t="s">
        <v>103</v>
      </c>
      <c r="C62" s="6">
        <v>4920</v>
      </c>
      <c r="D62" s="14">
        <f t="shared" si="2"/>
        <v>2.4692612590371414E-2</v>
      </c>
      <c r="E62" s="6">
        <v>6600</v>
      </c>
      <c r="F62" s="14">
        <f t="shared" si="3"/>
        <v>1.9121041446778377E-2</v>
      </c>
    </row>
    <row r="63" spans="2:14" x14ac:dyDescent="0.3">
      <c r="B63" s="5" t="s">
        <v>104</v>
      </c>
      <c r="C63" s="6">
        <v>4840</v>
      </c>
      <c r="D63" s="14">
        <f t="shared" si="2"/>
        <v>-1.6393809775676383E-2</v>
      </c>
      <c r="E63" s="6">
        <v>6675</v>
      </c>
      <c r="F63" s="14">
        <f t="shared" si="3"/>
        <v>1.1299555253933466E-2</v>
      </c>
    </row>
    <row r="64" spans="2:14" x14ac:dyDescent="0.3">
      <c r="B64" s="5" t="s">
        <v>105</v>
      </c>
      <c r="C64" s="6">
        <v>5050</v>
      </c>
      <c r="D64" s="14">
        <f t="shared" si="2"/>
        <v>4.247352255872814E-2</v>
      </c>
      <c r="E64" s="6">
        <v>6775</v>
      </c>
      <c r="F64" s="14">
        <f t="shared" si="3"/>
        <v>1.4870162479451407E-2</v>
      </c>
    </row>
    <row r="65" spans="2:10" x14ac:dyDescent="0.3">
      <c r="B65" s="5" t="s">
        <v>106</v>
      </c>
      <c r="C65" s="6">
        <v>4900</v>
      </c>
      <c r="D65" s="14">
        <f t="shared" si="2"/>
        <v>-3.0153038170687558E-2</v>
      </c>
      <c r="E65" s="6">
        <v>6700</v>
      </c>
      <c r="F65" s="14">
        <f t="shared" si="3"/>
        <v>-1.1131840368844181E-2</v>
      </c>
    </row>
    <row r="66" spans="2:10" x14ac:dyDescent="0.3">
      <c r="B66" s="5" t="s">
        <v>107</v>
      </c>
      <c r="C66" s="6">
        <v>4910</v>
      </c>
      <c r="D66" s="14">
        <f t="shared" si="2"/>
        <v>2.0387366898483089E-3</v>
      </c>
      <c r="E66" s="6">
        <v>6625</v>
      </c>
      <c r="F66" s="14">
        <f t="shared" si="3"/>
        <v>-1.1257154524634447E-2</v>
      </c>
    </row>
    <row r="67" spans="2:10" x14ac:dyDescent="0.3">
      <c r="B67" s="5" t="s">
        <v>108</v>
      </c>
      <c r="C67" s="6">
        <v>4930</v>
      </c>
      <c r="D67" s="14">
        <f t="shared" si="2"/>
        <v>4.0650462481695935E-3</v>
      </c>
      <c r="E67" s="6">
        <v>6675</v>
      </c>
      <c r="F67" s="14">
        <f t="shared" si="3"/>
        <v>7.518832414027319E-3</v>
      </c>
    </row>
    <row r="68" spans="2:10" x14ac:dyDescent="0.3">
      <c r="B68" s="5" t="s">
        <v>109</v>
      </c>
      <c r="C68" s="6">
        <v>4850</v>
      </c>
      <c r="D68" s="14">
        <f t="shared" si="2"/>
        <v>-1.6360283105206909E-2</v>
      </c>
      <c r="E68" s="6">
        <v>6525</v>
      </c>
      <c r="F68" s="14">
        <f t="shared" si="3"/>
        <v>-2.2728251077556175E-2</v>
      </c>
    </row>
    <row r="69" spans="2:10" x14ac:dyDescent="0.3">
      <c r="B69" s="5" t="s">
        <v>110</v>
      </c>
      <c r="C69" s="6">
        <v>4870</v>
      </c>
      <c r="D69" s="14">
        <f t="shared" ref="D69:D100" si="4">LN(C69/C68)</f>
        <v>4.1152321451065794E-3</v>
      </c>
      <c r="E69" s="6">
        <v>6425</v>
      </c>
      <c r="F69" s="14">
        <f t="shared" ref="F69:F100" si="5">LN(E69/E68)</f>
        <v>-1.5444322427473631E-2</v>
      </c>
      <c r="H69" s="27" t="s">
        <v>111</v>
      </c>
      <c r="I69" s="23"/>
      <c r="J69" s="23"/>
    </row>
    <row r="70" spans="2:10" x14ac:dyDescent="0.3">
      <c r="B70" s="5" t="s">
        <v>112</v>
      </c>
      <c r="C70" s="6">
        <v>4910</v>
      </c>
      <c r="D70" s="14">
        <f t="shared" si="4"/>
        <v>8.1800047119306891E-3</v>
      </c>
      <c r="E70" s="6">
        <v>6325</v>
      </c>
      <c r="F70" s="14">
        <f t="shared" si="5"/>
        <v>-1.5686596167699508E-2</v>
      </c>
      <c r="H70" s="23"/>
      <c r="I70" s="23"/>
      <c r="J70" s="23"/>
    </row>
    <row r="71" spans="2:10" x14ac:dyDescent="0.3">
      <c r="B71" s="5" t="s">
        <v>113</v>
      </c>
      <c r="C71" s="6">
        <v>4980</v>
      </c>
      <c r="D71" s="14">
        <f t="shared" si="4"/>
        <v>1.4155949230132241E-2</v>
      </c>
      <c r="E71" s="6">
        <v>6500</v>
      </c>
      <c r="F71" s="14">
        <f t="shared" si="5"/>
        <v>2.7292142288007554E-2</v>
      </c>
      <c r="H71" s="23"/>
      <c r="I71" s="23"/>
      <c r="J71" s="23"/>
    </row>
    <row r="72" spans="2:10" x14ac:dyDescent="0.3">
      <c r="B72" s="5" t="s">
        <v>114</v>
      </c>
      <c r="C72" s="6">
        <v>4890</v>
      </c>
      <c r="D72" s="14">
        <f t="shared" si="4"/>
        <v>-1.8237587549780901E-2</v>
      </c>
      <c r="E72" s="6">
        <v>6400</v>
      </c>
      <c r="F72" s="14">
        <f t="shared" si="5"/>
        <v>-1.5504186535965199E-2</v>
      </c>
      <c r="H72" s="23"/>
      <c r="I72" s="23"/>
      <c r="J72" s="23"/>
    </row>
    <row r="73" spans="2:10" x14ac:dyDescent="0.3">
      <c r="B73" s="5" t="s">
        <v>115</v>
      </c>
      <c r="C73" s="6">
        <v>4850</v>
      </c>
      <c r="D73" s="14">
        <f t="shared" si="4"/>
        <v>-8.2135985373888564E-3</v>
      </c>
      <c r="E73" s="6">
        <v>6325</v>
      </c>
      <c r="F73" s="14">
        <f t="shared" si="5"/>
        <v>-1.178795575204224E-2</v>
      </c>
    </row>
    <row r="74" spans="2:10" x14ac:dyDescent="0.3">
      <c r="B74" s="5" t="s">
        <v>116</v>
      </c>
      <c r="C74" s="6">
        <v>4900</v>
      </c>
      <c r="D74" s="14">
        <f t="shared" si="4"/>
        <v>1.0256500167189061E-2</v>
      </c>
      <c r="E74" s="6">
        <v>6350</v>
      </c>
      <c r="F74" s="14">
        <f t="shared" si="5"/>
        <v>3.9447782910163251E-3</v>
      </c>
    </row>
    <row r="75" spans="2:10" x14ac:dyDescent="0.3">
      <c r="B75" s="5" t="s">
        <v>117</v>
      </c>
      <c r="C75" s="6">
        <v>4820</v>
      </c>
      <c r="D75" s="14">
        <f t="shared" si="4"/>
        <v>-1.6461277054071962E-2</v>
      </c>
      <c r="E75" s="6">
        <v>6300</v>
      </c>
      <c r="F75" s="14">
        <f t="shared" si="5"/>
        <v>-7.9051795071132611E-3</v>
      </c>
    </row>
    <row r="76" spans="2:10" x14ac:dyDescent="0.3">
      <c r="B76" s="5" t="s">
        <v>118</v>
      </c>
      <c r="C76" s="6">
        <v>4820</v>
      </c>
      <c r="D76" s="14">
        <f t="shared" si="4"/>
        <v>0</v>
      </c>
      <c r="E76" s="6">
        <v>6225</v>
      </c>
      <c r="F76" s="14">
        <f t="shared" si="5"/>
        <v>-1.1976191046715649E-2</v>
      </c>
    </row>
    <row r="77" spans="2:10" x14ac:dyDescent="0.3">
      <c r="B77" s="5" t="s">
        <v>119</v>
      </c>
      <c r="C77" s="6">
        <v>4780</v>
      </c>
      <c r="D77" s="14">
        <f t="shared" si="4"/>
        <v>-8.3333815591442994E-3</v>
      </c>
      <c r="E77" s="6">
        <v>6200</v>
      </c>
      <c r="F77" s="14">
        <f t="shared" si="5"/>
        <v>-4.0241502997254907E-3</v>
      </c>
    </row>
    <row r="78" spans="2:10" x14ac:dyDescent="0.3">
      <c r="B78" s="5" t="s">
        <v>120</v>
      </c>
      <c r="C78" s="6">
        <v>4750</v>
      </c>
      <c r="D78" s="14">
        <f t="shared" si="4"/>
        <v>-6.2959284568148118E-3</v>
      </c>
      <c r="E78" s="6">
        <v>6300</v>
      </c>
      <c r="F78" s="14">
        <f t="shared" si="5"/>
        <v>1.600034134644112E-2</v>
      </c>
    </row>
    <row r="79" spans="2:10" x14ac:dyDescent="0.3">
      <c r="B79" s="5" t="s">
        <v>121</v>
      </c>
      <c r="C79" s="6">
        <v>4770</v>
      </c>
      <c r="D79" s="14">
        <f t="shared" si="4"/>
        <v>4.2016868536999766E-3</v>
      </c>
      <c r="E79" s="6">
        <v>6225</v>
      </c>
      <c r="F79" s="14">
        <f t="shared" si="5"/>
        <v>-1.1976191046715649E-2</v>
      </c>
    </row>
    <row r="80" spans="2:10" x14ac:dyDescent="0.3">
      <c r="B80" s="5" t="s">
        <v>122</v>
      </c>
      <c r="C80" s="6">
        <v>4690</v>
      </c>
      <c r="D80" s="14">
        <f t="shared" si="4"/>
        <v>-1.691372244206181E-2</v>
      </c>
      <c r="E80" s="6">
        <v>6250</v>
      </c>
      <c r="F80" s="14">
        <f t="shared" si="5"/>
        <v>4.0080213975388678E-3</v>
      </c>
    </row>
    <row r="81" spans="2:6" x14ac:dyDescent="0.3">
      <c r="B81" s="5" t="s">
        <v>123</v>
      </c>
      <c r="C81" s="6">
        <v>4670</v>
      </c>
      <c r="D81" s="14">
        <f t="shared" si="4"/>
        <v>-4.2735107773820497E-3</v>
      </c>
      <c r="E81" s="6">
        <v>6225</v>
      </c>
      <c r="F81" s="14">
        <f t="shared" si="5"/>
        <v>-4.0080213975388218E-3</v>
      </c>
    </row>
    <row r="82" spans="2:6" x14ac:dyDescent="0.3">
      <c r="B82" s="5" t="s">
        <v>124</v>
      </c>
      <c r="C82" s="6">
        <v>4700</v>
      </c>
      <c r="D82" s="14">
        <f t="shared" si="4"/>
        <v>6.4034370352070071E-3</v>
      </c>
      <c r="E82" s="6">
        <v>6150</v>
      </c>
      <c r="F82" s="14">
        <f t="shared" si="5"/>
        <v>-1.212136053234485E-2</v>
      </c>
    </row>
    <row r="83" spans="2:6" x14ac:dyDescent="0.3">
      <c r="B83" s="5" t="s">
        <v>125</v>
      </c>
      <c r="C83" s="6">
        <v>4600</v>
      </c>
      <c r="D83" s="14">
        <f t="shared" si="4"/>
        <v>-2.1506205220963619E-2</v>
      </c>
      <c r="E83" s="6">
        <v>6075</v>
      </c>
      <c r="F83" s="14">
        <f t="shared" si="5"/>
        <v>-1.2270092591814359E-2</v>
      </c>
    </row>
    <row r="84" spans="2:6" x14ac:dyDescent="0.3">
      <c r="B84" s="5" t="s">
        <v>126</v>
      </c>
      <c r="C84" s="6">
        <v>4540</v>
      </c>
      <c r="D84" s="14">
        <f t="shared" si="4"/>
        <v>-1.3129291441792736E-2</v>
      </c>
      <c r="E84" s="6">
        <v>6075</v>
      </c>
      <c r="F84" s="14">
        <f t="shared" si="5"/>
        <v>0</v>
      </c>
    </row>
  </sheetData>
  <mergeCells count="24">
    <mergeCell ref="H69:J72"/>
    <mergeCell ref="H43:J43"/>
    <mergeCell ref="P2:V2"/>
    <mergeCell ref="L51:L56"/>
    <mergeCell ref="P19:V35"/>
    <mergeCell ref="L37:N37"/>
    <mergeCell ref="P7:V7"/>
    <mergeCell ref="L39:L44"/>
    <mergeCell ref="L45:L50"/>
    <mergeCell ref="L36:N36"/>
    <mergeCell ref="L29:L34"/>
    <mergeCell ref="H39:J42"/>
    <mergeCell ref="H2:J2"/>
    <mergeCell ref="B2:F2"/>
    <mergeCell ref="H13:J13"/>
    <mergeCell ref="H12:J12"/>
    <mergeCell ref="L23:L28"/>
    <mergeCell ref="L2:M2"/>
    <mergeCell ref="L15:N15"/>
    <mergeCell ref="P13:V13"/>
    <mergeCell ref="L17:L22"/>
    <mergeCell ref="L14:N14"/>
    <mergeCell ref="P18:V18"/>
    <mergeCell ref="L8:N8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CORNISH FISHER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Geovany Bramanthya Samuel Sihombing</cp:lastModifiedBy>
  <dcterms:created xsi:type="dcterms:W3CDTF">2026-10-01T06:20:19Z</dcterms:created>
  <dcterms:modified xsi:type="dcterms:W3CDTF">2026-10-01T06:20:33Z</dcterms:modified>
</cp:coreProperties>
</file>