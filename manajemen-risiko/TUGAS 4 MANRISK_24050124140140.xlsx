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eova\.gemini\antigravity\scratch\"/>
    </mc:Choice>
  </mc:AlternateContent>
  <xr:revisionPtr revIDLastSave="0" documentId="13_ncr:1_{84295FEC-C985-4940-A079-B0ACE6880971}" xr6:coauthVersionLast="47" xr6:coauthVersionMax="47" xr10:uidLastSave="{00000000-0000-0000-0000-000000000000}"/>
  <bookViews>
    <workbookView xWindow="-108" yWindow="-108" windowWidth="23256" windowHeight="13176" xr2:uid="{00000000-000D-0000-FFFF-FFFF00000000}"/>
  </bookViews>
  <sheets>
    <sheet name="CORNISH FISH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4" i="1" l="1"/>
  <c r="D254" i="1"/>
  <c r="F253" i="1"/>
  <c r="D253" i="1"/>
  <c r="F252" i="1"/>
  <c r="D252" i="1"/>
  <c r="F251" i="1"/>
  <c r="D251" i="1"/>
  <c r="F250" i="1"/>
  <c r="D250" i="1"/>
  <c r="F249" i="1"/>
  <c r="D249" i="1"/>
  <c r="F248" i="1"/>
  <c r="D248" i="1"/>
  <c r="F247" i="1"/>
  <c r="D247" i="1"/>
  <c r="F246" i="1"/>
  <c r="D246" i="1"/>
  <c r="F245" i="1"/>
  <c r="D245" i="1"/>
  <c r="F244" i="1"/>
  <c r="D244" i="1"/>
  <c r="F243" i="1"/>
  <c r="D243" i="1"/>
  <c r="F242" i="1"/>
  <c r="D242" i="1"/>
  <c r="F241" i="1"/>
  <c r="D241" i="1"/>
  <c r="F240" i="1"/>
  <c r="D240" i="1"/>
  <c r="F239" i="1"/>
  <c r="D239" i="1"/>
  <c r="F238" i="1"/>
  <c r="D238" i="1"/>
  <c r="F237" i="1"/>
  <c r="D237" i="1"/>
  <c r="F236" i="1"/>
  <c r="D236" i="1"/>
  <c r="F235" i="1"/>
  <c r="D235" i="1"/>
  <c r="F234" i="1"/>
  <c r="D234" i="1"/>
  <c r="F233" i="1"/>
  <c r="D233" i="1"/>
  <c r="F232" i="1"/>
  <c r="D232" i="1"/>
  <c r="F231" i="1"/>
  <c r="D231" i="1"/>
  <c r="F230" i="1"/>
  <c r="D230" i="1"/>
  <c r="F229" i="1"/>
  <c r="D229" i="1"/>
  <c r="F228" i="1"/>
  <c r="D228" i="1"/>
  <c r="F227" i="1"/>
  <c r="D227" i="1"/>
  <c r="F226" i="1"/>
  <c r="D226" i="1"/>
  <c r="F225" i="1"/>
  <c r="D225" i="1"/>
  <c r="F224" i="1"/>
  <c r="D224" i="1"/>
  <c r="F223" i="1"/>
  <c r="D223" i="1"/>
  <c r="F222" i="1"/>
  <c r="D222" i="1"/>
  <c r="F221" i="1"/>
  <c r="D221" i="1"/>
  <c r="F220" i="1"/>
  <c r="D220" i="1"/>
  <c r="F219" i="1"/>
  <c r="D219" i="1"/>
  <c r="F218" i="1"/>
  <c r="D218" i="1"/>
  <c r="F217" i="1"/>
  <c r="D217" i="1"/>
  <c r="F216" i="1"/>
  <c r="D216" i="1"/>
  <c r="F215" i="1"/>
  <c r="D215" i="1"/>
  <c r="F214" i="1"/>
  <c r="D214" i="1"/>
  <c r="F213" i="1"/>
  <c r="D213" i="1"/>
  <c r="F212" i="1"/>
  <c r="D212" i="1"/>
  <c r="F211" i="1"/>
  <c r="D211" i="1"/>
  <c r="F210" i="1"/>
  <c r="D210" i="1"/>
  <c r="F209" i="1"/>
  <c r="D209" i="1"/>
  <c r="F208" i="1"/>
  <c r="D208" i="1"/>
  <c r="F207" i="1"/>
  <c r="D207" i="1"/>
  <c r="F206" i="1"/>
  <c r="D206" i="1"/>
  <c r="F205" i="1"/>
  <c r="D205" i="1"/>
  <c r="F204" i="1"/>
  <c r="D204" i="1"/>
  <c r="F203" i="1"/>
  <c r="D203" i="1"/>
  <c r="F202" i="1"/>
  <c r="D202" i="1"/>
  <c r="F201" i="1"/>
  <c r="D201" i="1"/>
  <c r="F200" i="1"/>
  <c r="D200" i="1"/>
  <c r="F199" i="1"/>
  <c r="D199" i="1"/>
  <c r="F198" i="1"/>
  <c r="D198" i="1"/>
  <c r="F197" i="1"/>
  <c r="D197" i="1"/>
  <c r="F196" i="1"/>
  <c r="D196" i="1"/>
  <c r="F195" i="1"/>
  <c r="D195" i="1"/>
  <c r="F194" i="1"/>
  <c r="D194" i="1"/>
  <c r="F193" i="1"/>
  <c r="D193" i="1"/>
  <c r="F192" i="1"/>
  <c r="D192" i="1"/>
  <c r="F191" i="1"/>
  <c r="D191" i="1"/>
  <c r="F190" i="1"/>
  <c r="D190" i="1"/>
  <c r="F189" i="1"/>
  <c r="D189" i="1"/>
  <c r="F188" i="1"/>
  <c r="D188" i="1"/>
  <c r="F187" i="1"/>
  <c r="D187" i="1"/>
  <c r="F186" i="1"/>
  <c r="D186" i="1"/>
  <c r="F185" i="1"/>
  <c r="D185" i="1"/>
  <c r="F184" i="1"/>
  <c r="D184" i="1"/>
  <c r="F183" i="1"/>
  <c r="D183" i="1"/>
  <c r="F182" i="1"/>
  <c r="D182" i="1"/>
  <c r="F181" i="1"/>
  <c r="D181" i="1"/>
  <c r="F180" i="1"/>
  <c r="D180" i="1"/>
  <c r="F179" i="1"/>
  <c r="D179" i="1"/>
  <c r="F178" i="1"/>
  <c r="D178" i="1"/>
  <c r="F177" i="1"/>
  <c r="D177" i="1"/>
  <c r="F176" i="1"/>
  <c r="D176" i="1"/>
  <c r="F175" i="1"/>
  <c r="D175" i="1"/>
  <c r="F174" i="1"/>
  <c r="D174" i="1"/>
  <c r="F173" i="1"/>
  <c r="D173" i="1"/>
  <c r="F172" i="1"/>
  <c r="D172" i="1"/>
  <c r="F171" i="1"/>
  <c r="D171" i="1"/>
  <c r="F170" i="1"/>
  <c r="D170" i="1"/>
  <c r="F169" i="1"/>
  <c r="D169" i="1"/>
  <c r="F168" i="1"/>
  <c r="D168" i="1"/>
  <c r="F167" i="1"/>
  <c r="D167" i="1"/>
  <c r="F166" i="1"/>
  <c r="D166" i="1"/>
  <c r="F165" i="1"/>
  <c r="D165" i="1"/>
  <c r="F164" i="1"/>
  <c r="D164" i="1"/>
  <c r="F163" i="1"/>
  <c r="D163" i="1"/>
  <c r="F162" i="1"/>
  <c r="D162" i="1"/>
  <c r="F161" i="1"/>
  <c r="D161" i="1"/>
  <c r="F160" i="1"/>
  <c r="D160" i="1"/>
  <c r="F159" i="1"/>
  <c r="D159" i="1"/>
  <c r="F158" i="1"/>
  <c r="D158" i="1"/>
  <c r="F157" i="1"/>
  <c r="D157" i="1"/>
  <c r="F156" i="1"/>
  <c r="D156" i="1"/>
  <c r="F155" i="1"/>
  <c r="D155" i="1"/>
  <c r="F154" i="1"/>
  <c r="D154" i="1"/>
  <c r="F153" i="1"/>
  <c r="D153" i="1"/>
  <c r="F152" i="1"/>
  <c r="D152" i="1"/>
  <c r="F151" i="1"/>
  <c r="D151" i="1"/>
  <c r="F150" i="1"/>
  <c r="D150" i="1"/>
  <c r="F149" i="1"/>
  <c r="D149" i="1"/>
  <c r="F148" i="1"/>
  <c r="D148" i="1"/>
  <c r="F147" i="1"/>
  <c r="D147" i="1"/>
  <c r="F146" i="1"/>
  <c r="D146" i="1"/>
  <c r="F145" i="1"/>
  <c r="D145" i="1"/>
  <c r="F144" i="1"/>
  <c r="D144" i="1"/>
  <c r="F143" i="1"/>
  <c r="D143" i="1"/>
  <c r="F142" i="1"/>
  <c r="D142" i="1"/>
  <c r="F141" i="1"/>
  <c r="D141" i="1"/>
  <c r="F140" i="1"/>
  <c r="D140" i="1"/>
  <c r="F139" i="1"/>
  <c r="D139" i="1"/>
  <c r="F138" i="1"/>
  <c r="D138" i="1"/>
  <c r="F137" i="1"/>
  <c r="D137" i="1"/>
  <c r="F136" i="1"/>
  <c r="D136" i="1"/>
  <c r="F135" i="1"/>
  <c r="D135" i="1"/>
  <c r="F134" i="1"/>
  <c r="D134" i="1"/>
  <c r="F133" i="1"/>
  <c r="D133" i="1"/>
  <c r="F132" i="1"/>
  <c r="D132" i="1"/>
  <c r="F131" i="1"/>
  <c r="D131" i="1"/>
  <c r="F130" i="1"/>
  <c r="D130" i="1"/>
  <c r="F129" i="1"/>
  <c r="D129" i="1"/>
  <c r="F128" i="1"/>
  <c r="D128" i="1"/>
  <c r="F127" i="1"/>
  <c r="D127" i="1"/>
  <c r="F126" i="1"/>
  <c r="D126" i="1"/>
  <c r="F125" i="1"/>
  <c r="D125" i="1"/>
  <c r="F124" i="1"/>
  <c r="D124" i="1"/>
  <c r="F123" i="1"/>
  <c r="D123" i="1"/>
  <c r="F122" i="1"/>
  <c r="D122" i="1"/>
  <c r="F121" i="1"/>
  <c r="D121" i="1"/>
  <c r="F120" i="1"/>
  <c r="D120" i="1"/>
  <c r="F119" i="1"/>
  <c r="D119" i="1"/>
  <c r="F118" i="1"/>
  <c r="D118" i="1"/>
  <c r="F117" i="1"/>
  <c r="D117" i="1"/>
  <c r="F116" i="1"/>
  <c r="D116" i="1"/>
  <c r="F115" i="1"/>
  <c r="D115" i="1"/>
  <c r="F114" i="1"/>
  <c r="D114" i="1"/>
  <c r="F113" i="1"/>
  <c r="D113" i="1"/>
  <c r="F112" i="1"/>
  <c r="D112" i="1"/>
  <c r="F111" i="1"/>
  <c r="D111" i="1"/>
  <c r="F110" i="1"/>
  <c r="D110" i="1"/>
  <c r="F109" i="1"/>
  <c r="D109" i="1"/>
  <c r="F108" i="1"/>
  <c r="D108" i="1"/>
  <c r="F107" i="1"/>
  <c r="D107" i="1"/>
  <c r="F106" i="1"/>
  <c r="D106" i="1"/>
  <c r="F105" i="1"/>
  <c r="D105" i="1"/>
  <c r="F104" i="1"/>
  <c r="D104" i="1"/>
  <c r="F103" i="1"/>
  <c r="D103" i="1"/>
  <c r="F102" i="1"/>
  <c r="D102" i="1"/>
  <c r="F101" i="1"/>
  <c r="D101" i="1"/>
  <c r="F100" i="1"/>
  <c r="D100" i="1"/>
  <c r="F99" i="1"/>
  <c r="D99" i="1"/>
  <c r="F98" i="1"/>
  <c r="D98" i="1"/>
  <c r="F97" i="1"/>
  <c r="D97" i="1"/>
  <c r="F96" i="1"/>
  <c r="D96" i="1"/>
  <c r="F95" i="1"/>
  <c r="D95" i="1"/>
  <c r="F94" i="1"/>
  <c r="D94" i="1"/>
  <c r="F93" i="1"/>
  <c r="D93" i="1"/>
  <c r="F92" i="1"/>
  <c r="D92" i="1"/>
  <c r="F91" i="1"/>
  <c r="D91" i="1"/>
  <c r="F90" i="1"/>
  <c r="D90" i="1"/>
  <c r="F89" i="1"/>
  <c r="D89" i="1"/>
  <c r="F88" i="1"/>
  <c r="D88" i="1"/>
  <c r="F87" i="1"/>
  <c r="D87" i="1"/>
  <c r="F86" i="1"/>
  <c r="D86" i="1"/>
  <c r="F85" i="1"/>
  <c r="D85" i="1"/>
  <c r="F84" i="1"/>
  <c r="D84" i="1"/>
  <c r="F83" i="1"/>
  <c r="D83" i="1"/>
  <c r="F82" i="1"/>
  <c r="D82" i="1"/>
  <c r="F81" i="1"/>
  <c r="D81" i="1"/>
  <c r="F80" i="1"/>
  <c r="D80" i="1"/>
  <c r="F79" i="1"/>
  <c r="D79" i="1"/>
  <c r="F78" i="1"/>
  <c r="D78" i="1"/>
  <c r="F77" i="1"/>
  <c r="D77" i="1"/>
  <c r="F76" i="1"/>
  <c r="D76" i="1"/>
  <c r="F75" i="1"/>
  <c r="D75" i="1"/>
  <c r="F74" i="1"/>
  <c r="D74" i="1"/>
  <c r="F73" i="1"/>
  <c r="D73" i="1"/>
  <c r="F72" i="1"/>
  <c r="D72" i="1"/>
  <c r="F71" i="1"/>
  <c r="D71" i="1"/>
  <c r="F70" i="1"/>
  <c r="D70" i="1"/>
  <c r="F69" i="1"/>
  <c r="D69" i="1"/>
  <c r="F68" i="1"/>
  <c r="D68" i="1"/>
  <c r="F67" i="1"/>
  <c r="D67" i="1"/>
  <c r="F66" i="1"/>
  <c r="D66" i="1"/>
  <c r="F65" i="1"/>
  <c r="D65" i="1"/>
  <c r="F64" i="1"/>
  <c r="D64" i="1"/>
  <c r="F63" i="1"/>
  <c r="D63" i="1"/>
  <c r="F62" i="1"/>
  <c r="D62" i="1"/>
  <c r="F61" i="1"/>
  <c r="D61" i="1"/>
  <c r="F60" i="1"/>
  <c r="D60" i="1"/>
  <c r="F59" i="1"/>
  <c r="D59" i="1"/>
  <c r="F58" i="1"/>
  <c r="D58" i="1"/>
  <c r="F57" i="1"/>
  <c r="D57" i="1"/>
  <c r="F56" i="1"/>
  <c r="D56" i="1"/>
  <c r="F55" i="1"/>
  <c r="D55" i="1"/>
  <c r="F54" i="1"/>
  <c r="D54" i="1"/>
  <c r="F53" i="1"/>
  <c r="D53" i="1"/>
  <c r="F52" i="1"/>
  <c r="D52" i="1"/>
  <c r="N51" i="1"/>
  <c r="F51" i="1"/>
  <c r="D51" i="1"/>
  <c r="F50" i="1"/>
  <c r="D50" i="1"/>
  <c r="F49" i="1"/>
  <c r="D49" i="1"/>
  <c r="F48" i="1"/>
  <c r="D48" i="1"/>
  <c r="F47" i="1"/>
  <c r="D47" i="1"/>
  <c r="F46" i="1"/>
  <c r="D46" i="1"/>
  <c r="N45" i="1"/>
  <c r="F45" i="1"/>
  <c r="D45" i="1"/>
  <c r="F44" i="1"/>
  <c r="D44" i="1"/>
  <c r="F43" i="1"/>
  <c r="D43" i="1"/>
  <c r="F42" i="1"/>
  <c r="D42" i="1"/>
  <c r="F41" i="1"/>
  <c r="D41" i="1"/>
  <c r="F40" i="1"/>
  <c r="D40" i="1"/>
  <c r="N39" i="1"/>
  <c r="F39" i="1"/>
  <c r="D39" i="1"/>
  <c r="F38" i="1"/>
  <c r="D38" i="1"/>
  <c r="F37" i="1"/>
  <c r="D37" i="1"/>
  <c r="F36" i="1"/>
  <c r="D36" i="1"/>
  <c r="F35" i="1"/>
  <c r="D35" i="1"/>
  <c r="F34" i="1"/>
  <c r="D34" i="1"/>
  <c r="F33" i="1"/>
  <c r="D33" i="1"/>
  <c r="F32" i="1"/>
  <c r="D32" i="1"/>
  <c r="F31" i="1"/>
  <c r="D31" i="1"/>
  <c r="F30" i="1"/>
  <c r="D30" i="1"/>
  <c r="N29" i="1"/>
  <c r="F29" i="1"/>
  <c r="D29" i="1"/>
  <c r="F28" i="1"/>
  <c r="D28" i="1"/>
  <c r="F27" i="1"/>
  <c r="D27" i="1"/>
  <c r="F26" i="1"/>
  <c r="D26" i="1"/>
  <c r="F25" i="1"/>
  <c r="D25" i="1"/>
  <c r="F24" i="1"/>
  <c r="D24" i="1"/>
  <c r="N23" i="1"/>
  <c r="F23" i="1"/>
  <c r="D23" i="1"/>
  <c r="F22" i="1"/>
  <c r="D22" i="1"/>
  <c r="F21" i="1"/>
  <c r="D21" i="1"/>
  <c r="F20" i="1"/>
  <c r="D20" i="1"/>
  <c r="F19" i="1"/>
  <c r="D19" i="1"/>
  <c r="F18" i="1"/>
  <c r="D18" i="1"/>
  <c r="N17" i="1"/>
  <c r="F17" i="1"/>
  <c r="D17" i="1"/>
  <c r="F16" i="1"/>
  <c r="D16" i="1"/>
  <c r="F15" i="1"/>
  <c r="D15" i="1"/>
  <c r="F14" i="1"/>
  <c r="D14" i="1"/>
  <c r="F13" i="1"/>
  <c r="D13" i="1"/>
  <c r="N12" i="1"/>
  <c r="M12" i="1"/>
  <c r="F12" i="1"/>
  <c r="D12" i="1"/>
  <c r="N11" i="1"/>
  <c r="M11" i="1"/>
  <c r="F11" i="1"/>
  <c r="D11" i="1"/>
  <c r="N10" i="1"/>
  <c r="M10" i="1"/>
  <c r="F10" i="1"/>
  <c r="D10" i="1"/>
  <c r="F9" i="1"/>
  <c r="D9" i="1"/>
  <c r="F8" i="1"/>
  <c r="D8" i="1"/>
  <c r="F7" i="1"/>
  <c r="D7" i="1"/>
  <c r="F6" i="1"/>
  <c r="J5" i="1" s="1"/>
  <c r="D6" i="1"/>
  <c r="I6" i="1" s="1"/>
  <c r="F5" i="1"/>
  <c r="D5" i="1"/>
  <c r="I8" i="1" l="1"/>
  <c r="N24" i="1" s="1"/>
  <c r="I10" i="1"/>
  <c r="J10" i="1"/>
  <c r="J8" i="1"/>
  <c r="N48" i="1" s="1"/>
  <c r="I7" i="1"/>
  <c r="J7" i="1"/>
  <c r="I5" i="1"/>
  <c r="N32" i="1"/>
  <c r="N26" i="1"/>
  <c r="I4" i="1"/>
  <c r="J9" i="1"/>
  <c r="N47" i="1" s="1"/>
  <c r="N40" i="1"/>
  <c r="J6" i="1"/>
  <c r="N18" i="1"/>
  <c r="N46" i="1"/>
  <c r="I9" i="1"/>
  <c r="N19" i="1" s="1"/>
  <c r="J4" i="1"/>
  <c r="N30" i="1"/>
  <c r="N20" i="1"/>
  <c r="N49" i="1" l="1"/>
  <c r="N50" i="1" s="1"/>
  <c r="N31" i="1"/>
  <c r="N33" i="1" s="1"/>
  <c r="N25" i="1"/>
  <c r="N27" i="1" s="1"/>
  <c r="N28" i="1" s="1"/>
  <c r="N42" i="1"/>
  <c r="N54" i="1"/>
  <c r="N52" i="1"/>
  <c r="N41" i="1"/>
  <c r="N43" i="1" s="1"/>
  <c r="N44" i="1" s="1"/>
  <c r="N21" i="1"/>
  <c r="N53" i="1"/>
  <c r="N55" i="1" s="1"/>
  <c r="N34" i="1"/>
  <c r="N22" i="1"/>
  <c r="N56" i="1"/>
  <c r="T5" i="1" l="1"/>
  <c r="S16" i="1"/>
  <c r="S5" i="1"/>
  <c r="T16" i="1"/>
  <c r="S10" i="1"/>
  <c r="T10" i="1"/>
  <c r="V16" i="1"/>
  <c r="U16" i="1"/>
  <c r="U10" i="1"/>
  <c r="V5" i="1"/>
  <c r="V10" i="1"/>
  <c r="U5" i="1"/>
  <c r="R10" i="1"/>
  <c r="Q10" i="1"/>
  <c r="R5" i="1"/>
  <c r="Q5" i="1"/>
  <c r="R16" i="1"/>
  <c r="Q16" i="1"/>
  <c r="Q15" i="1"/>
  <c r="Q9" i="1"/>
  <c r="Q4" i="1"/>
  <c r="R15" i="1"/>
  <c r="R9" i="1"/>
  <c r="R4" i="1"/>
  <c r="S15" i="1"/>
  <c r="S9" i="1"/>
  <c r="S4" i="1"/>
  <c r="T15" i="1"/>
  <c r="T9" i="1"/>
  <c r="T4" i="1"/>
  <c r="V4" i="1"/>
  <c r="U9" i="1"/>
  <c r="U4" i="1"/>
  <c r="V9" i="1"/>
  <c r="U15" i="1"/>
  <c r="V15" i="1"/>
</calcChain>
</file>

<file path=xl/sharedStrings.xml><?xml version="1.0" encoding="utf-8"?>
<sst xmlns="http://schemas.openxmlformats.org/spreadsheetml/2006/main" count="359" uniqueCount="297">
  <si>
    <t>STOCK</t>
  </si>
  <si>
    <t>Statistik Deskriptif</t>
  </si>
  <si>
    <t>Parameters</t>
  </si>
  <si>
    <t>Value at Risk (VaR) 1 HARI</t>
  </si>
  <si>
    <t>Date</t>
  </si>
  <si>
    <t>MSFT Price</t>
  </si>
  <si>
    <t>MSFT Log Return</t>
  </si>
  <si>
    <t>AMZN Price</t>
  </si>
  <si>
    <t>AMZN Log Return</t>
  </si>
  <si>
    <t>MSFT</t>
  </si>
  <si>
    <t>AMZN</t>
  </si>
  <si>
    <t>Initial Investment (V0)</t>
  </si>
  <si>
    <t>Stock</t>
  </si>
  <si>
    <t>VaR (1%)</t>
  </si>
  <si>
    <t>VaR (5%)</t>
  </si>
  <si>
    <t>VaR (10%)</t>
  </si>
  <si>
    <t>2025-09-22</t>
  </si>
  <si>
    <t>Mean</t>
  </si>
  <si>
    <t>Alpha 1%</t>
  </si>
  <si>
    <t>2025-09-23</t>
  </si>
  <si>
    <t>St dev</t>
  </si>
  <si>
    <t>Alpha 5%</t>
  </si>
  <si>
    <t>2025-09-24</t>
  </si>
  <si>
    <t>Min</t>
  </si>
  <si>
    <t>Alpha 10%</t>
  </si>
  <si>
    <t>2025-09-25</t>
  </si>
  <si>
    <t>Max</t>
  </si>
  <si>
    <t>Value at Risk (VaR) 5 HARI</t>
  </si>
  <si>
    <t>2025-09-26</t>
  </si>
  <si>
    <t>Skewness</t>
  </si>
  <si>
    <t>Nilai Distribusi Normal</t>
  </si>
  <si>
    <t>2025-09-29</t>
  </si>
  <si>
    <t>Kurtosis</t>
  </si>
  <si>
    <t>Alpha</t>
  </si>
  <si>
    <t>Nilai Alpha</t>
  </si>
  <si>
    <t>Nilai 1-Alpha</t>
  </si>
  <si>
    <t>2025-09-30</t>
  </si>
  <si>
    <t>Jumlah Hari (n)</t>
  </si>
  <si>
    <t>2025-10-01</t>
  </si>
  <si>
    <t>2025-10-02</t>
  </si>
  <si>
    <t>Pengecekan Distribusi Normalitas</t>
  </si>
  <si>
    <t>2025-10-03</t>
  </si>
  <si>
    <t>Value at Risk (VaR) 20 HARI</t>
  </si>
  <si>
    <t>2025-10-06</t>
  </si>
  <si>
    <t>2025-10-07</t>
  </si>
  <si>
    <t>Value at Risk Cornish-Fisher</t>
  </si>
  <si>
    <t>2025-10-08</t>
  </si>
  <si>
    <t>Perhitungan</t>
  </si>
  <si>
    <t>Nilai</t>
  </si>
  <si>
    <t>2025-10-09</t>
  </si>
  <si>
    <t>Kuantil normal standar (100%-Alpha)</t>
  </si>
  <si>
    <t>2025-10-10</t>
  </si>
  <si>
    <t>Perhitungan 1</t>
  </si>
  <si>
    <t>KESIMPULAN ANALISIS VALUE AT RISK (VaR) METODE CORNISH FISHER</t>
  </si>
  <si>
    <t>2025-10-13</t>
  </si>
  <si>
    <t>Perhitungan 2</t>
  </si>
  <si>
    <t>Berdasarkan hasil pemodelan Value at Risk (VaR) metode Ekspansi Cornish-Fisher dengan modal investasi awal $1.000.000 (250 observasi return harian MSFT dan AMZN):
1. Pengaruh Ekor Tebal (Alpha 1%): Pada tingkat signifikansi 1%, potensi kerugian maksimum 1 hari saham MSFT adalah sebesar $112.347,40 (11,235%) dan AMZN sebesar $97.015,18 (9,702%). Pada tingkat kepercayaan 99% ini, risiko pasar MSFT lebih tinggi dibandingkan AMZN karena MSFT memiliki derajat kepuncakan (excess kurtosis) yang jauh lebih ekstrem (12,13 vs 8,19), sehingga probabilitas terjadinya shock kerugian ekstrem di ekor terjauh lebih terakumulasi.
2. Karakteristik Risiko Pasar Normal (Alpha 5% dan 10%): Pada tingkat signifikansi 5%, VaR 1 hari MSFT adalah sebesar $33.674,93 (3,367%) dan AMZN sebesar $38.498,27 (3,850%). Sedangkan pada tingkat signifikansi 10%, VaR 1 hari MSFT adalah sebesar $11.432,43 (1,143%) dan AMZN sebesar $19.520,85 (1,952%). Pada rentang signifikansi 5% - 10%, saham AMZN memiliki risiko kerugian lebih besar daripada MSFT karena dipengaruhi oleh volatilitas harian standar deviasi yang lebih tinggi (2,14% vs 2,03%) dan skewness positif yang lebih besar (1,32 vs 0,94).
3. Horizon Waktu (Holding Period): Nilai estimasi kerugian maksimum berbanding lurus dengan horizon waktu investasi. Untuk holding period 5 hari, potensi risiko kerugian tereskalasi sebesar faktor akar waktu √5 (VaR 1% MSFT = $251.216,42; AMZN = $216.932,53). Untuk holding period 20 hari (1 bulan perdagangan aktif), risiko kerugian tereskalasi sebesar faktor √20 (VaR 1% MSFT = $502.432,83; AMZN = $433.865,06).
4. Evaluasi Metodologis: Nilai VaR meningkat secara teratur seiring bertambahnya jangka waktu (akar waktu) dan semakin kecilnya nilai alpha (tingkat keyakinan semakin tinggi). Koreksi kuantil Cornish-Fisher membuktikan bahwa mengasumsikan data pasar keuangan murni berdistribusi normal (Variance-Covariance klasik) akan meremehkan (underestimate) potensi kerugian ekstrem pada tingkat kepercayaan 99%.</t>
  </si>
  <si>
    <t>2025-10-14</t>
  </si>
  <si>
    <t>Perhitungan 3</t>
  </si>
  <si>
    <t>2025-10-15</t>
  </si>
  <si>
    <t>ECF</t>
  </si>
  <si>
    <t>2025-10-16</t>
  </si>
  <si>
    <t>VaR ECF</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</si>
  <si>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</si>
  <si>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</si>
  <si>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</si>
  <si>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</si>
  <si>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</si>
  <si>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</si>
  <si>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</si>
  <si>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</si>
  <si>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</si>
  <si>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</si>
  <si>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</si>
  <si>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</si>
  <si>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</si>
  <si>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</si>
  <si>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</si>
  <si>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</si>
  <si>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</si>
  <si>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Berdasarkan visual grafik Normal Q-Q Plot dan Histogram Fit, kurva return MSFT memiliki kepuncakan sangat tajam (excess kurtosis = 12,13) dan kemencengan positif (skewness = 0,94). Uji Kolmogorov-Smirnov (p = 0,074) menunjukkan bahwa pada taraf 5%, data secara formal memenuhi kriteria normalitas, namun deviasi momen ketiga dan keempat memvalidasi perlunya penyesuaian kuantil ekspansi Cornish-Fisher.</t>
  </si>
  <si>
    <t>2025-11-11</t>
  </si>
  <si>
    <t>2025-11-12</t>
  </si>
  <si>
    <t>2025-11-13</t>
  </si>
  <si>
    <t>2025-11-14</t>
  </si>
  <si>
    <t>2025-11-17</t>
  </si>
  <si>
    <t>2025-11-18</t>
  </si>
  <si>
    <t>2025-11-19</t>
  </si>
  <si>
    <t>2025-11-20</t>
  </si>
  <si>
    <t>2025-11-21</t>
  </si>
  <si>
    <t>2025-11-24</t>
  </si>
  <si>
    <t>2025-11-25</t>
  </si>
  <si>
    <t>2025-11-26</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</si>
  <si>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</si>
  <si>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</si>
  <si>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</si>
  <si>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</si>
  <si>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</si>
  <si>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</si>
  <si>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</si>
  <si>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</si>
  <si>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</si>
  <si>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</si>
  <si>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</si>
  <si>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</si>
  <si>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</si>
  <si>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</si>
  <si>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</si>
  <si>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</si>
  <si>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</si>
  <si>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</si>
  <si>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Berdasarkan visual grafik Normal Q-Q Plot dan Histogram Fit, kurva return AMZN memiliki kemencengan ke kanan (skewness = 1,32) serta ekor gemuk leptokurtik (excess kurtosis = 8,19). Uji Kolmogorov-Smirnov (p = 0,138) tidak menolak hipotesis normalitas pada taraf 5%, sehingga penyesuaian kuantil Cornish-Fisher tepat digunakan untuk mengakomodasi bias kuantil ekor tebal distribusi.</t>
  </si>
  <si>
    <t>2025-12-24</t>
  </si>
  <si>
    <t>2025-12-26</t>
  </si>
  <si>
    <t>2025-12-29</t>
  </si>
  <si>
    <t>2025-12-30</t>
  </si>
  <si>
    <t>2025-12-31</t>
  </si>
  <si>
    <t>2026-01-02</t>
  </si>
  <si>
    <t>2026-01-05</t>
  </si>
  <si>
    <t>2026-01-06</t>
  </si>
  <si>
    <t>2026-01-07</t>
  </si>
  <si>
    <t>2026-01-08</t>
  </si>
  <si>
    <t>2026-01-09</t>
  </si>
  <si>
    <t>2026-01-12</t>
  </si>
  <si>
    <t>2026-01-13</t>
  </si>
  <si>
    <t>2026-01-14</t>
  </si>
  <si>
    <t>2026-01-15</t>
  </si>
  <si>
    <t>2026-01-16</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</si>
  <si>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</si>
  <si>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</si>
  <si>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</si>
  <si>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</si>
  <si>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</si>
  <si>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</si>
  <si>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</si>
  <si>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</si>
  <si>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</si>
  <si>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</si>
  <si>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</si>
  <si>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</si>
  <si>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</si>
  <si>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</si>
  <si>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</si>
  <si>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</si>
  <si>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</si>
  <si>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</si>
  <si>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</si>
  <si>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</si>
  <si>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</si>
  <si>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</si>
  <si>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</si>
  <si>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</si>
  <si>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</si>
  <si>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</si>
  <si>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</si>
  <si>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</si>
  <si>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</si>
  <si>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</si>
  <si>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</si>
  <si>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</si>
  <si>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</si>
  <si>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</si>
  <si>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</si>
  <si>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</si>
  <si>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</si>
  <si>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</si>
  <si>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</si>
  <si>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</si>
  <si>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</si>
  <si>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</si>
  <si>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</si>
  <si>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</si>
  <si>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</si>
  <si>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</si>
  <si>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</si>
  <si>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</si>
  <si>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</si>
  <si>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</si>
  <si>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</si>
  <si>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</si>
  <si>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2026-04-06</t>
  </si>
  <si>
    <t>2026-04-07</t>
  </si>
  <si>
    <t>2026-04-08</t>
  </si>
  <si>
    <t>2026-04-09</t>
  </si>
  <si>
    <t>2026-04-10</t>
  </si>
  <si>
    <t>2026-04-13</t>
  </si>
  <si>
    <t>2026-04-14</t>
  </si>
  <si>
    <t>2026-04-15</t>
  </si>
  <si>
    <t>2026-04-16</t>
  </si>
  <si>
    <t>2026-04-17</t>
  </si>
  <si>
    <t>2026-04-20</t>
  </si>
  <si>
    <t>2026-04-21</t>
  </si>
  <si>
    <t>2026-04-22</t>
  </si>
  <si>
    <t>2026-04-23</t>
  </si>
  <si>
    <t>2026-04-24</t>
  </si>
  <si>
    <t>2026-04-27</t>
  </si>
  <si>
    <t>2026-04-28</t>
  </si>
  <si>
    <t>2026-04-29</t>
  </si>
  <si>
    <t>2026-04-30</t>
  </si>
  <si>
    <t>2026-05-01</t>
  </si>
  <si>
    <t>2026-05-04</t>
  </si>
  <si>
    <t>2026-05-05</t>
  </si>
  <si>
    <t>2026-05-06</t>
  </si>
  <si>
    <t>2026-05-07</t>
  </si>
  <si>
    <t>2026-05-08</t>
  </si>
  <si>
    <t>2026-05-11</t>
  </si>
  <si>
    <t>2026-05-12</t>
  </si>
  <si>
    <t>2026-05-13</t>
  </si>
  <si>
    <t>2026-05-14</t>
  </si>
  <si>
    <t>2026-05-15</t>
  </si>
  <si>
    <t>2026-05-18</t>
  </si>
  <si>
    <t>2026-05-19</t>
  </si>
  <si>
    <t>2026-05-20</t>
  </si>
  <si>
    <t>2026-05-21</t>
  </si>
  <si>
    <t>2026-05-22</t>
  </si>
  <si>
    <t>2026-05-26</t>
  </si>
  <si>
    <t>2026-05-27</t>
  </si>
  <si>
    <t>2026-05-28</t>
  </si>
  <si>
    <t>2026-05-29</t>
  </si>
  <si>
    <t>2026-06-01</t>
  </si>
  <si>
    <t>2026-06-02</t>
  </si>
  <si>
    <t>2026-06-03</t>
  </si>
  <si>
    <t>2026-06-04</t>
  </si>
  <si>
    <t>2026-06-05</t>
  </si>
  <si>
    <t>2026-06-08</t>
  </si>
  <si>
    <t>2026-06-09</t>
  </si>
  <si>
    <t>2026-06-10</t>
  </si>
  <si>
    <t>2026-06-11</t>
  </si>
  <si>
    <t>2026-06-12</t>
  </si>
  <si>
    <t>2026-06-15</t>
  </si>
  <si>
    <t>2026-06-16</t>
  </si>
  <si>
    <t>2026-06-17</t>
  </si>
  <si>
    <t>2026-06-18</t>
  </si>
  <si>
    <t>2026-06-22</t>
  </si>
  <si>
    <t>2026-06-23</t>
  </si>
  <si>
    <t>2026-06-24</t>
  </si>
  <si>
    <t>2026-06-25</t>
  </si>
  <si>
    <t>2026-06-26</t>
  </si>
  <si>
    <t>2026-06-29</t>
  </si>
  <si>
    <t>2026-06-30</t>
  </si>
  <si>
    <t>2026-07-01</t>
  </si>
  <si>
    <t>2026-07-02</t>
  </si>
  <si>
    <t>2026-07-06</t>
  </si>
  <si>
    <t>2026-07-07</t>
  </si>
  <si>
    <t>2026-07-08</t>
  </si>
  <si>
    <t>2026-07-09</t>
  </si>
  <si>
    <t>2026-07-10</t>
  </si>
  <si>
    <t>2026-07-13</t>
  </si>
  <si>
    <t>2026-07-14</t>
  </si>
  <si>
    <t>2026-07-15</t>
  </si>
  <si>
    <t>2026-07-16</t>
  </si>
  <si>
    <t>2026-07-17</t>
  </si>
  <si>
    <t>2026-07-20</t>
  </si>
  <si>
    <t>2026-07-21</t>
  </si>
  <si>
    <t>2026-07-22</t>
  </si>
  <si>
    <t>2026-07-23</t>
  </si>
  <si>
    <t>2026-07-24</t>
  </si>
  <si>
    <t>2026-07-27</t>
  </si>
  <si>
    <t>2026-07-28</t>
  </si>
  <si>
    <t>2026-07-29</t>
  </si>
  <si>
    <t>2026-07-30</t>
  </si>
  <si>
    <t>2026-07-31</t>
  </si>
  <si>
    <t>2026-08-03</t>
  </si>
  <si>
    <t>2026-08-04</t>
  </si>
  <si>
    <t>2026-08-05</t>
  </si>
  <si>
    <t>2026-08-06</t>
  </si>
  <si>
    <t>2026-08-07</t>
  </si>
  <si>
    <t>2026-08-10</t>
  </si>
  <si>
    <t>2026-08-11</t>
  </si>
  <si>
    <t>2026-08-12</t>
  </si>
  <si>
    <t>2026-08-13</t>
  </si>
  <si>
    <t>2026-08-14</t>
  </si>
  <si>
    <t>2026-08-17</t>
  </si>
  <si>
    <t>2026-08-18</t>
  </si>
  <si>
    <t>2026-08-19</t>
  </si>
  <si>
    <t>2026-08-20</t>
  </si>
  <si>
    <t>2026-08-21</t>
  </si>
  <si>
    <t>2026-08-24</t>
  </si>
  <si>
    <t>2026-08-25</t>
  </si>
  <si>
    <t>2026-08-26</t>
  </si>
  <si>
    <t>2026-08-27</t>
  </si>
  <si>
    <t>2026-08-28</t>
  </si>
  <si>
    <t>2026-08-31</t>
  </si>
  <si>
    <t>2026-09-01</t>
  </si>
  <si>
    <t>2026-09-02</t>
  </si>
  <si>
    <t>2026-09-03</t>
  </si>
  <si>
    <t>2026-09-04</t>
  </si>
  <si>
    <t>2026-09-08</t>
  </si>
  <si>
    <t>2026-09-09</t>
  </si>
  <si>
    <t>2026-09-10</t>
  </si>
  <si>
    <t>2026-09-11</t>
  </si>
  <si>
    <t>2026-09-14</t>
  </si>
  <si>
    <t>2026-09-15</t>
  </si>
  <si>
    <t>2026-09-16</t>
  </si>
  <si>
    <t>2026-09-17</t>
  </si>
  <si>
    <t>2026-09-18</t>
  </si>
  <si>
    <t>2026-09-21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</si>
</sst>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00000"/>
    <numFmt numFmtId="166" formatCode="0.0000000"/>
    <numFmt numFmtId="167" formatCode="0.00000"/>
    <numFmt numFmtId="168" formatCode="0.000%"/>
  </numFmts>
  <fonts count="4" x14ac:knownFonts="1">
    <font>
      <sz val="11"/>
      <color theme="1"/>
      <name val="Calibri"/>
      <family val="2"/>
      <scheme val="minor"/>
    </font>
    <font>
      <b/>
      <sz val="11"/>
      <name val="Times New Roman"/>
    </font>
    <font>
      <sz val="11"/>
      <name val="Times New Roman"/>
    </font>
    <font>
      <i/>
      <sz val="10"/>
      <name val="Times New Roman"/>
    </font>
  </fonts>
  <fills count="6">
    <fill>
      <patternFill patternType="none"/>
    </fill>
    <fill>
      <patternFill patternType="gray125"/>
    </fill>
    <fill>
      <patternFill patternType="solid">
        <fgColor rgb="FFFFFF00"/>
        <bgColor rgb="FFFFFF00"/>
      </patternFill>
    </fill>
    <fill>
      <patternFill patternType="solid">
        <fgColor rgb="FFD9E1F2"/>
        <bgColor rgb="FFD9E1F2"/>
      </patternFill>
    </fill>
    <fill>
      <patternFill patternType="solid">
        <fgColor rgb="FFFFF2CC"/>
        <bgColor rgb="FFFFF2CC"/>
      </patternFill>
    </fill>
    <fill>
      <patternFill patternType="solid">
        <fgColor rgb="FFF2F2F2"/>
        <bgColor rgb="FFF2F2F2"/>
      </patternFill>
    </fill>
  </fills>
  <borders count="3">
    <border>
      <left/>
      <right/>
      <top/>
      <bottom/>
      <diagonal/>
    </border>
    <border>
      <left style="thin">
        <color rgb="FFD9D9D9"/>
      </left>
      <right style="thin">
        <color rgb="FFD9D9D9"/>
      </right>
      <top style="thin">
        <color rgb="FFD9D9D9"/>
      </top>
      <bottom style="medium">
        <color rgb="FF000000"/>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9">
    <xf numFmtId="0" fontId="0" fillId="0" borderId="0" xfId="0"/>
    <xf numFmtId="0" fontId="1" fillId="3" borderId="1" xfId="0" applyFont="1" applyFill="1" applyBorder="1" applyAlignment="1">
      <alignment horizontal="center" vertical="center"/>
    </xf>
    <xf numFmtId="0" fontId="1" fillId="3" borderId="1" xfId="0" applyFont="1" applyFill="1" applyBorder="1" applyAlignment="1">
      <alignment horizontal="center"/>
    </xf>
    <xf numFmtId="0" fontId="1" fillId="0" borderId="2" xfId="0" applyFont="1" applyBorder="1"/>
    <xf numFmtId="164" fontId="1" fillId="0" borderId="2" xfId="0" applyNumberFormat="1" applyFont="1" applyBorder="1" applyAlignment="1">
      <alignment horizontal="right"/>
    </xf>
    <xf numFmtId="0" fontId="2" fillId="0" borderId="2" xfId="0" applyFont="1" applyBorder="1" applyAlignment="1">
      <alignment horizontal="center"/>
    </xf>
    <xf numFmtId="164" fontId="2" fillId="0" borderId="2" xfId="0" applyNumberFormat="1" applyFont="1" applyBorder="1"/>
    <xf numFmtId="165" fontId="2" fillId="0" borderId="2" xfId="0" applyNumberFormat="1" applyFont="1" applyBorder="1" applyAlignment="1">
      <alignment horizontal="center"/>
    </xf>
    <xf numFmtId="165" fontId="2" fillId="0" borderId="2" xfId="0" applyNumberFormat="1" applyFont="1" applyBorder="1" applyAlignment="1">
      <alignment horizontal="right"/>
    </xf>
    <xf numFmtId="0" fontId="2" fillId="0" borderId="2" xfId="0" applyFont="1" applyBorder="1"/>
    <xf numFmtId="10" fontId="2" fillId="0" borderId="2" xfId="0" applyNumberFormat="1" applyFont="1" applyBorder="1" applyAlignment="1">
      <alignment horizontal="right"/>
    </xf>
    <xf numFmtId="0" fontId="1" fillId="0" borderId="2" xfId="0" applyFont="1" applyBorder="1" applyAlignment="1">
      <alignment horizontal="center"/>
    </xf>
    <xf numFmtId="164" fontId="2" fillId="0" borderId="2" xfId="0" applyNumberFormat="1" applyFont="1" applyBorder="1" applyAlignment="1">
      <alignment horizontal="right"/>
    </xf>
    <xf numFmtId="168" fontId="2" fillId="0" borderId="2" xfId="0" applyNumberFormat="1" applyFont="1" applyBorder="1" applyAlignment="1">
      <alignment horizontal="right"/>
    </xf>
    <xf numFmtId="165" fontId="2" fillId="0" borderId="2" xfId="0" applyNumberFormat="1" applyFont="1" applyBorder="1"/>
    <xf numFmtId="165" fontId="1" fillId="4" borderId="2" xfId="0" applyNumberFormat="1" applyFont="1" applyFill="1" applyBorder="1" applyAlignment="1">
      <alignment horizontal="right"/>
    </xf>
    <xf numFmtId="1" fontId="2" fillId="0" borderId="2" xfId="0" applyNumberFormat="1" applyFont="1" applyBorder="1" applyAlignment="1">
      <alignment horizontal="right"/>
    </xf>
    <xf numFmtId="9" fontId="2" fillId="0" borderId="2" xfId="0" applyNumberFormat="1" applyFont="1" applyBorder="1" applyAlignment="1">
      <alignment horizontal="center"/>
    </xf>
    <xf numFmtId="166" fontId="2" fillId="0" borderId="2" xfId="0" applyNumberFormat="1" applyFont="1" applyBorder="1" applyAlignment="1">
      <alignment horizontal="right"/>
    </xf>
    <xf numFmtId="167" fontId="2" fillId="0" borderId="2" xfId="0" applyNumberFormat="1" applyFont="1" applyBorder="1" applyAlignment="1">
      <alignment horizontal="right"/>
    </xf>
    <xf numFmtId="167" fontId="1" fillId="5" borderId="2" xfId="0" applyNumberFormat="1" applyFont="1" applyFill="1" applyBorder="1" applyAlignment="1">
      <alignment horizontal="right"/>
    </xf>
    <xf numFmtId="167" fontId="1" fillId="4" borderId="2" xfId="0" applyNumberFormat="1" applyFont="1" applyFill="1" applyBorder="1" applyAlignment="1">
      <alignment horizontal="right"/>
    </xf>
    <xf numFmtId="0" fontId="1" fillId="2" borderId="0" xfId="0" applyFont="1" applyFill="1" applyAlignment="1">
      <alignment horizontal="center" vertical="center"/>
    </xf>
    <xf numFmtId="0" fontId="0" fillId="0" borderId="0" xfId="0"/>
    <xf numFmtId="9" fontId="1" fillId="0" borderId="2" xfId="0" applyNumberFormat="1" applyFont="1" applyBorder="1" applyAlignment="1">
      <alignment horizontal="center" vertical="center"/>
    </xf>
    <xf numFmtId="0" fontId="0" fillId="0" borderId="2" xfId="0" applyBorder="1"/>
    <xf numFmtId="0" fontId="2" fillId="0" borderId="0" xfId="0" applyFont="1" applyAlignment="1">
      <alignment vertical="top" wrapText="1"/>
    </xf>
    <xf numFmtId="0" fontId="1" fillId="3" borderId="0" xfId="0" applyFont="1" applyFill="1" applyAlignment="1">
      <alignment horizontal="center" vertical="center"/>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0</xdr:colOff>
      <xdr:row>13</xdr:row>
      <xdr:rowOff>0</xdr:rowOff>
    </xdr:from>
    <xdr:ext cx="4381500" cy="340042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7</xdr:col>
      <xdr:colOff>0</xdr:colOff>
      <xdr:row>43</xdr:row>
      <xdr:rowOff>0</xdr:rowOff>
    </xdr:from>
    <xdr:ext cx="4381500" cy="3400425"/>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V254"/>
  <sheetViews>
    <sheetView tabSelected="1" workbookViewId="0"/>
  </sheetViews>
  <sheetFormatPr defaultRowHeight="14.4" x14ac:dyDescent="0.3"/>
  <cols>
    <col min="1" max="1" width="4" customWidth="1"/>
    <col min="2" max="2" width="13" customWidth="1"/>
    <col min="3" max="3" width="14" customWidth="1"/>
    <col min="4" max="4" width="19" customWidth="1"/>
    <col min="5" max="5" width="14" customWidth="1"/>
    <col min="6" max="6" width="19" customWidth="1"/>
    <col min="7" max="7" width="6" customWidth="1"/>
    <col min="8" max="8" width="28.44140625" customWidth="1"/>
    <col min="9" max="10" width="15" customWidth="1"/>
    <col min="11" max="11" width="6" customWidth="1"/>
    <col min="12" max="12" width="27" customWidth="1"/>
    <col min="13" max="13" width="37" customWidth="1"/>
    <col min="14" max="14" width="20" customWidth="1"/>
    <col min="15" max="15" width="6" customWidth="1"/>
    <col min="16" max="16" width="14" customWidth="1"/>
    <col min="17" max="22" width="18" customWidth="1"/>
  </cols>
  <sheetData>
    <row r="2" spans="2:22" x14ac:dyDescent="0.3">
      <c r="B2" s="22" t="s">
        <v>0</v>
      </c>
      <c r="C2" s="23"/>
      <c r="D2" s="23"/>
      <c r="E2" s="23"/>
      <c r="F2" s="23"/>
      <c r="H2" s="22" t="s">
        <v>1</v>
      </c>
      <c r="I2" s="23"/>
      <c r="J2" s="23"/>
      <c r="L2" s="22" t="s">
        <v>2</v>
      </c>
      <c r="M2" s="23"/>
      <c r="P2" s="22" t="s">
        <v>3</v>
      </c>
      <c r="Q2" s="23"/>
      <c r="R2" s="23"/>
      <c r="S2" s="23"/>
      <c r="T2" s="23"/>
      <c r="U2" s="23"/>
      <c r="V2" s="23"/>
    </row>
    <row r="3" spans="2:22" x14ac:dyDescent="0.3">
      <c r="B3" s="1" t="s">
        <v>4</v>
      </c>
      <c r="C3" s="1" t="s">
        <v>5</v>
      </c>
      <c r="D3" s="1" t="s">
        <v>6</v>
      </c>
      <c r="E3" s="1" t="s">
        <v>7</v>
      </c>
      <c r="F3" s="1" t="s">
        <v>8</v>
      </c>
      <c r="I3" s="2" t="s">
        <v>9</v>
      </c>
      <c r="J3" s="2" t="s">
        <v>10</v>
      </c>
      <c r="L3" s="3" t="s">
        <v>11</v>
      </c>
      <c r="M3" s="4">
        <v>1000000</v>
      </c>
      <c r="P3" s="1" t="s">
        <v>12</v>
      </c>
      <c r="Q3" s="1" t="s">
        <v>13</v>
      </c>
      <c r="R3" s="1" t="s">
        <v>13</v>
      </c>
      <c r="S3" s="1" t="s">
        <v>14</v>
      </c>
      <c r="T3" s="1" t="s">
        <v>14</v>
      </c>
      <c r="U3" s="1" t="s">
        <v>15</v>
      </c>
      <c r="V3" s="1" t="s">
        <v>15</v>
      </c>
    </row>
    <row r="4" spans="2:22" x14ac:dyDescent="0.3">
      <c r="B4" s="5" t="s">
        <v>16</v>
      </c>
      <c r="C4" s="6">
        <v>514.45000000000005</v>
      </c>
      <c r="D4" s="7">
        <v>0</v>
      </c>
      <c r="E4" s="6">
        <v>227.63</v>
      </c>
      <c r="F4" s="7">
        <v>0</v>
      </c>
      <c r="H4" s="3" t="s">
        <v>17</v>
      </c>
      <c r="I4" s="8">
        <f>AVERAGE(D5:D254)</f>
        <v>-1.0110177399074336E-4</v>
      </c>
      <c r="J4" s="8">
        <f>AVERAGE(F5:F254)</f>
        <v>5.0792299153100482E-4</v>
      </c>
      <c r="L4" s="9" t="s">
        <v>18</v>
      </c>
      <c r="M4" s="10">
        <v>0.01</v>
      </c>
      <c r="P4" s="11" t="s">
        <v>9</v>
      </c>
      <c r="Q4" s="12">
        <f>-$M$3*N22*SQRT(1)</f>
        <v>112347.39709048462</v>
      </c>
      <c r="R4" s="13">
        <f>-N22*SQRT(1)</f>
        <v>0.11234739709048462</v>
      </c>
      <c r="S4" s="12">
        <f>-$M$3*N28*SQRT(1)</f>
        <v>33674.926956501484</v>
      </c>
      <c r="T4" s="13">
        <f>-N28*SQRT(1)</f>
        <v>3.3674926956501483E-2</v>
      </c>
      <c r="U4" s="12">
        <f>-$M$3*N34*SQRT(1)</f>
        <v>11432.429489644719</v>
      </c>
      <c r="V4" s="13">
        <f>-N34*SQRT(1)</f>
        <v>1.143242948964472E-2</v>
      </c>
    </row>
    <row r="5" spans="2:22" x14ac:dyDescent="0.3">
      <c r="B5" s="5" t="s">
        <v>19</v>
      </c>
      <c r="C5" s="6">
        <v>509.23</v>
      </c>
      <c r="D5" s="14">
        <f t="shared" ref="D5:D68" si="0">LN(C5/C4)</f>
        <v>-1.0198587927461228E-2</v>
      </c>
      <c r="E5" s="6">
        <v>220.71</v>
      </c>
      <c r="F5" s="14">
        <f t="shared" ref="F5:F68" si="1">LN(E5/E4)</f>
        <v>-3.0871881147014401E-2</v>
      </c>
      <c r="H5" s="3" t="s">
        <v>20</v>
      </c>
      <c r="I5" s="8">
        <f>_xlfn.STDEV.S(D5:D254)</f>
        <v>2.0327149086960487E-2</v>
      </c>
      <c r="J5" s="8">
        <f>_xlfn.STDEV.S(F5:F254)</f>
        <v>2.1404924106425829E-2</v>
      </c>
      <c r="L5" s="9" t="s">
        <v>21</v>
      </c>
      <c r="M5" s="10">
        <v>0.05</v>
      </c>
      <c r="P5" s="11" t="s">
        <v>10</v>
      </c>
      <c r="Q5" s="12">
        <f>-$M$3*N44*SQRT(1)</f>
        <v>97015.176250270015</v>
      </c>
      <c r="R5" s="13">
        <f>-N44*SQRT(1)</f>
        <v>9.7015176250270022E-2</v>
      </c>
      <c r="S5" s="12">
        <f>-$M$3*N50*SQRT(1)</f>
        <v>38498.267723310229</v>
      </c>
      <c r="T5" s="13">
        <f>-N50*SQRT(1)</f>
        <v>3.8498267723310227E-2</v>
      </c>
      <c r="U5" s="12">
        <f>-$M$3*N56*SQRT(1)</f>
        <v>19520.846126749231</v>
      </c>
      <c r="V5" s="13">
        <f>-N56*SQRT(1)</f>
        <v>1.9520846126749231E-2</v>
      </c>
    </row>
    <row r="6" spans="2:22" x14ac:dyDescent="0.3">
      <c r="B6" s="5" t="s">
        <v>22</v>
      </c>
      <c r="C6" s="6">
        <v>510.15</v>
      </c>
      <c r="D6" s="14">
        <f t="shared" si="0"/>
        <v>1.8050192269559011E-3</v>
      </c>
      <c r="E6" s="6">
        <v>220.21</v>
      </c>
      <c r="F6" s="14">
        <f t="shared" si="1"/>
        <v>-2.2679860941820077E-3</v>
      </c>
      <c r="H6" s="9" t="s">
        <v>23</v>
      </c>
      <c r="I6" s="8">
        <f>MIN(D5:D254)</f>
        <v>-0.10528438819273024</v>
      </c>
      <c r="J6" s="8">
        <f>MIN(F5:F254)</f>
        <v>-5.7150489375939528E-2</v>
      </c>
      <c r="L6" s="9" t="s">
        <v>24</v>
      </c>
      <c r="M6" s="10">
        <v>0.1</v>
      </c>
    </row>
    <row r="7" spans="2:22" x14ac:dyDescent="0.3">
      <c r="B7" s="5" t="s">
        <v>25</v>
      </c>
      <c r="C7" s="6">
        <v>507.03</v>
      </c>
      <c r="D7" s="14">
        <f t="shared" si="0"/>
        <v>-6.134626683067846E-3</v>
      </c>
      <c r="E7" s="6">
        <v>218.15</v>
      </c>
      <c r="F7" s="14">
        <f t="shared" si="1"/>
        <v>-9.3987369484822506E-3</v>
      </c>
      <c r="H7" s="9" t="s">
        <v>26</v>
      </c>
      <c r="I7" s="8">
        <f>MAX(D5:D254)</f>
        <v>0.14415864760199928</v>
      </c>
      <c r="J7" s="8">
        <f>MAX(F5:F254)</f>
        <v>0.14254584181417615</v>
      </c>
      <c r="P7" s="22" t="s">
        <v>27</v>
      </c>
      <c r="Q7" s="23"/>
      <c r="R7" s="23"/>
      <c r="S7" s="23"/>
      <c r="T7" s="23"/>
      <c r="U7" s="23"/>
      <c r="V7" s="23"/>
    </row>
    <row r="8" spans="2:22" x14ac:dyDescent="0.3">
      <c r="B8" s="5" t="s">
        <v>28</v>
      </c>
      <c r="C8" s="6">
        <v>511.46</v>
      </c>
      <c r="D8" s="14">
        <f t="shared" si="0"/>
        <v>8.6992075270243534E-3</v>
      </c>
      <c r="E8" s="6">
        <v>219.78</v>
      </c>
      <c r="F8" s="14">
        <f t="shared" si="1"/>
        <v>7.4441464491593941E-3</v>
      </c>
      <c r="H8" s="3" t="s">
        <v>29</v>
      </c>
      <c r="I8" s="15">
        <f>SKEW(D5:D254)</f>
        <v>0.94440092502395023</v>
      </c>
      <c r="J8" s="15">
        <f>SKEW(F5:F254)</f>
        <v>1.3211633899544075</v>
      </c>
      <c r="L8" s="22" t="s">
        <v>30</v>
      </c>
      <c r="M8" s="23"/>
      <c r="N8" s="23"/>
      <c r="P8" s="1" t="s">
        <v>12</v>
      </c>
      <c r="Q8" s="1" t="s">
        <v>13</v>
      </c>
      <c r="R8" s="1" t="s">
        <v>13</v>
      </c>
      <c r="S8" s="1" t="s">
        <v>14</v>
      </c>
      <c r="T8" s="1" t="s">
        <v>14</v>
      </c>
      <c r="U8" s="1" t="s">
        <v>15</v>
      </c>
      <c r="V8" s="1" t="s">
        <v>15</v>
      </c>
    </row>
    <row r="9" spans="2:22" x14ac:dyDescent="0.3">
      <c r="B9" s="5" t="s">
        <v>31</v>
      </c>
      <c r="C9" s="6">
        <v>514.6</v>
      </c>
      <c r="D9" s="14">
        <f t="shared" si="0"/>
        <v>6.1205188823731478E-3</v>
      </c>
      <c r="E9" s="6">
        <v>222.17</v>
      </c>
      <c r="F9" s="14">
        <f t="shared" si="1"/>
        <v>1.0815808570258127E-2</v>
      </c>
      <c r="H9" s="3" t="s">
        <v>32</v>
      </c>
      <c r="I9" s="15">
        <f>KURT(D5:D254)</f>
        <v>12.134346846159353</v>
      </c>
      <c r="J9" s="15">
        <f>KURT(F5:F254)</f>
        <v>8.1919311350191961</v>
      </c>
      <c r="L9" s="1" t="s">
        <v>33</v>
      </c>
      <c r="M9" s="1" t="s">
        <v>34</v>
      </c>
      <c r="N9" s="1" t="s">
        <v>35</v>
      </c>
      <c r="P9" s="11" t="s">
        <v>9</v>
      </c>
      <c r="Q9" s="12">
        <f>-$M$3*N22*SQRT(5)</f>
        <v>251216.4169894857</v>
      </c>
      <c r="R9" s="13">
        <f>-N22*SQRT(5)</f>
        <v>0.25121641698948571</v>
      </c>
      <c r="S9" s="12">
        <f>-$M$3*N28*SQRT(5)</f>
        <v>75299.425812077432</v>
      </c>
      <c r="T9" s="13">
        <f>-N28*SQRT(5)</f>
        <v>7.5299425812077422E-2</v>
      </c>
      <c r="U9" s="12">
        <f>-$M$3*N34*SQRT(5)</f>
        <v>25563.689486818821</v>
      </c>
      <c r="V9" s="13">
        <f>-N34*SQRT(5)</f>
        <v>2.5563689486818822E-2</v>
      </c>
    </row>
    <row r="10" spans="2:22" x14ac:dyDescent="0.3">
      <c r="B10" s="5" t="s">
        <v>36</v>
      </c>
      <c r="C10" s="6">
        <v>517.95000000000005</v>
      </c>
      <c r="D10" s="14">
        <f t="shared" si="0"/>
        <v>6.4888126564672617E-3</v>
      </c>
      <c r="E10" s="6">
        <v>219.57</v>
      </c>
      <c r="F10" s="14">
        <f t="shared" si="1"/>
        <v>-1.177176630779074E-2</v>
      </c>
      <c r="H10" s="9" t="s">
        <v>37</v>
      </c>
      <c r="I10" s="16">
        <f>COUNT(D5:D254)</f>
        <v>250</v>
      </c>
      <c r="J10" s="16">
        <f>COUNT(F5:F254)</f>
        <v>250</v>
      </c>
      <c r="L10" s="17">
        <v>0.01</v>
      </c>
      <c r="M10" s="18">
        <f>NORMSINV(L10)</f>
        <v>-2.3263478740408408</v>
      </c>
      <c r="N10" s="18">
        <f>NORMSINV(1-L10)</f>
        <v>2.3263478740408408</v>
      </c>
      <c r="P10" s="11" t="s">
        <v>10</v>
      </c>
      <c r="Q10" s="12">
        <f>-$M$3*N44*SQRT(5)</f>
        <v>216932.52894472692</v>
      </c>
      <c r="R10" s="13">
        <f>-N44*SQRT(5)</f>
        <v>0.21693252894472692</v>
      </c>
      <c r="S10" s="12">
        <f>-$M$3*N50*SQRT(5)</f>
        <v>86084.743645307739</v>
      </c>
      <c r="T10" s="13">
        <f>-N50*SQRT(5)</f>
        <v>8.6084743645307743E-2</v>
      </c>
      <c r="U10" s="12">
        <f>-$M$3*N56*SQRT(5)</f>
        <v>43649.938917724758</v>
      </c>
      <c r="V10" s="13">
        <f>-N56*SQRT(5)</f>
        <v>4.3649938917724757E-2</v>
      </c>
    </row>
    <row r="11" spans="2:22" x14ac:dyDescent="0.3">
      <c r="B11" s="5" t="s">
        <v>38</v>
      </c>
      <c r="C11" s="6">
        <v>519.71</v>
      </c>
      <c r="D11" s="14">
        <f t="shared" si="0"/>
        <v>3.3922511954726036E-3</v>
      </c>
      <c r="E11" s="6">
        <v>220.63</v>
      </c>
      <c r="F11" s="14">
        <f t="shared" si="1"/>
        <v>4.8160020390348984E-3</v>
      </c>
      <c r="L11" s="17">
        <v>0.05</v>
      </c>
      <c r="M11" s="18">
        <f>NORMSINV(L11)</f>
        <v>-1.6448536269514726</v>
      </c>
      <c r="N11" s="18">
        <f>NORMSINV(1-L11)</f>
        <v>1.6448536269514715</v>
      </c>
    </row>
    <row r="12" spans="2:22" x14ac:dyDescent="0.3">
      <c r="B12" s="5" t="s">
        <v>39</v>
      </c>
      <c r="C12" s="6">
        <v>515.74</v>
      </c>
      <c r="D12" s="14">
        <f t="shared" si="0"/>
        <v>-7.668201175168525E-3</v>
      </c>
      <c r="E12" s="6">
        <v>222.41</v>
      </c>
      <c r="F12" s="14">
        <f t="shared" si="1"/>
        <v>8.035435074072431E-3</v>
      </c>
      <c r="H12" s="22" t="s">
        <v>40</v>
      </c>
      <c r="I12" s="23"/>
      <c r="J12" s="23"/>
      <c r="L12" s="17">
        <v>0.1</v>
      </c>
      <c r="M12" s="18">
        <f>NORMSINV(L12)</f>
        <v>-1.2815515655446006</v>
      </c>
      <c r="N12" s="18">
        <f>NORMSINV(1-L12)</f>
        <v>1.2815515655446006</v>
      </c>
    </row>
    <row r="13" spans="2:22" x14ac:dyDescent="0.3">
      <c r="B13" s="5" t="s">
        <v>41</v>
      </c>
      <c r="C13" s="6">
        <v>517.35</v>
      </c>
      <c r="D13" s="14">
        <f t="shared" si="0"/>
        <v>3.1168655265446286E-3</v>
      </c>
      <c r="E13" s="6">
        <v>219.51</v>
      </c>
      <c r="F13" s="14">
        <f t="shared" si="1"/>
        <v>-1.3124735830304374E-2</v>
      </c>
      <c r="H13" s="27" t="s">
        <v>9</v>
      </c>
      <c r="I13" s="23"/>
      <c r="J13" s="23"/>
      <c r="P13" s="22" t="s">
        <v>42</v>
      </c>
      <c r="Q13" s="23"/>
      <c r="R13" s="23"/>
      <c r="S13" s="23"/>
      <c r="T13" s="23"/>
      <c r="U13" s="23"/>
      <c r="V13" s="23"/>
    </row>
    <row r="14" spans="2:22" x14ac:dyDescent="0.3">
      <c r="B14" s="5" t="s">
        <v>43</v>
      </c>
      <c r="C14" s="6">
        <v>528.57000000000005</v>
      </c>
      <c r="D14" s="14">
        <f t="shared" si="0"/>
        <v>2.1455618819687983E-2</v>
      </c>
      <c r="E14" s="6">
        <v>220.9</v>
      </c>
      <c r="F14" s="14">
        <f t="shared" si="1"/>
        <v>6.3123208620233275E-3</v>
      </c>
      <c r="L14" s="22" t="s">
        <v>9</v>
      </c>
      <c r="M14" s="23"/>
      <c r="N14" s="23"/>
      <c r="P14" s="1" t="s">
        <v>12</v>
      </c>
      <c r="Q14" s="1" t="s">
        <v>13</v>
      </c>
      <c r="R14" s="1" t="s">
        <v>13</v>
      </c>
      <c r="S14" s="1" t="s">
        <v>14</v>
      </c>
      <c r="T14" s="1" t="s">
        <v>14</v>
      </c>
      <c r="U14" s="1" t="s">
        <v>15</v>
      </c>
      <c r="V14" s="1" t="s">
        <v>15</v>
      </c>
    </row>
    <row r="15" spans="2:22" x14ac:dyDescent="0.3">
      <c r="B15" s="5" t="s">
        <v>44</v>
      </c>
      <c r="C15" s="6">
        <v>523.98</v>
      </c>
      <c r="D15" s="14">
        <f t="shared" si="0"/>
        <v>-8.7217312169509571E-3</v>
      </c>
      <c r="E15" s="6">
        <v>221.78</v>
      </c>
      <c r="F15" s="14">
        <f t="shared" si="1"/>
        <v>3.9757890989981937E-3</v>
      </c>
      <c r="L15" s="22" t="s">
        <v>45</v>
      </c>
      <c r="M15" s="23"/>
      <c r="N15" s="23"/>
      <c r="P15" s="11" t="s">
        <v>9</v>
      </c>
      <c r="Q15" s="12">
        <f>-$M$3*N22*SQRT(20)</f>
        <v>502432.83397897141</v>
      </c>
      <c r="R15" s="13">
        <f>-N22*SQRT(20)</f>
        <v>0.50243283397897143</v>
      </c>
      <c r="S15" s="12">
        <f>-$M$3*N28*SQRT(20)</f>
        <v>150598.85162415486</v>
      </c>
      <c r="T15" s="13">
        <f>-N28*SQRT(20)</f>
        <v>0.15059885162415484</v>
      </c>
      <c r="U15" s="12">
        <f>-$M$3*N34*SQRT(20)</f>
        <v>51127.378973637642</v>
      </c>
      <c r="V15" s="13">
        <f>-N34*SQRT(20)</f>
        <v>5.1127378973637644E-2</v>
      </c>
    </row>
    <row r="16" spans="2:22" x14ac:dyDescent="0.3">
      <c r="B16" s="5" t="s">
        <v>46</v>
      </c>
      <c r="C16" s="6">
        <v>524.85</v>
      </c>
      <c r="D16" s="14">
        <f t="shared" si="0"/>
        <v>1.6589918281101695E-3</v>
      </c>
      <c r="E16" s="6">
        <v>225.22</v>
      </c>
      <c r="F16" s="14">
        <f t="shared" si="1"/>
        <v>1.5391802743809685E-2</v>
      </c>
      <c r="L16" s="1" t="s">
        <v>33</v>
      </c>
      <c r="M16" s="1" t="s">
        <v>47</v>
      </c>
      <c r="N16" s="1" t="s">
        <v>48</v>
      </c>
      <c r="P16" s="11" t="s">
        <v>10</v>
      </c>
      <c r="Q16" s="12">
        <f>-$M$3*N44*SQRT(20)</f>
        <v>433865.05788945383</v>
      </c>
      <c r="R16" s="13">
        <f>-N44*SQRT(20)</f>
        <v>0.43386505788945384</v>
      </c>
      <c r="S16" s="12">
        <f>-$M$3*N50*SQRT(20)</f>
        <v>172169.48729061548</v>
      </c>
      <c r="T16" s="13">
        <f>-N50*SQRT(20)</f>
        <v>0.17216948729061549</v>
      </c>
      <c r="U16" s="12">
        <f>-$M$3*N56*SQRT(20)</f>
        <v>87299.877835449515</v>
      </c>
      <c r="V16" s="13">
        <f>-N56*SQRT(20)</f>
        <v>8.7299877835449513E-2</v>
      </c>
    </row>
    <row r="17" spans="2:22" x14ac:dyDescent="0.3">
      <c r="B17" s="5" t="s">
        <v>49</v>
      </c>
      <c r="C17" s="6">
        <v>522.4</v>
      </c>
      <c r="D17" s="14">
        <f t="shared" si="0"/>
        <v>-4.6789295195854624E-3</v>
      </c>
      <c r="E17" s="6">
        <v>227.74</v>
      </c>
      <c r="F17" s="14">
        <f t="shared" si="1"/>
        <v>1.1126925113579588E-2</v>
      </c>
      <c r="L17" s="24">
        <v>0.01</v>
      </c>
      <c r="M17" s="9" t="s">
        <v>50</v>
      </c>
      <c r="N17" s="19">
        <f>NORMSINV(1-L17)</f>
        <v>2.3263478740408408</v>
      </c>
    </row>
    <row r="18" spans="2:22" x14ac:dyDescent="0.3">
      <c r="B18" s="5" t="s">
        <v>51</v>
      </c>
      <c r="C18" s="6">
        <v>510.96</v>
      </c>
      <c r="D18" s="14">
        <f t="shared" si="0"/>
        <v>-2.2142268708887615E-2</v>
      </c>
      <c r="E18" s="6">
        <v>216.37</v>
      </c>
      <c r="F18" s="14">
        <f t="shared" si="1"/>
        <v>-5.121472218312071E-2</v>
      </c>
      <c r="L18" s="25"/>
      <c r="M18" s="9" t="s">
        <v>52</v>
      </c>
      <c r="N18" s="19">
        <f>1/6*(N17^2-1)*$I$8</f>
        <v>0.69443286363262213</v>
      </c>
      <c r="P18" s="22" t="s">
        <v>53</v>
      </c>
      <c r="Q18" s="23"/>
      <c r="R18" s="23"/>
      <c r="S18" s="23"/>
      <c r="T18" s="23"/>
      <c r="U18" s="23"/>
      <c r="V18" s="23"/>
    </row>
    <row r="19" spans="2:22" x14ac:dyDescent="0.3">
      <c r="B19" s="5" t="s">
        <v>54</v>
      </c>
      <c r="C19" s="6">
        <v>514.04999999999995</v>
      </c>
      <c r="D19" s="14">
        <f t="shared" si="0"/>
        <v>6.0292277353936686E-3</v>
      </c>
      <c r="E19" s="6">
        <v>220.07</v>
      </c>
      <c r="F19" s="14">
        <f t="shared" si="1"/>
        <v>1.6955772362105399E-2</v>
      </c>
      <c r="L19" s="25"/>
      <c r="M19" s="9" t="s">
        <v>55</v>
      </c>
      <c r="N19" s="19">
        <f>1/24*(N17^3-3*N17)*$I$9</f>
        <v>2.8368613850311681</v>
      </c>
      <c r="P19" s="26" t="s">
        <v>56</v>
      </c>
      <c r="Q19" s="23"/>
      <c r="R19" s="23"/>
      <c r="S19" s="23"/>
      <c r="T19" s="23"/>
      <c r="U19" s="23"/>
      <c r="V19" s="23"/>
    </row>
    <row r="20" spans="2:22" x14ac:dyDescent="0.3">
      <c r="B20" s="5" t="s">
        <v>57</v>
      </c>
      <c r="C20" s="6">
        <v>513.57000000000005</v>
      </c>
      <c r="D20" s="14">
        <f t="shared" si="0"/>
        <v>-9.3419753393063647E-4</v>
      </c>
      <c r="E20" s="6">
        <v>216.39</v>
      </c>
      <c r="F20" s="14">
        <f t="shared" si="1"/>
        <v>-1.686334237775276E-2</v>
      </c>
      <c r="L20" s="25"/>
      <c r="M20" s="9" t="s">
        <v>58</v>
      </c>
      <c r="N20" s="19">
        <f>1/36*(2*N17^3-5*N17)*$I$8^2</f>
        <v>0.33565304119108358</v>
      </c>
      <c r="P20" s="23"/>
      <c r="Q20" s="23"/>
      <c r="R20" s="23"/>
      <c r="S20" s="23"/>
      <c r="T20" s="23"/>
      <c r="U20" s="23"/>
      <c r="V20" s="23"/>
    </row>
    <row r="21" spans="2:22" x14ac:dyDescent="0.3">
      <c r="B21" s="5" t="s">
        <v>59</v>
      </c>
      <c r="C21" s="6">
        <v>513.42999999999995</v>
      </c>
      <c r="D21" s="14">
        <f t="shared" si="0"/>
        <v>-2.7263875534037593E-4</v>
      </c>
      <c r="E21" s="6">
        <v>215.57</v>
      </c>
      <c r="F21" s="14">
        <f t="shared" si="1"/>
        <v>-3.7966523983486529E-3</v>
      </c>
      <c r="L21" s="25"/>
      <c r="M21" s="3" t="s">
        <v>60</v>
      </c>
      <c r="N21" s="20">
        <f>N17+N18+N19-N20</f>
        <v>5.5219890815135475</v>
      </c>
      <c r="P21" s="23"/>
      <c r="Q21" s="23"/>
      <c r="R21" s="23"/>
      <c r="S21" s="23"/>
      <c r="T21" s="23"/>
      <c r="U21" s="23"/>
      <c r="V21" s="23"/>
    </row>
    <row r="22" spans="2:22" x14ac:dyDescent="0.3">
      <c r="B22" s="5" t="s">
        <v>61</v>
      </c>
      <c r="C22" s="6">
        <v>511.61</v>
      </c>
      <c r="D22" s="14">
        <f t="shared" si="0"/>
        <v>-3.5510846650801801E-3</v>
      </c>
      <c r="E22" s="6">
        <v>214.47</v>
      </c>
      <c r="F22" s="14">
        <f t="shared" si="1"/>
        <v>-5.1158143384721416E-3</v>
      </c>
      <c r="L22" s="25"/>
      <c r="M22" s="3" t="s">
        <v>62</v>
      </c>
      <c r="N22" s="21">
        <f>$I$4-N21*$I$5</f>
        <v>-0.11234739709048462</v>
      </c>
      <c r="P22" s="23"/>
      <c r="Q22" s="23"/>
      <c r="R22" s="23"/>
      <c r="S22" s="23"/>
      <c r="T22" s="23"/>
      <c r="U22" s="23"/>
      <c r="V22" s="23"/>
    </row>
    <row r="23" spans="2:22" x14ac:dyDescent="0.3">
      <c r="B23" s="5" t="s">
        <v>63</v>
      </c>
      <c r="C23" s="6">
        <v>513.58000000000004</v>
      </c>
      <c r="D23" s="14">
        <f t="shared" si="0"/>
        <v>3.8431947731934805E-3</v>
      </c>
      <c r="E23" s="6">
        <v>213.04</v>
      </c>
      <c r="F23" s="14">
        <f t="shared" si="1"/>
        <v>-6.6899269411933799E-3</v>
      </c>
      <c r="L23" s="24">
        <v>0.05</v>
      </c>
      <c r="M23" s="9" t="s">
        <v>50</v>
      </c>
      <c r="N23" s="19">
        <f>NORMSINV(1-L23)</f>
        <v>1.6448536269514715</v>
      </c>
      <c r="P23" s="23"/>
      <c r="Q23" s="23"/>
      <c r="R23" s="23"/>
      <c r="S23" s="23"/>
      <c r="T23" s="23"/>
      <c r="U23" s="23"/>
      <c r="V23" s="23"/>
    </row>
    <row r="24" spans="2:22" x14ac:dyDescent="0.3">
      <c r="B24" s="5" t="s">
        <v>64</v>
      </c>
      <c r="C24" s="6">
        <v>516.79</v>
      </c>
      <c r="D24" s="14">
        <f t="shared" si="0"/>
        <v>6.2307916284104932E-3</v>
      </c>
      <c r="E24" s="6">
        <v>216.48</v>
      </c>
      <c r="F24" s="14">
        <f t="shared" si="1"/>
        <v>1.6018222916801047E-2</v>
      </c>
      <c r="L24" s="25"/>
      <c r="M24" s="9" t="s">
        <v>52</v>
      </c>
      <c r="N24" s="19">
        <f>1/6*(N23^2-1)*$I$8</f>
        <v>0.26845280261937482</v>
      </c>
      <c r="P24" s="23"/>
      <c r="Q24" s="23"/>
      <c r="R24" s="23"/>
      <c r="S24" s="23"/>
      <c r="T24" s="23"/>
      <c r="U24" s="23"/>
      <c r="V24" s="23"/>
    </row>
    <row r="25" spans="2:22" x14ac:dyDescent="0.3">
      <c r="B25" s="5" t="s">
        <v>65</v>
      </c>
      <c r="C25" s="6">
        <v>517.66</v>
      </c>
      <c r="D25" s="14">
        <f t="shared" si="0"/>
        <v>1.6820536616067938E-3</v>
      </c>
      <c r="E25" s="6">
        <v>222.03</v>
      </c>
      <c r="F25" s="14">
        <f t="shared" si="1"/>
        <v>2.5314343455006803E-2</v>
      </c>
      <c r="L25" s="25"/>
      <c r="M25" s="9" t="s">
        <v>55</v>
      </c>
      <c r="N25" s="19">
        <f>1/24*(N23^3-3*N23)*$I$9</f>
        <v>-0.24488017840925635</v>
      </c>
      <c r="P25" s="23"/>
      <c r="Q25" s="23"/>
      <c r="R25" s="23"/>
      <c r="S25" s="23"/>
      <c r="T25" s="23"/>
      <c r="U25" s="23"/>
      <c r="V25" s="23"/>
    </row>
    <row r="26" spans="2:22" x14ac:dyDescent="0.3">
      <c r="B26" s="5" t="s">
        <v>66</v>
      </c>
      <c r="C26" s="6">
        <v>520.54</v>
      </c>
      <c r="D26" s="14">
        <f t="shared" si="0"/>
        <v>5.5480781881667701E-3</v>
      </c>
      <c r="E26" s="6">
        <v>217.95</v>
      </c>
      <c r="F26" s="14">
        <f t="shared" si="1"/>
        <v>-1.854682919308312E-2</v>
      </c>
      <c r="L26" s="25"/>
      <c r="M26" s="9" t="s">
        <v>58</v>
      </c>
      <c r="N26" s="19">
        <f>1/36*(2*N23^3-5*N23)*$I$8^2</f>
        <v>1.6752175329295141E-2</v>
      </c>
      <c r="P26" s="23"/>
      <c r="Q26" s="23"/>
      <c r="R26" s="23"/>
      <c r="S26" s="23"/>
      <c r="T26" s="23"/>
      <c r="U26" s="23"/>
      <c r="V26" s="23"/>
    </row>
    <row r="27" spans="2:22" x14ac:dyDescent="0.3">
      <c r="B27" s="5" t="s">
        <v>67</v>
      </c>
      <c r="C27" s="6">
        <v>520.55999999999995</v>
      </c>
      <c r="D27" s="14">
        <f t="shared" si="0"/>
        <v>3.8420900974708165E-5</v>
      </c>
      <c r="E27" s="6">
        <v>221.09</v>
      </c>
      <c r="F27" s="14">
        <f t="shared" si="1"/>
        <v>1.4304179752726551E-2</v>
      </c>
      <c r="L27" s="25"/>
      <c r="M27" s="3" t="s">
        <v>60</v>
      </c>
      <c r="N27" s="20">
        <f>N23+N24+N25-N26</f>
        <v>1.6516740758322948</v>
      </c>
      <c r="P27" s="23"/>
      <c r="Q27" s="23"/>
      <c r="R27" s="23"/>
      <c r="S27" s="23"/>
      <c r="T27" s="23"/>
      <c r="U27" s="23"/>
      <c r="V27" s="23"/>
    </row>
    <row r="28" spans="2:22" x14ac:dyDescent="0.3">
      <c r="B28" s="5" t="s">
        <v>68</v>
      </c>
      <c r="C28" s="6">
        <v>523.61</v>
      </c>
      <c r="D28" s="14">
        <f t="shared" si="0"/>
        <v>5.8419772151516447E-3</v>
      </c>
      <c r="E28" s="6">
        <v>224.21</v>
      </c>
      <c r="F28" s="14">
        <f t="shared" si="1"/>
        <v>1.4013254239251861E-2</v>
      </c>
      <c r="L28" s="25"/>
      <c r="M28" s="3" t="s">
        <v>62</v>
      </c>
      <c r="N28" s="21">
        <f>$I$4-N27*$I$5</f>
        <v>-3.3674926956501483E-2</v>
      </c>
      <c r="P28" s="23"/>
      <c r="Q28" s="23"/>
      <c r="R28" s="23"/>
      <c r="S28" s="23"/>
      <c r="T28" s="23"/>
      <c r="U28" s="23"/>
      <c r="V28" s="23"/>
    </row>
    <row r="29" spans="2:22" x14ac:dyDescent="0.3">
      <c r="B29" s="5" t="s">
        <v>69</v>
      </c>
      <c r="C29" s="6">
        <v>531.52</v>
      </c>
      <c r="D29" s="14">
        <f t="shared" si="0"/>
        <v>1.4993694023049847E-2</v>
      </c>
      <c r="E29" s="6">
        <v>226.97</v>
      </c>
      <c r="F29" s="14">
        <f t="shared" si="1"/>
        <v>1.2234737480998162E-2</v>
      </c>
      <c r="L29" s="24">
        <v>0.1</v>
      </c>
      <c r="M29" s="9" t="s">
        <v>50</v>
      </c>
      <c r="N29" s="19">
        <f>NORMSINV(1-L29)</f>
        <v>1.2815515655446006</v>
      </c>
      <c r="P29" s="23"/>
      <c r="Q29" s="23"/>
      <c r="R29" s="23"/>
      <c r="S29" s="23"/>
      <c r="T29" s="23"/>
      <c r="U29" s="23"/>
      <c r="V29" s="23"/>
    </row>
    <row r="30" spans="2:22" x14ac:dyDescent="0.3">
      <c r="B30" s="5" t="s">
        <v>70</v>
      </c>
      <c r="C30" s="6">
        <v>542.07000000000005</v>
      </c>
      <c r="D30" s="14">
        <f t="shared" si="0"/>
        <v>1.9654317966919119E-2</v>
      </c>
      <c r="E30" s="6">
        <v>229.25</v>
      </c>
      <c r="F30" s="14">
        <f t="shared" si="1"/>
        <v>9.9952609791959125E-3</v>
      </c>
      <c r="L30" s="25"/>
      <c r="M30" s="9" t="s">
        <v>52</v>
      </c>
      <c r="N30" s="19">
        <f>1/6*(N29^2-1)*$I$8</f>
        <v>0.10110983197986766</v>
      </c>
      <c r="P30" s="23"/>
      <c r="Q30" s="23"/>
      <c r="R30" s="23"/>
      <c r="S30" s="23"/>
      <c r="T30" s="23"/>
      <c r="U30" s="23"/>
      <c r="V30" s="23"/>
    </row>
    <row r="31" spans="2:22" x14ac:dyDescent="0.3">
      <c r="B31" s="5" t="s">
        <v>71</v>
      </c>
      <c r="C31" s="6">
        <v>541.54999999999995</v>
      </c>
      <c r="D31" s="14">
        <f t="shared" si="0"/>
        <v>-9.5974611010316089E-4</v>
      </c>
      <c r="E31" s="6">
        <v>230.3</v>
      </c>
      <c r="F31" s="14">
        <f t="shared" si="1"/>
        <v>4.5696956900652683E-3</v>
      </c>
      <c r="L31" s="25"/>
      <c r="M31" s="9" t="s">
        <v>55</v>
      </c>
      <c r="N31" s="19">
        <f>1/24*(N29^3-3*N29)*$I$9</f>
        <v>-0.8796729997694166</v>
      </c>
      <c r="P31" s="23"/>
      <c r="Q31" s="23"/>
      <c r="R31" s="23"/>
      <c r="S31" s="23"/>
      <c r="T31" s="23"/>
      <c r="U31" s="23"/>
      <c r="V31" s="23"/>
    </row>
    <row r="32" spans="2:22" x14ac:dyDescent="0.3">
      <c r="B32" s="5" t="s">
        <v>72</v>
      </c>
      <c r="C32" s="6">
        <v>525.76</v>
      </c>
      <c r="D32" s="14">
        <f t="shared" si="0"/>
        <v>-2.9590563432842814E-2</v>
      </c>
      <c r="E32" s="6">
        <v>222.86</v>
      </c>
      <c r="F32" s="14">
        <f t="shared" si="1"/>
        <v>-3.2839035207731682E-2</v>
      </c>
      <c r="L32" s="25"/>
      <c r="M32" s="9" t="s">
        <v>58</v>
      </c>
      <c r="N32" s="19">
        <f>1/36*(2*N29^3-5*N29)*$I$8^2</f>
        <v>-5.4459558531293868E-2</v>
      </c>
      <c r="P32" s="23"/>
      <c r="Q32" s="23"/>
      <c r="R32" s="23"/>
      <c r="S32" s="23"/>
      <c r="T32" s="23"/>
      <c r="U32" s="23"/>
      <c r="V32" s="23"/>
    </row>
    <row r="33" spans="2:22" x14ac:dyDescent="0.3">
      <c r="B33" s="5" t="s">
        <v>73</v>
      </c>
      <c r="C33" s="6">
        <v>517.80999999999995</v>
      </c>
      <c r="D33" s="14">
        <f t="shared" si="0"/>
        <v>-1.5236455242090181E-2</v>
      </c>
      <c r="E33" s="6">
        <v>244.22</v>
      </c>
      <c r="F33" s="14">
        <f t="shared" si="1"/>
        <v>9.1525686785967911E-2</v>
      </c>
      <c r="L33" s="25"/>
      <c r="M33" s="3" t="s">
        <v>60</v>
      </c>
      <c r="N33" s="20">
        <f>N29+N30+N31-N32</f>
        <v>0.55744795628634547</v>
      </c>
      <c r="P33" s="23"/>
      <c r="Q33" s="23"/>
      <c r="R33" s="23"/>
      <c r="S33" s="23"/>
      <c r="T33" s="23"/>
      <c r="U33" s="23"/>
      <c r="V33" s="23"/>
    </row>
    <row r="34" spans="2:22" x14ac:dyDescent="0.3">
      <c r="B34" s="5" t="s">
        <v>74</v>
      </c>
      <c r="C34" s="6">
        <v>517.03</v>
      </c>
      <c r="D34" s="14">
        <f t="shared" si="0"/>
        <v>-1.507479702586237E-3</v>
      </c>
      <c r="E34" s="6">
        <v>254</v>
      </c>
      <c r="F34" s="14">
        <f t="shared" si="1"/>
        <v>3.9264808613660787E-2</v>
      </c>
      <c r="L34" s="25"/>
      <c r="M34" s="3" t="s">
        <v>62</v>
      </c>
      <c r="N34" s="21">
        <f>$I$4-N33*$I$5</f>
        <v>-1.143242948964472E-2</v>
      </c>
      <c r="P34" s="23"/>
      <c r="Q34" s="23"/>
      <c r="R34" s="23"/>
      <c r="S34" s="23"/>
      <c r="T34" s="23"/>
      <c r="U34" s="23"/>
      <c r="V34" s="23"/>
    </row>
    <row r="35" spans="2:22" x14ac:dyDescent="0.3">
      <c r="B35" s="5" t="s">
        <v>75</v>
      </c>
      <c r="C35" s="6">
        <v>514.33000000000004</v>
      </c>
      <c r="D35" s="14">
        <f t="shared" si="0"/>
        <v>-5.2358171115765365E-3</v>
      </c>
      <c r="E35" s="6">
        <v>249.32</v>
      </c>
      <c r="F35" s="14">
        <f t="shared" si="1"/>
        <v>-1.8597055077886716E-2</v>
      </c>
    </row>
    <row r="36" spans="2:22" x14ac:dyDescent="0.3">
      <c r="B36" s="5" t="s">
        <v>76</v>
      </c>
      <c r="C36" s="6">
        <v>507.16</v>
      </c>
      <c r="D36" s="14">
        <f t="shared" si="0"/>
        <v>-1.4038547132903064E-2</v>
      </c>
      <c r="E36" s="6">
        <v>250.2</v>
      </c>
      <c r="F36" s="14">
        <f t="shared" si="1"/>
        <v>3.5233860921609433E-3</v>
      </c>
      <c r="L36" s="22" t="s">
        <v>10</v>
      </c>
      <c r="M36" s="23"/>
      <c r="N36" s="23"/>
    </row>
    <row r="37" spans="2:22" x14ac:dyDescent="0.3">
      <c r="B37" s="5" t="s">
        <v>77</v>
      </c>
      <c r="C37" s="6">
        <v>497.1</v>
      </c>
      <c r="D37" s="14">
        <f t="shared" si="0"/>
        <v>-2.0035322559120352E-2</v>
      </c>
      <c r="E37" s="6">
        <v>243.04</v>
      </c>
      <c r="F37" s="14">
        <f t="shared" si="1"/>
        <v>-2.9034559185348068E-2</v>
      </c>
      <c r="L37" s="22" t="s">
        <v>45</v>
      </c>
      <c r="M37" s="23"/>
      <c r="N37" s="23"/>
    </row>
    <row r="38" spans="2:22" x14ac:dyDescent="0.3">
      <c r="B38" s="5" t="s">
        <v>78</v>
      </c>
      <c r="C38" s="6">
        <v>496.82</v>
      </c>
      <c r="D38" s="14">
        <f t="shared" si="0"/>
        <v>-5.6342564272209299E-4</v>
      </c>
      <c r="E38" s="6">
        <v>244.41</v>
      </c>
      <c r="F38" s="14">
        <f t="shared" si="1"/>
        <v>5.6211041431974652E-3</v>
      </c>
      <c r="L38" s="1" t="s">
        <v>33</v>
      </c>
      <c r="M38" s="1" t="s">
        <v>47</v>
      </c>
      <c r="N38" s="1" t="s">
        <v>48</v>
      </c>
    </row>
    <row r="39" spans="2:22" x14ac:dyDescent="0.3">
      <c r="B39" s="5" t="s">
        <v>79</v>
      </c>
      <c r="C39" s="6">
        <v>506</v>
      </c>
      <c r="D39" s="14">
        <f t="shared" si="0"/>
        <v>1.8308881829560569E-2</v>
      </c>
      <c r="E39" s="6">
        <v>248.4</v>
      </c>
      <c r="F39" s="14">
        <f t="shared" si="1"/>
        <v>1.6193207068663642E-2</v>
      </c>
      <c r="H39" s="28" t="s">
        <v>80</v>
      </c>
      <c r="I39" s="23"/>
      <c r="J39" s="23"/>
      <c r="L39" s="24">
        <v>0.01</v>
      </c>
      <c r="M39" s="9" t="s">
        <v>50</v>
      </c>
      <c r="N39" s="19">
        <f>NORMSINV(1-L39)</f>
        <v>2.3263478740408408</v>
      </c>
    </row>
    <row r="40" spans="2:22" x14ac:dyDescent="0.3">
      <c r="B40" s="5" t="s">
        <v>81</v>
      </c>
      <c r="C40" s="6">
        <v>508.68</v>
      </c>
      <c r="D40" s="14">
        <f t="shared" si="0"/>
        <v>5.2824658650805871E-3</v>
      </c>
      <c r="E40" s="6">
        <v>249.1</v>
      </c>
      <c r="F40" s="14">
        <f t="shared" si="1"/>
        <v>2.8140722088110495E-3</v>
      </c>
      <c r="H40" s="23"/>
      <c r="I40" s="23"/>
      <c r="J40" s="23"/>
      <c r="L40" s="25"/>
      <c r="M40" s="9" t="s">
        <v>52</v>
      </c>
      <c r="N40" s="19">
        <f>1/6*(N39^2-1)*$J$8</f>
        <v>0.97147223377545378</v>
      </c>
    </row>
    <row r="41" spans="2:22" x14ac:dyDescent="0.3">
      <c r="B41" s="5" t="s">
        <v>82</v>
      </c>
      <c r="C41" s="6">
        <v>511.14</v>
      </c>
      <c r="D41" s="14">
        <f t="shared" si="0"/>
        <v>4.8243901302579498E-3</v>
      </c>
      <c r="E41" s="6">
        <v>244.2</v>
      </c>
      <c r="F41" s="14">
        <f t="shared" si="1"/>
        <v>-1.9866860591530439E-2</v>
      </c>
      <c r="H41" s="23"/>
      <c r="I41" s="23"/>
      <c r="J41" s="23"/>
      <c r="L41" s="25"/>
      <c r="M41" s="9" t="s">
        <v>55</v>
      </c>
      <c r="N41" s="19">
        <f>1/24*(N39^3-3*N39)*$J$9</f>
        <v>1.9151729714340584</v>
      </c>
    </row>
    <row r="42" spans="2:22" x14ac:dyDescent="0.3">
      <c r="B42" s="5" t="s">
        <v>83</v>
      </c>
      <c r="C42" s="6">
        <v>503.29</v>
      </c>
      <c r="D42" s="14">
        <f t="shared" si="0"/>
        <v>-1.5476980563366001E-2</v>
      </c>
      <c r="E42" s="6">
        <v>237.58</v>
      </c>
      <c r="F42" s="14">
        <f t="shared" si="1"/>
        <v>-2.7483152815210615E-2</v>
      </c>
      <c r="H42" s="23"/>
      <c r="I42" s="23"/>
      <c r="J42" s="23"/>
      <c r="L42" s="25"/>
      <c r="M42" s="9" t="s">
        <v>58</v>
      </c>
      <c r="N42" s="19">
        <f>1/36*(2*N39^3-5*N39)*$J$8^2</f>
        <v>0.65688726187330038</v>
      </c>
    </row>
    <row r="43" spans="2:22" x14ac:dyDescent="0.3">
      <c r="B43" s="5" t="s">
        <v>84</v>
      </c>
      <c r="C43" s="6">
        <v>510.18</v>
      </c>
      <c r="D43" s="14">
        <f t="shared" si="0"/>
        <v>1.3597059906317998E-2</v>
      </c>
      <c r="E43" s="6">
        <v>234.69</v>
      </c>
      <c r="F43" s="14">
        <f t="shared" si="1"/>
        <v>-1.2238914496294703E-2</v>
      </c>
      <c r="H43" s="27" t="s">
        <v>10</v>
      </c>
      <c r="I43" s="23"/>
      <c r="J43" s="23"/>
      <c r="L43" s="25"/>
      <c r="M43" s="3" t="s">
        <v>60</v>
      </c>
      <c r="N43" s="20">
        <f>N39+N40+N41-N42</f>
        <v>4.5561058173770528</v>
      </c>
    </row>
    <row r="44" spans="2:22" x14ac:dyDescent="0.3">
      <c r="B44" s="5" t="s">
        <v>85</v>
      </c>
      <c r="C44" s="6">
        <v>507.49</v>
      </c>
      <c r="D44" s="14">
        <f t="shared" si="0"/>
        <v>-5.2865983374461231E-3</v>
      </c>
      <c r="E44" s="6">
        <v>232.87</v>
      </c>
      <c r="F44" s="14">
        <f t="shared" si="1"/>
        <v>-7.7851364199545484E-3</v>
      </c>
      <c r="L44" s="25"/>
      <c r="M44" s="3" t="s">
        <v>62</v>
      </c>
      <c r="N44" s="21">
        <f>$J$4-N43*$J$5</f>
        <v>-9.7015176250270022E-2</v>
      </c>
    </row>
    <row r="45" spans="2:22" x14ac:dyDescent="0.3">
      <c r="B45" s="5" t="s">
        <v>86</v>
      </c>
      <c r="C45" s="6">
        <v>493.79</v>
      </c>
      <c r="D45" s="14">
        <f t="shared" si="0"/>
        <v>-2.73666806960986E-2</v>
      </c>
      <c r="E45" s="6">
        <v>222.55</v>
      </c>
      <c r="F45" s="14">
        <f t="shared" si="1"/>
        <v>-4.5328562483280974E-2</v>
      </c>
      <c r="L45" s="24">
        <v>0.05</v>
      </c>
      <c r="M45" s="9" t="s">
        <v>50</v>
      </c>
      <c r="N45" s="19">
        <f>NORMSINV(1-L45)</f>
        <v>1.6448536269514715</v>
      </c>
    </row>
    <row r="46" spans="2:22" x14ac:dyDescent="0.3">
      <c r="B46" s="5" t="s">
        <v>87</v>
      </c>
      <c r="C46" s="6">
        <v>487.12</v>
      </c>
      <c r="D46" s="14">
        <f t="shared" si="0"/>
        <v>-1.359982629189267E-2</v>
      </c>
      <c r="E46" s="6">
        <v>222.69</v>
      </c>
      <c r="F46" s="14">
        <f t="shared" si="1"/>
        <v>6.2887433570198159E-4</v>
      </c>
      <c r="L46" s="25"/>
      <c r="M46" s="9" t="s">
        <v>52</v>
      </c>
      <c r="N46" s="19">
        <f>1/6*(N45^2-1)*$J$8</f>
        <v>0.37555026192120705</v>
      </c>
    </row>
    <row r="47" spans="2:22" x14ac:dyDescent="0.3">
      <c r="B47" s="5" t="s">
        <v>88</v>
      </c>
      <c r="C47" s="6">
        <v>478.43</v>
      </c>
      <c r="D47" s="14">
        <f t="shared" si="0"/>
        <v>-1.8000589599925308E-2</v>
      </c>
      <c r="E47" s="6">
        <v>217.14</v>
      </c>
      <c r="F47" s="14">
        <f t="shared" si="1"/>
        <v>-2.5238362993859211E-2</v>
      </c>
      <c r="L47" s="25"/>
      <c r="M47" s="9" t="s">
        <v>55</v>
      </c>
      <c r="N47" s="19">
        <f>1/24*(N45^3-3*N45)*$J$9</f>
        <v>-0.16531928609695012</v>
      </c>
    </row>
    <row r="48" spans="2:22" x14ac:dyDescent="0.3">
      <c r="B48" s="5" t="s">
        <v>89</v>
      </c>
      <c r="C48" s="6">
        <v>472.12</v>
      </c>
      <c r="D48" s="14">
        <f t="shared" si="0"/>
        <v>-1.3276719139525063E-2</v>
      </c>
      <c r="E48" s="6">
        <v>220.69</v>
      </c>
      <c r="F48" s="14">
        <f t="shared" si="1"/>
        <v>1.6216695056362539E-2</v>
      </c>
      <c r="L48" s="25"/>
      <c r="M48" s="9" t="s">
        <v>58</v>
      </c>
      <c r="N48" s="19">
        <f>1/36*(2*N45^3-5*N45)*$J$8^2</f>
        <v>3.2784718837740298E-2</v>
      </c>
    </row>
    <row r="49" spans="2:14" x14ac:dyDescent="0.3">
      <c r="B49" s="5" t="s">
        <v>90</v>
      </c>
      <c r="C49" s="6">
        <v>474</v>
      </c>
      <c r="D49" s="14">
        <f t="shared" si="0"/>
        <v>3.974131134208198E-3</v>
      </c>
      <c r="E49" s="6">
        <v>226.28</v>
      </c>
      <c r="F49" s="14">
        <f t="shared" si="1"/>
        <v>2.5014168614886534E-2</v>
      </c>
      <c r="L49" s="25"/>
      <c r="M49" s="3" t="s">
        <v>60</v>
      </c>
      <c r="N49" s="20">
        <f>N45+N46+N47-N48</f>
        <v>1.822299883937988</v>
      </c>
    </row>
    <row r="50" spans="2:14" x14ac:dyDescent="0.3">
      <c r="B50" s="5" t="s">
        <v>91</v>
      </c>
      <c r="C50" s="6">
        <v>476.99</v>
      </c>
      <c r="D50" s="14">
        <f t="shared" si="0"/>
        <v>6.2882046129223565E-3</v>
      </c>
      <c r="E50" s="6">
        <v>229.67</v>
      </c>
      <c r="F50" s="14">
        <f t="shared" si="1"/>
        <v>1.4870325553368645E-2</v>
      </c>
      <c r="L50" s="25"/>
      <c r="M50" s="3" t="s">
        <v>62</v>
      </c>
      <c r="N50" s="21">
        <f>$J$4-N49*$J$5</f>
        <v>-3.8498267723310227E-2</v>
      </c>
    </row>
    <row r="51" spans="2:14" x14ac:dyDescent="0.3">
      <c r="B51" s="5" t="s">
        <v>92</v>
      </c>
      <c r="C51" s="6">
        <v>485.5</v>
      </c>
      <c r="D51" s="14">
        <f t="shared" si="0"/>
        <v>1.7683761423380632E-2</v>
      </c>
      <c r="E51" s="6">
        <v>229.16</v>
      </c>
      <c r="F51" s="14">
        <f t="shared" si="1"/>
        <v>-2.2230464879464261E-3</v>
      </c>
      <c r="L51" s="24">
        <v>0.1</v>
      </c>
      <c r="M51" s="9" t="s">
        <v>50</v>
      </c>
      <c r="N51" s="19">
        <f>NORMSINV(1-L51)</f>
        <v>1.2815515655446006</v>
      </c>
    </row>
    <row r="52" spans="2:14" x14ac:dyDescent="0.3">
      <c r="B52" s="5" t="s">
        <v>93</v>
      </c>
      <c r="C52" s="6">
        <v>492.01</v>
      </c>
      <c r="D52" s="14">
        <f t="shared" si="0"/>
        <v>1.3319753757626425E-2</v>
      </c>
      <c r="E52" s="6">
        <v>233.22</v>
      </c>
      <c r="F52" s="14">
        <f t="shared" si="1"/>
        <v>1.7561764551809682E-2</v>
      </c>
      <c r="L52" s="25"/>
      <c r="M52" s="9" t="s">
        <v>52</v>
      </c>
      <c r="N52" s="19">
        <f>1/6*(N51^2-1)*$J$8</f>
        <v>0.14144692665655198</v>
      </c>
    </row>
    <row r="53" spans="2:14" x14ac:dyDescent="0.3">
      <c r="B53" s="5" t="s">
        <v>94</v>
      </c>
      <c r="C53" s="6">
        <v>486.74</v>
      </c>
      <c r="D53" s="14">
        <f t="shared" si="0"/>
        <v>-1.0768941875060578E-2</v>
      </c>
      <c r="E53" s="6">
        <v>233.88</v>
      </c>
      <c r="F53" s="14">
        <f t="shared" si="1"/>
        <v>2.8259492152829047E-3</v>
      </c>
      <c r="L53" s="25"/>
      <c r="M53" s="9" t="s">
        <v>55</v>
      </c>
      <c r="N53" s="19">
        <f>1/24*(N51^3-3*N51)*$J$9</f>
        <v>-0.59386967644885325</v>
      </c>
    </row>
    <row r="54" spans="2:14" x14ac:dyDescent="0.3">
      <c r="B54" s="5" t="s">
        <v>95</v>
      </c>
      <c r="C54" s="6">
        <v>490</v>
      </c>
      <c r="D54" s="14">
        <f t="shared" si="0"/>
        <v>6.6752914907268592E-3</v>
      </c>
      <c r="E54" s="6">
        <v>234.42</v>
      </c>
      <c r="F54" s="14">
        <f t="shared" si="1"/>
        <v>2.3062149875643311E-3</v>
      </c>
      <c r="L54" s="25"/>
      <c r="M54" s="9" t="s">
        <v>58</v>
      </c>
      <c r="N54" s="19">
        <f>1/36*(2*N51^3-5*N51)*$J$8^2</f>
        <v>-0.10657966976704596</v>
      </c>
    </row>
    <row r="55" spans="2:14" x14ac:dyDescent="0.3">
      <c r="B55" s="5" t="s">
        <v>96</v>
      </c>
      <c r="C55" s="6">
        <v>477.73</v>
      </c>
      <c r="D55" s="14">
        <f t="shared" si="0"/>
        <v>-2.5359671759571177E-2</v>
      </c>
      <c r="E55" s="6">
        <v>232.38</v>
      </c>
      <c r="F55" s="14">
        <f t="shared" si="1"/>
        <v>-8.7404155403184008E-3</v>
      </c>
      <c r="L55" s="25"/>
      <c r="M55" s="3" t="s">
        <v>60</v>
      </c>
      <c r="N55" s="20">
        <f>N51+N52+N53-N54</f>
        <v>0.93570848551934516</v>
      </c>
    </row>
    <row r="56" spans="2:14" x14ac:dyDescent="0.3">
      <c r="B56" s="5" t="s">
        <v>97</v>
      </c>
      <c r="C56" s="6">
        <v>480.84</v>
      </c>
      <c r="D56" s="14">
        <f t="shared" si="0"/>
        <v>6.488855090952381E-3</v>
      </c>
      <c r="E56" s="6">
        <v>229.11</v>
      </c>
      <c r="F56" s="14">
        <f t="shared" si="1"/>
        <v>-1.4171725186313249E-2</v>
      </c>
      <c r="L56" s="25"/>
      <c r="M56" s="3" t="s">
        <v>62</v>
      </c>
      <c r="N56" s="21">
        <f>$J$4-N55*$J$5</f>
        <v>-1.9520846126749231E-2</v>
      </c>
    </row>
    <row r="57" spans="2:14" x14ac:dyDescent="0.3">
      <c r="B57" s="5" t="s">
        <v>98</v>
      </c>
      <c r="C57" s="6">
        <v>483.16</v>
      </c>
      <c r="D57" s="14">
        <f t="shared" si="0"/>
        <v>4.8132873010242813E-3</v>
      </c>
      <c r="E57" s="6">
        <v>229.53</v>
      </c>
      <c r="F57" s="14">
        <f t="shared" si="1"/>
        <v>1.8315023434676188E-3</v>
      </c>
    </row>
    <row r="58" spans="2:14" x14ac:dyDescent="0.3">
      <c r="B58" s="5" t="s">
        <v>99</v>
      </c>
      <c r="C58" s="6">
        <v>491.02</v>
      </c>
      <c r="D58" s="14">
        <f t="shared" si="0"/>
        <v>1.6136998425424685E-2</v>
      </c>
      <c r="E58" s="6">
        <v>226.89</v>
      </c>
      <c r="F58" s="14">
        <f t="shared" si="1"/>
        <v>-1.1568421375822455E-2</v>
      </c>
    </row>
    <row r="59" spans="2:14" x14ac:dyDescent="0.3">
      <c r="B59" s="5" t="s">
        <v>100</v>
      </c>
      <c r="C59" s="6">
        <v>492.02</v>
      </c>
      <c r="D59" s="14">
        <f t="shared" si="0"/>
        <v>2.0345059101043159E-3</v>
      </c>
      <c r="E59" s="6">
        <v>227.92</v>
      </c>
      <c r="F59" s="14">
        <f t="shared" si="1"/>
        <v>4.5293716536051049E-3</v>
      </c>
    </row>
    <row r="60" spans="2:14" x14ac:dyDescent="0.3">
      <c r="B60" s="5" t="s">
        <v>101</v>
      </c>
      <c r="C60" s="6">
        <v>478.56</v>
      </c>
      <c r="D60" s="14">
        <f t="shared" si="0"/>
        <v>-2.7737771190968898E-2</v>
      </c>
      <c r="E60" s="6">
        <v>231.78</v>
      </c>
      <c r="F60" s="14">
        <f t="shared" si="1"/>
        <v>1.6793955716592184E-2</v>
      </c>
    </row>
    <row r="61" spans="2:14" x14ac:dyDescent="0.3">
      <c r="B61" s="5" t="s">
        <v>102</v>
      </c>
      <c r="C61" s="6">
        <v>483.47</v>
      </c>
      <c r="D61" s="14">
        <f t="shared" si="0"/>
        <v>1.0207670516877522E-2</v>
      </c>
      <c r="E61" s="6">
        <v>230.28</v>
      </c>
      <c r="F61" s="14">
        <f t="shared" si="1"/>
        <v>-6.4926860986361159E-3</v>
      </c>
    </row>
    <row r="62" spans="2:14" x14ac:dyDescent="0.3">
      <c r="B62" s="5" t="s">
        <v>103</v>
      </c>
      <c r="C62" s="6">
        <v>478.53</v>
      </c>
      <c r="D62" s="14">
        <f t="shared" si="0"/>
        <v>-1.0270360546049068E-2</v>
      </c>
      <c r="E62" s="6">
        <v>226.19</v>
      </c>
      <c r="F62" s="14">
        <f t="shared" si="1"/>
        <v>-1.7920605767718902E-2</v>
      </c>
    </row>
    <row r="63" spans="2:14" x14ac:dyDescent="0.3">
      <c r="B63" s="5" t="s">
        <v>104</v>
      </c>
      <c r="C63" s="6">
        <v>474.82</v>
      </c>
      <c r="D63" s="14">
        <f t="shared" si="0"/>
        <v>-7.7831200049445952E-3</v>
      </c>
      <c r="E63" s="6">
        <v>222.54</v>
      </c>
      <c r="F63" s="14">
        <f t="shared" si="1"/>
        <v>-1.6268493310335572E-2</v>
      </c>
    </row>
    <row r="64" spans="2:14" x14ac:dyDescent="0.3">
      <c r="B64" s="5" t="s">
        <v>105</v>
      </c>
      <c r="C64" s="6">
        <v>476.39</v>
      </c>
      <c r="D64" s="14">
        <f t="shared" si="0"/>
        <v>3.301061649250175E-3</v>
      </c>
      <c r="E64" s="6">
        <v>222.56</v>
      </c>
      <c r="F64" s="14">
        <f t="shared" si="1"/>
        <v>8.9867445578404765E-5</v>
      </c>
    </row>
    <row r="65" spans="2:10" x14ac:dyDescent="0.3">
      <c r="B65" s="5" t="s">
        <v>106</v>
      </c>
      <c r="C65" s="6">
        <v>476.12</v>
      </c>
      <c r="D65" s="14">
        <f t="shared" si="0"/>
        <v>-5.6692319709297919E-4</v>
      </c>
      <c r="E65" s="6">
        <v>221.27</v>
      </c>
      <c r="F65" s="14">
        <f t="shared" si="1"/>
        <v>-5.8130528922930788E-3</v>
      </c>
    </row>
    <row r="66" spans="2:10" x14ac:dyDescent="0.3">
      <c r="B66" s="5" t="s">
        <v>107</v>
      </c>
      <c r="C66" s="6">
        <v>483.98</v>
      </c>
      <c r="D66" s="14">
        <f t="shared" si="0"/>
        <v>1.6373660249112808E-2</v>
      </c>
      <c r="E66" s="6">
        <v>226.76</v>
      </c>
      <c r="F66" s="14">
        <f t="shared" si="1"/>
        <v>2.450851417326317E-2</v>
      </c>
    </row>
    <row r="67" spans="2:10" x14ac:dyDescent="0.3">
      <c r="B67" s="5" t="s">
        <v>108</v>
      </c>
      <c r="C67" s="6">
        <v>485.92</v>
      </c>
      <c r="D67" s="14">
        <f t="shared" si="0"/>
        <v>4.0004177486467774E-3</v>
      </c>
      <c r="E67" s="6">
        <v>227.35</v>
      </c>
      <c r="F67" s="14">
        <f t="shared" si="1"/>
        <v>2.5984908149166322E-3</v>
      </c>
    </row>
    <row r="68" spans="2:10" x14ac:dyDescent="0.3">
      <c r="B68" s="5" t="s">
        <v>109</v>
      </c>
      <c r="C68" s="6">
        <v>484.92</v>
      </c>
      <c r="D68" s="14">
        <f t="shared" si="0"/>
        <v>-2.0600724190560451E-3</v>
      </c>
      <c r="E68" s="6">
        <v>228.43</v>
      </c>
      <c r="F68" s="14">
        <f t="shared" si="1"/>
        <v>4.7391373967587821E-3</v>
      </c>
    </row>
    <row r="69" spans="2:10" x14ac:dyDescent="0.3">
      <c r="B69" s="5" t="s">
        <v>110</v>
      </c>
      <c r="C69" s="6">
        <v>486.85</v>
      </c>
      <c r="D69" s="14">
        <f t="shared" ref="D69:D132" si="2">LN(C69/C68)</f>
        <v>3.9721385463826718E-3</v>
      </c>
      <c r="E69" s="6">
        <v>232.14</v>
      </c>
      <c r="F69" s="14">
        <f t="shared" ref="F69:F132" si="3">LN(E69/E68)</f>
        <v>1.6110820272698272E-2</v>
      </c>
      <c r="H69" s="28" t="s">
        <v>111</v>
      </c>
      <c r="I69" s="23"/>
      <c r="J69" s="23"/>
    </row>
    <row r="70" spans="2:10" x14ac:dyDescent="0.3">
      <c r="B70" s="5" t="s">
        <v>112</v>
      </c>
      <c r="C70" s="6">
        <v>488.02</v>
      </c>
      <c r="D70" s="14">
        <f t="shared" si="2"/>
        <v>2.4003211951340825E-3</v>
      </c>
      <c r="E70" s="6">
        <v>232.38</v>
      </c>
      <c r="F70" s="14">
        <f t="shared" si="3"/>
        <v>1.0333248142393491E-3</v>
      </c>
      <c r="H70" s="23"/>
      <c r="I70" s="23"/>
      <c r="J70" s="23"/>
    </row>
    <row r="71" spans="2:10" x14ac:dyDescent="0.3">
      <c r="B71" s="5" t="s">
        <v>113</v>
      </c>
      <c r="C71" s="6">
        <v>487.71</v>
      </c>
      <c r="D71" s="14">
        <f t="shared" si="2"/>
        <v>-6.3542170565724005E-4</v>
      </c>
      <c r="E71" s="6">
        <v>232.52</v>
      </c>
      <c r="F71" s="14">
        <f t="shared" si="3"/>
        <v>6.02280078434131E-4</v>
      </c>
      <c r="H71" s="23"/>
      <c r="I71" s="23"/>
      <c r="J71" s="23"/>
    </row>
    <row r="72" spans="2:10" x14ac:dyDescent="0.3">
      <c r="B72" s="5" t="s">
        <v>114</v>
      </c>
      <c r="C72" s="6">
        <v>487.1</v>
      </c>
      <c r="D72" s="14">
        <f t="shared" si="2"/>
        <v>-1.2515261017451839E-3</v>
      </c>
      <c r="E72" s="6">
        <v>232.07</v>
      </c>
      <c r="F72" s="14">
        <f t="shared" si="3"/>
        <v>-1.9371925384825683E-3</v>
      </c>
      <c r="H72" s="23"/>
      <c r="I72" s="23"/>
      <c r="J72" s="23"/>
    </row>
    <row r="73" spans="2:10" x14ac:dyDescent="0.3">
      <c r="B73" s="5" t="s">
        <v>115</v>
      </c>
      <c r="C73" s="6">
        <v>487.48</v>
      </c>
      <c r="D73" s="14">
        <f t="shared" si="2"/>
        <v>7.7982314280453015E-4</v>
      </c>
      <c r="E73" s="6">
        <v>232.53</v>
      </c>
      <c r="F73" s="14">
        <f t="shared" si="3"/>
        <v>1.9801986668625008E-3</v>
      </c>
    </row>
    <row r="74" spans="2:10" x14ac:dyDescent="0.3">
      <c r="B74" s="5" t="s">
        <v>116</v>
      </c>
      <c r="C74" s="6">
        <v>483.62</v>
      </c>
      <c r="D74" s="14">
        <f t="shared" si="2"/>
        <v>-7.9497895768508298E-3</v>
      </c>
      <c r="E74" s="6">
        <v>230.82</v>
      </c>
      <c r="F74" s="14">
        <f t="shared" si="3"/>
        <v>-7.3810629692709958E-3</v>
      </c>
    </row>
    <row r="75" spans="2:10" x14ac:dyDescent="0.3">
      <c r="B75" s="5" t="s">
        <v>117</v>
      </c>
      <c r="C75" s="6">
        <v>472.94</v>
      </c>
      <c r="D75" s="14">
        <f t="shared" si="2"/>
        <v>-2.2330943826937916E-2</v>
      </c>
      <c r="E75" s="6">
        <v>226.5</v>
      </c>
      <c r="F75" s="14">
        <f t="shared" si="3"/>
        <v>-1.8893241069169987E-2</v>
      </c>
    </row>
    <row r="76" spans="2:10" x14ac:dyDescent="0.3">
      <c r="B76" s="5" t="s">
        <v>118</v>
      </c>
      <c r="C76" s="6">
        <v>472.85</v>
      </c>
      <c r="D76" s="14">
        <f t="shared" si="2"/>
        <v>-1.9031708999174405E-4</v>
      </c>
      <c r="E76" s="6">
        <v>233.06</v>
      </c>
      <c r="F76" s="14">
        <f t="shared" si="3"/>
        <v>2.8550986222028535E-2</v>
      </c>
    </row>
    <row r="77" spans="2:10" x14ac:dyDescent="0.3">
      <c r="B77" s="5" t="s">
        <v>119</v>
      </c>
      <c r="C77" s="6">
        <v>478.51</v>
      </c>
      <c r="D77" s="14">
        <f t="shared" si="2"/>
        <v>1.1898895854702338E-2</v>
      </c>
      <c r="E77" s="6">
        <v>240.93</v>
      </c>
      <c r="F77" s="14">
        <f t="shared" si="3"/>
        <v>3.3210503723363205E-2</v>
      </c>
    </row>
    <row r="78" spans="2:10" x14ac:dyDescent="0.3">
      <c r="B78" s="5" t="s">
        <v>120</v>
      </c>
      <c r="C78" s="6">
        <v>483.47</v>
      </c>
      <c r="D78" s="14">
        <f t="shared" si="2"/>
        <v>1.0312156082291911E-2</v>
      </c>
      <c r="E78" s="6">
        <v>241.56</v>
      </c>
      <c r="F78" s="14">
        <f t="shared" si="3"/>
        <v>2.6114545712199481E-3</v>
      </c>
    </row>
    <row r="79" spans="2:10" x14ac:dyDescent="0.3">
      <c r="B79" s="5" t="s">
        <v>121</v>
      </c>
      <c r="C79" s="6">
        <v>478.11</v>
      </c>
      <c r="D79" s="14">
        <f t="shared" si="2"/>
        <v>-1.1148433858863474E-2</v>
      </c>
      <c r="E79" s="6">
        <v>246.29</v>
      </c>
      <c r="F79" s="14">
        <f t="shared" si="3"/>
        <v>1.9391813969333579E-2</v>
      </c>
    </row>
    <row r="80" spans="2:10" x14ac:dyDescent="0.3">
      <c r="B80" s="5" t="s">
        <v>122</v>
      </c>
      <c r="C80" s="6">
        <v>479.28</v>
      </c>
      <c r="D80" s="14">
        <f t="shared" si="2"/>
        <v>2.4441462360174867E-3</v>
      </c>
      <c r="E80" s="6">
        <v>247.38</v>
      </c>
      <c r="F80" s="14">
        <f t="shared" si="3"/>
        <v>4.4159125378296438E-3</v>
      </c>
    </row>
    <row r="81" spans="2:6" x14ac:dyDescent="0.3">
      <c r="B81" s="5" t="s">
        <v>123</v>
      </c>
      <c r="C81" s="6">
        <v>477.18</v>
      </c>
      <c r="D81" s="14">
        <f t="shared" si="2"/>
        <v>-4.3911995785705519E-3</v>
      </c>
      <c r="E81" s="6">
        <v>246.47</v>
      </c>
      <c r="F81" s="14">
        <f t="shared" si="3"/>
        <v>-3.6853337245891745E-3</v>
      </c>
    </row>
    <row r="82" spans="2:6" x14ac:dyDescent="0.3">
      <c r="B82" s="5" t="s">
        <v>124</v>
      </c>
      <c r="C82" s="6">
        <v>470.67</v>
      </c>
      <c r="D82" s="14">
        <f t="shared" si="2"/>
        <v>-1.3736566684124953E-2</v>
      </c>
      <c r="E82" s="6">
        <v>242.6</v>
      </c>
      <c r="F82" s="14">
        <f t="shared" si="3"/>
        <v>-1.5826285712324702E-2</v>
      </c>
    </row>
    <row r="83" spans="2:6" x14ac:dyDescent="0.3">
      <c r="B83" s="5" t="s">
        <v>125</v>
      </c>
      <c r="C83" s="6">
        <v>459.38</v>
      </c>
      <c r="D83" s="14">
        <f t="shared" si="2"/>
        <v>-2.4279457251365492E-2</v>
      </c>
      <c r="E83" s="6">
        <v>236.65</v>
      </c>
      <c r="F83" s="14">
        <f t="shared" si="3"/>
        <v>-2.4831740157692767E-2</v>
      </c>
    </row>
    <row r="84" spans="2:6" x14ac:dyDescent="0.3">
      <c r="B84" s="5" t="s">
        <v>126</v>
      </c>
      <c r="C84" s="6">
        <v>456.66</v>
      </c>
      <c r="D84" s="14">
        <f t="shared" si="2"/>
        <v>-5.9386227542532529E-3</v>
      </c>
      <c r="E84" s="6">
        <v>238.18</v>
      </c>
      <c r="F84" s="14">
        <f t="shared" si="3"/>
        <v>6.444433987592757E-3</v>
      </c>
    </row>
    <row r="85" spans="2:6" x14ac:dyDescent="0.3">
      <c r="B85" s="5" t="s">
        <v>127</v>
      </c>
      <c r="C85" s="6">
        <v>459.86</v>
      </c>
      <c r="D85" s="14">
        <f t="shared" si="2"/>
        <v>6.9829638264996829E-3</v>
      </c>
      <c r="E85" s="6">
        <v>239.12</v>
      </c>
      <c r="F85" s="14">
        <f t="shared" si="3"/>
        <v>3.9388276358327569E-3</v>
      </c>
    </row>
    <row r="86" spans="2:6" x14ac:dyDescent="0.3">
      <c r="B86" s="5" t="s">
        <v>128</v>
      </c>
      <c r="C86" s="6">
        <v>454.52</v>
      </c>
      <c r="D86" s="14">
        <f t="shared" si="2"/>
        <v>-1.1680178284046685E-2</v>
      </c>
      <c r="E86" s="6">
        <v>231</v>
      </c>
      <c r="F86" s="14">
        <f t="shared" si="3"/>
        <v>-3.4547807453888919E-2</v>
      </c>
    </row>
    <row r="87" spans="2:6" x14ac:dyDescent="0.3">
      <c r="B87" s="5" t="s">
        <v>129</v>
      </c>
      <c r="C87" s="6">
        <v>444.11</v>
      </c>
      <c r="D87" s="14">
        <f t="shared" si="2"/>
        <v>-2.3169637554241191E-2</v>
      </c>
      <c r="E87" s="6">
        <v>231.31</v>
      </c>
      <c r="F87" s="14">
        <f t="shared" si="3"/>
        <v>1.3410916764160913E-3</v>
      </c>
    </row>
    <row r="88" spans="2:6" x14ac:dyDescent="0.3">
      <c r="B88" s="5" t="s">
        <v>130</v>
      </c>
      <c r="C88" s="6">
        <v>451.14</v>
      </c>
      <c r="D88" s="14">
        <f t="shared" si="2"/>
        <v>1.5705433122423392E-2</v>
      </c>
      <c r="E88" s="6">
        <v>234.34</v>
      </c>
      <c r="F88" s="14">
        <f t="shared" si="3"/>
        <v>1.3014250041799905E-2</v>
      </c>
    </row>
    <row r="89" spans="2:6" x14ac:dyDescent="0.3">
      <c r="B89" s="5" t="s">
        <v>131</v>
      </c>
      <c r="C89" s="6">
        <v>465.95</v>
      </c>
      <c r="D89" s="14">
        <f t="shared" si="2"/>
        <v>3.2300619613673955E-2</v>
      </c>
      <c r="E89" s="6">
        <v>239.16</v>
      </c>
      <c r="F89" s="14">
        <f t="shared" si="3"/>
        <v>2.0359731772694033E-2</v>
      </c>
    </row>
    <row r="90" spans="2:6" x14ac:dyDescent="0.3">
      <c r="B90" s="5" t="s">
        <v>132</v>
      </c>
      <c r="C90" s="6">
        <v>470.28</v>
      </c>
      <c r="D90" s="14">
        <f t="shared" si="2"/>
        <v>9.2499297678758641E-3</v>
      </c>
      <c r="E90" s="6">
        <v>238.42</v>
      </c>
      <c r="F90" s="14">
        <f t="shared" si="3"/>
        <v>-3.0989597228481898E-3</v>
      </c>
    </row>
    <row r="91" spans="2:6" x14ac:dyDescent="0.3">
      <c r="B91" s="5" t="s">
        <v>133</v>
      </c>
      <c r="C91" s="6">
        <v>480.58</v>
      </c>
      <c r="D91" s="14">
        <f t="shared" si="2"/>
        <v>2.1665445788558332E-2</v>
      </c>
      <c r="E91" s="6">
        <v>244.68</v>
      </c>
      <c r="F91" s="14">
        <f t="shared" si="3"/>
        <v>2.5917410084508579E-2</v>
      </c>
    </row>
    <row r="92" spans="2:6" x14ac:dyDescent="0.3">
      <c r="B92" s="5" t="s">
        <v>134</v>
      </c>
      <c r="C92" s="6">
        <v>481.63</v>
      </c>
      <c r="D92" s="14">
        <f t="shared" si="2"/>
        <v>2.1824766252281289E-3</v>
      </c>
      <c r="E92" s="6">
        <v>243.01</v>
      </c>
      <c r="F92" s="14">
        <f t="shared" si="3"/>
        <v>-6.8486396171724218E-3</v>
      </c>
    </row>
    <row r="93" spans="2:6" x14ac:dyDescent="0.3">
      <c r="B93" s="5" t="s">
        <v>135</v>
      </c>
      <c r="C93" s="6">
        <v>433.5</v>
      </c>
      <c r="D93" s="14">
        <f t="shared" si="2"/>
        <v>-0.10528438819273024</v>
      </c>
      <c r="E93" s="6">
        <v>241.73</v>
      </c>
      <c r="F93" s="14">
        <f t="shared" si="3"/>
        <v>-5.2811939391823031E-3</v>
      </c>
    </row>
    <row r="94" spans="2:6" x14ac:dyDescent="0.3">
      <c r="B94" s="5" t="s">
        <v>136</v>
      </c>
      <c r="C94" s="6">
        <v>430.29</v>
      </c>
      <c r="D94" s="14">
        <f t="shared" si="2"/>
        <v>-7.4323962463650724E-3</v>
      </c>
      <c r="E94" s="6">
        <v>239.3</v>
      </c>
      <c r="F94" s="14">
        <f t="shared" si="3"/>
        <v>-1.0103405903681695E-2</v>
      </c>
    </row>
    <row r="95" spans="2:6" x14ac:dyDescent="0.3">
      <c r="B95" s="5" t="s">
        <v>137</v>
      </c>
      <c r="C95" s="6">
        <v>423.37</v>
      </c>
      <c r="D95" s="14">
        <f t="shared" si="2"/>
        <v>-1.6212898767266753E-2</v>
      </c>
      <c r="E95" s="6">
        <v>242.96</v>
      </c>
      <c r="F95" s="14">
        <f t="shared" si="3"/>
        <v>1.5178825823165661E-2</v>
      </c>
    </row>
    <row r="96" spans="2:6" x14ac:dyDescent="0.3">
      <c r="B96" s="5" t="s">
        <v>138</v>
      </c>
      <c r="C96" s="6">
        <v>411.21</v>
      </c>
      <c r="D96" s="14">
        <f t="shared" si="2"/>
        <v>-2.9142468295565205E-2</v>
      </c>
      <c r="E96" s="6">
        <v>238.62</v>
      </c>
      <c r="F96" s="14">
        <f t="shared" si="3"/>
        <v>-1.8024492289839038E-2</v>
      </c>
    </row>
    <row r="97" spans="2:6" x14ac:dyDescent="0.3">
      <c r="B97" s="5" t="s">
        <v>139</v>
      </c>
      <c r="C97" s="6">
        <v>414.19</v>
      </c>
      <c r="D97" s="14">
        <f t="shared" si="2"/>
        <v>7.2207728325165083E-3</v>
      </c>
      <c r="E97" s="6">
        <v>232.99</v>
      </c>
      <c r="F97" s="14">
        <f t="shared" si="3"/>
        <v>-2.3876794257912545E-2</v>
      </c>
    </row>
    <row r="98" spans="2:6" x14ac:dyDescent="0.3">
      <c r="B98" s="5" t="s">
        <v>140</v>
      </c>
      <c r="C98" s="6">
        <v>393.67</v>
      </c>
      <c r="D98" s="14">
        <f t="shared" si="2"/>
        <v>-5.0811810850003587E-2</v>
      </c>
      <c r="E98" s="6">
        <v>222.69</v>
      </c>
      <c r="F98" s="14">
        <f t="shared" si="3"/>
        <v>-4.5214864392176521E-2</v>
      </c>
    </row>
    <row r="99" spans="2:6" x14ac:dyDescent="0.3">
      <c r="B99" s="5" t="s">
        <v>141</v>
      </c>
      <c r="C99" s="6">
        <v>401.14</v>
      </c>
      <c r="D99" s="14">
        <f t="shared" si="2"/>
        <v>1.8797498663988291E-2</v>
      </c>
      <c r="E99" s="6">
        <v>210.32</v>
      </c>
      <c r="F99" s="14">
        <f t="shared" si="3"/>
        <v>-5.7150489375939528E-2</v>
      </c>
    </row>
    <row r="100" spans="2:6" x14ac:dyDescent="0.3">
      <c r="B100" s="5" t="s">
        <v>142</v>
      </c>
      <c r="C100" s="6">
        <v>413.6</v>
      </c>
      <c r="D100" s="14">
        <f t="shared" si="2"/>
        <v>3.0588829636318773E-2</v>
      </c>
      <c r="E100" s="6">
        <v>208.72</v>
      </c>
      <c r="F100" s="14">
        <f t="shared" si="3"/>
        <v>-7.6365395931526974E-3</v>
      </c>
    </row>
    <row r="101" spans="2:6" x14ac:dyDescent="0.3">
      <c r="B101" s="5" t="s">
        <v>143</v>
      </c>
      <c r="C101" s="6">
        <v>413.27</v>
      </c>
      <c r="D101" s="14">
        <f t="shared" si="2"/>
        <v>-7.9819080997138006E-4</v>
      </c>
      <c r="E101" s="6">
        <v>206.96</v>
      </c>
      <c r="F101" s="14">
        <f t="shared" si="3"/>
        <v>-8.4681029506992189E-3</v>
      </c>
    </row>
    <row r="102" spans="2:6" x14ac:dyDescent="0.3">
      <c r="B102" s="5" t="s">
        <v>144</v>
      </c>
      <c r="C102" s="6">
        <v>404.37</v>
      </c>
      <c r="D102" s="14">
        <f t="shared" si="2"/>
        <v>-2.1770831965960063E-2</v>
      </c>
      <c r="E102" s="6">
        <v>204.08</v>
      </c>
      <c r="F102" s="14">
        <f t="shared" si="3"/>
        <v>-1.4013464044217668E-2</v>
      </c>
    </row>
    <row r="103" spans="2:6" x14ac:dyDescent="0.3">
      <c r="B103" s="5" t="s">
        <v>145</v>
      </c>
      <c r="C103" s="6">
        <v>401.84</v>
      </c>
      <c r="D103" s="14">
        <f t="shared" si="2"/>
        <v>-6.276300976498732E-3</v>
      </c>
      <c r="E103" s="6">
        <v>199.6</v>
      </c>
      <c r="F103" s="14">
        <f t="shared" si="3"/>
        <v>-2.2196709956192454E-2</v>
      </c>
    </row>
    <row r="104" spans="2:6" x14ac:dyDescent="0.3">
      <c r="B104" s="5" t="s">
        <v>146</v>
      </c>
      <c r="C104" s="6">
        <v>401.32</v>
      </c>
      <c r="D104" s="14">
        <f t="shared" si="2"/>
        <v>-1.2948853843771802E-3</v>
      </c>
      <c r="E104" s="6">
        <v>198.79</v>
      </c>
      <c r="F104" s="14">
        <f t="shared" si="3"/>
        <v>-4.066372730933708E-3</v>
      </c>
    </row>
    <row r="105" spans="2:6" x14ac:dyDescent="0.3">
      <c r="B105" s="5" t="s">
        <v>147</v>
      </c>
      <c r="C105" s="6">
        <v>396.86</v>
      </c>
      <c r="D105" s="14">
        <f t="shared" si="2"/>
        <v>-1.1175540400305904E-2</v>
      </c>
      <c r="E105" s="6">
        <v>201.15</v>
      </c>
      <c r="F105" s="14">
        <f t="shared" si="3"/>
        <v>1.1801907249367296E-2</v>
      </c>
    </row>
    <row r="106" spans="2:6" x14ac:dyDescent="0.3">
      <c r="B106" s="5" t="s">
        <v>148</v>
      </c>
      <c r="C106" s="6">
        <v>399.6</v>
      </c>
      <c r="D106" s="14">
        <f t="shared" si="2"/>
        <v>6.8804731172922937E-3</v>
      </c>
      <c r="E106" s="6">
        <v>204.79</v>
      </c>
      <c r="F106" s="14">
        <f t="shared" si="3"/>
        <v>1.7934165452423663E-2</v>
      </c>
    </row>
    <row r="107" spans="2:6" x14ac:dyDescent="0.3">
      <c r="B107" s="5" t="s">
        <v>149</v>
      </c>
      <c r="C107" s="6">
        <v>398.46</v>
      </c>
      <c r="D107" s="14">
        <f t="shared" si="2"/>
        <v>-2.8569299937212644E-3</v>
      </c>
      <c r="E107" s="6">
        <v>204.86</v>
      </c>
      <c r="F107" s="14">
        <f t="shared" si="3"/>
        <v>3.4175516016768652E-4</v>
      </c>
    </row>
    <row r="108" spans="2:6" x14ac:dyDescent="0.3">
      <c r="B108" s="5" t="s">
        <v>150</v>
      </c>
      <c r="C108" s="6">
        <v>397.23</v>
      </c>
      <c r="D108" s="14">
        <f t="shared" si="2"/>
        <v>-3.0916587609020186E-3</v>
      </c>
      <c r="E108" s="6">
        <v>210.11</v>
      </c>
      <c r="F108" s="14">
        <f t="shared" si="3"/>
        <v>2.5304384092569222E-2</v>
      </c>
    </row>
    <row r="109" spans="2:6" x14ac:dyDescent="0.3">
      <c r="B109" s="5" t="s">
        <v>151</v>
      </c>
      <c r="C109" s="6">
        <v>384.47</v>
      </c>
      <c r="D109" s="14">
        <f t="shared" si="2"/>
        <v>-3.264969552508297E-2</v>
      </c>
      <c r="E109" s="6">
        <v>205.27</v>
      </c>
      <c r="F109" s="14">
        <f t="shared" si="3"/>
        <v>-2.3305017371870358E-2</v>
      </c>
    </row>
    <row r="110" spans="2:6" x14ac:dyDescent="0.3">
      <c r="B110" s="5" t="s">
        <v>152</v>
      </c>
      <c r="C110" s="6">
        <v>389</v>
      </c>
      <c r="D110" s="14">
        <f t="shared" si="2"/>
        <v>1.171358112375393E-2</v>
      </c>
      <c r="E110" s="6">
        <v>208.56</v>
      </c>
      <c r="F110" s="14">
        <f t="shared" si="3"/>
        <v>1.5900583896158789E-2</v>
      </c>
    </row>
    <row r="111" spans="2:6" x14ac:dyDescent="0.3">
      <c r="B111" s="5" t="s">
        <v>153</v>
      </c>
      <c r="C111" s="6">
        <v>400.6</v>
      </c>
      <c r="D111" s="14">
        <f t="shared" si="2"/>
        <v>2.9384079613271614E-2</v>
      </c>
      <c r="E111" s="6">
        <v>210.64</v>
      </c>
      <c r="F111" s="14">
        <f t="shared" si="3"/>
        <v>9.9237455628075726E-3</v>
      </c>
    </row>
    <row r="112" spans="2:6" x14ac:dyDescent="0.3">
      <c r="B112" s="5" t="s">
        <v>154</v>
      </c>
      <c r="C112" s="6">
        <v>401.72</v>
      </c>
      <c r="D112" s="14">
        <f t="shared" si="2"/>
        <v>2.7919052934204255E-3</v>
      </c>
      <c r="E112" s="6">
        <v>207.92</v>
      </c>
      <c r="F112" s="14">
        <f t="shared" si="3"/>
        <v>-1.2997124854819091E-2</v>
      </c>
    </row>
    <row r="113" spans="2:6" x14ac:dyDescent="0.3">
      <c r="B113" s="5" t="s">
        <v>155</v>
      </c>
      <c r="C113" s="6">
        <v>392.74</v>
      </c>
      <c r="D113" s="14">
        <f t="shared" si="2"/>
        <v>-2.2607513203054121E-2</v>
      </c>
      <c r="E113" s="6">
        <v>210</v>
      </c>
      <c r="F113" s="14">
        <f t="shared" si="3"/>
        <v>9.9541403842340198E-3</v>
      </c>
    </row>
    <row r="114" spans="2:6" x14ac:dyDescent="0.3">
      <c r="B114" s="5" t="s">
        <v>156</v>
      </c>
      <c r="C114" s="6">
        <v>398.55</v>
      </c>
      <c r="D114" s="14">
        <f t="shared" si="2"/>
        <v>1.4685145551848102E-2</v>
      </c>
      <c r="E114" s="6">
        <v>208.39</v>
      </c>
      <c r="F114" s="14">
        <f t="shared" si="3"/>
        <v>-7.696206634470403E-3</v>
      </c>
    </row>
    <row r="115" spans="2:6" x14ac:dyDescent="0.3">
      <c r="B115" s="5" t="s">
        <v>157</v>
      </c>
      <c r="C115" s="6">
        <v>403.93</v>
      </c>
      <c r="D115" s="14">
        <f t="shared" si="2"/>
        <v>1.3408634747967675E-2</v>
      </c>
      <c r="E115" s="6">
        <v>208.73</v>
      </c>
      <c r="F115" s="14">
        <f t="shared" si="3"/>
        <v>1.6302266748167073E-3</v>
      </c>
    </row>
    <row r="116" spans="2:6" x14ac:dyDescent="0.3">
      <c r="B116" s="5" t="s">
        <v>158</v>
      </c>
      <c r="C116" s="6">
        <v>405.2</v>
      </c>
      <c r="D116" s="14">
        <f t="shared" si="2"/>
        <v>3.1391767526281825E-3</v>
      </c>
      <c r="E116" s="6">
        <v>216.82</v>
      </c>
      <c r="F116" s="14">
        <f t="shared" si="3"/>
        <v>3.802596547533061E-2</v>
      </c>
    </row>
    <row r="117" spans="2:6" x14ac:dyDescent="0.3">
      <c r="B117" s="5" t="s">
        <v>159</v>
      </c>
      <c r="C117" s="6">
        <v>410.68</v>
      </c>
      <c r="D117" s="14">
        <f t="shared" si="2"/>
        <v>1.3433550056235659E-2</v>
      </c>
      <c r="E117" s="6">
        <v>218.94</v>
      </c>
      <c r="F117" s="14">
        <f t="shared" si="3"/>
        <v>9.7302034432655612E-3</v>
      </c>
    </row>
    <row r="118" spans="2:6" x14ac:dyDescent="0.3">
      <c r="B118" s="5" t="s">
        <v>160</v>
      </c>
      <c r="C118" s="6">
        <v>408.96</v>
      </c>
      <c r="D118" s="14">
        <f t="shared" si="2"/>
        <v>-4.196970681648809E-3</v>
      </c>
      <c r="E118" s="6">
        <v>213.21</v>
      </c>
      <c r="F118" s="14">
        <f t="shared" si="3"/>
        <v>-2.652012416949779E-2</v>
      </c>
    </row>
    <row r="119" spans="2:6" x14ac:dyDescent="0.3">
      <c r="B119" s="5" t="s">
        <v>161</v>
      </c>
      <c r="C119" s="6">
        <v>409.41</v>
      </c>
      <c r="D119" s="14">
        <f t="shared" si="2"/>
        <v>1.0997471690169806E-3</v>
      </c>
      <c r="E119" s="6">
        <v>213.49</v>
      </c>
      <c r="F119" s="14">
        <f t="shared" si="3"/>
        <v>1.3123976573191716E-3</v>
      </c>
    </row>
    <row r="120" spans="2:6" x14ac:dyDescent="0.3">
      <c r="B120" s="5" t="s">
        <v>162</v>
      </c>
      <c r="C120" s="6">
        <v>405.76</v>
      </c>
      <c r="D120" s="14">
        <f t="shared" si="2"/>
        <v>-8.9552471093257667E-3</v>
      </c>
      <c r="E120" s="6">
        <v>214.33</v>
      </c>
      <c r="F120" s="14">
        <f t="shared" si="3"/>
        <v>3.9268901848083923E-3</v>
      </c>
    </row>
    <row r="121" spans="2:6" x14ac:dyDescent="0.3">
      <c r="B121" s="5" t="s">
        <v>163</v>
      </c>
      <c r="C121" s="6">
        <v>404.88</v>
      </c>
      <c r="D121" s="14">
        <f t="shared" si="2"/>
        <v>-2.171124902983902E-3</v>
      </c>
      <c r="E121" s="6">
        <v>212.65</v>
      </c>
      <c r="F121" s="14">
        <f t="shared" si="3"/>
        <v>-7.8692616493986293E-3</v>
      </c>
    </row>
    <row r="122" spans="2:6" x14ac:dyDescent="0.3">
      <c r="B122" s="5" t="s">
        <v>164</v>
      </c>
      <c r="C122" s="6">
        <v>401.86</v>
      </c>
      <c r="D122" s="14">
        <f t="shared" si="2"/>
        <v>-7.4869576494155385E-3</v>
      </c>
      <c r="E122" s="6">
        <v>209.53</v>
      </c>
      <c r="F122" s="14">
        <f t="shared" si="3"/>
        <v>-1.4780694498625896E-2</v>
      </c>
    </row>
    <row r="123" spans="2:6" x14ac:dyDescent="0.3">
      <c r="B123" s="5" t="s">
        <v>165</v>
      </c>
      <c r="C123" s="6">
        <v>395.55</v>
      </c>
      <c r="D123" s="14">
        <f t="shared" si="2"/>
        <v>-1.5826567789001569E-2</v>
      </c>
      <c r="E123" s="6">
        <v>207.67</v>
      </c>
      <c r="F123" s="14">
        <f t="shared" si="3"/>
        <v>-8.9166458461290565E-3</v>
      </c>
    </row>
    <row r="124" spans="2:6" x14ac:dyDescent="0.3">
      <c r="B124" s="5" t="s">
        <v>166</v>
      </c>
      <c r="C124" s="6">
        <v>399.95</v>
      </c>
      <c r="D124" s="14">
        <f t="shared" si="2"/>
        <v>1.1062337827425507E-2</v>
      </c>
      <c r="E124" s="6">
        <v>211.74</v>
      </c>
      <c r="F124" s="14">
        <f t="shared" si="3"/>
        <v>1.9408825560346045E-2</v>
      </c>
    </row>
    <row r="125" spans="2:6" x14ac:dyDescent="0.3">
      <c r="B125" s="5" t="s">
        <v>167</v>
      </c>
      <c r="C125" s="6">
        <v>399.41</v>
      </c>
      <c r="D125" s="14">
        <f t="shared" si="2"/>
        <v>-1.3510810702158187E-3</v>
      </c>
      <c r="E125" s="6">
        <v>215.2</v>
      </c>
      <c r="F125" s="14">
        <f t="shared" si="3"/>
        <v>1.6208721372395658E-2</v>
      </c>
    </row>
    <row r="126" spans="2:6" x14ac:dyDescent="0.3">
      <c r="B126" s="5" t="s">
        <v>168</v>
      </c>
      <c r="C126" s="6">
        <v>391.79</v>
      </c>
      <c r="D126" s="14">
        <f t="shared" si="2"/>
        <v>-1.9262476266033477E-2</v>
      </c>
      <c r="E126" s="6">
        <v>209.87</v>
      </c>
      <c r="F126" s="14">
        <f t="shared" si="3"/>
        <v>-2.5079536878299395E-2</v>
      </c>
    </row>
    <row r="127" spans="2:6" x14ac:dyDescent="0.3">
      <c r="B127" s="5" t="s">
        <v>169</v>
      </c>
      <c r="C127" s="6">
        <v>389.02</v>
      </c>
      <c r="D127" s="14">
        <f t="shared" si="2"/>
        <v>-7.0952257800355129E-3</v>
      </c>
      <c r="E127" s="6">
        <v>208.76</v>
      </c>
      <c r="F127" s="14">
        <f t="shared" si="3"/>
        <v>-5.3030246341174555E-3</v>
      </c>
    </row>
    <row r="128" spans="2:6" x14ac:dyDescent="0.3">
      <c r="B128" s="5" t="s">
        <v>170</v>
      </c>
      <c r="C128" s="6">
        <v>381.87</v>
      </c>
      <c r="D128" s="14">
        <f t="shared" si="2"/>
        <v>-1.8550519628093117E-2</v>
      </c>
      <c r="E128" s="6">
        <v>205.37</v>
      </c>
      <c r="F128" s="14">
        <f t="shared" si="3"/>
        <v>-1.637203642321065E-2</v>
      </c>
    </row>
    <row r="129" spans="2:6" x14ac:dyDescent="0.3">
      <c r="B129" s="5" t="s">
        <v>171</v>
      </c>
      <c r="C129" s="6">
        <v>383</v>
      </c>
      <c r="D129" s="14">
        <f t="shared" si="2"/>
        <v>2.9547526301930919E-3</v>
      </c>
      <c r="E129" s="6">
        <v>210.14</v>
      </c>
      <c r="F129" s="14">
        <f t="shared" si="3"/>
        <v>2.2960744908627314E-2</v>
      </c>
    </row>
    <row r="130" spans="2:6" x14ac:dyDescent="0.3">
      <c r="B130" s="5" t="s">
        <v>172</v>
      </c>
      <c r="C130" s="6">
        <v>372.74</v>
      </c>
      <c r="D130" s="14">
        <f t="shared" si="2"/>
        <v>-2.7153863528127001E-2</v>
      </c>
      <c r="E130" s="6">
        <v>207.24</v>
      </c>
      <c r="F130" s="14">
        <f t="shared" si="3"/>
        <v>-1.3896433314041503E-2</v>
      </c>
    </row>
    <row r="131" spans="2:6" x14ac:dyDescent="0.3">
      <c r="B131" s="5" t="s">
        <v>173</v>
      </c>
      <c r="C131" s="6">
        <v>371.04</v>
      </c>
      <c r="D131" s="14">
        <f t="shared" si="2"/>
        <v>-4.5712521452973944E-3</v>
      </c>
      <c r="E131" s="6">
        <v>211.71</v>
      </c>
      <c r="F131" s="14">
        <f t="shared" si="3"/>
        <v>2.1339871734261044E-2</v>
      </c>
    </row>
    <row r="132" spans="2:6" x14ac:dyDescent="0.3">
      <c r="B132" s="5" t="s">
        <v>174</v>
      </c>
      <c r="C132" s="6">
        <v>365.97</v>
      </c>
      <c r="D132" s="14">
        <f t="shared" si="2"/>
        <v>-1.3758510678465636E-2</v>
      </c>
      <c r="E132" s="6">
        <v>207.54</v>
      </c>
      <c r="F132" s="14">
        <f t="shared" si="3"/>
        <v>-1.9893321503716255E-2</v>
      </c>
    </row>
    <row r="133" spans="2:6" x14ac:dyDescent="0.3">
      <c r="B133" s="5" t="s">
        <v>175</v>
      </c>
      <c r="C133" s="6">
        <v>356.77</v>
      </c>
      <c r="D133" s="14">
        <f t="shared" ref="D133:D196" si="4">LN(C133/C132)</f>
        <v>-2.5460046375372143E-2</v>
      </c>
      <c r="E133" s="6">
        <v>199.34</v>
      </c>
      <c r="F133" s="14">
        <f t="shared" ref="F133:F196" si="5">LN(E133/E132)</f>
        <v>-4.0312182637822123E-2</v>
      </c>
    </row>
    <row r="134" spans="2:6" x14ac:dyDescent="0.3">
      <c r="B134" s="5" t="s">
        <v>176</v>
      </c>
      <c r="C134" s="6">
        <v>358.96</v>
      </c>
      <c r="D134" s="14">
        <f t="shared" si="4"/>
        <v>6.119645214344013E-3</v>
      </c>
      <c r="E134" s="6">
        <v>200.95</v>
      </c>
      <c r="F134" s="14">
        <f t="shared" si="5"/>
        <v>8.0442113558999578E-3</v>
      </c>
    </row>
    <row r="135" spans="2:6" x14ac:dyDescent="0.3">
      <c r="B135" s="5" t="s">
        <v>177</v>
      </c>
      <c r="C135" s="6">
        <v>370.17</v>
      </c>
      <c r="D135" s="14">
        <f t="shared" si="4"/>
        <v>3.0751397910824273E-2</v>
      </c>
      <c r="E135" s="6">
        <v>208.27</v>
      </c>
      <c r="F135" s="14">
        <f t="shared" si="5"/>
        <v>3.5779193955714869E-2</v>
      </c>
    </row>
    <row r="136" spans="2:6" x14ac:dyDescent="0.3">
      <c r="B136" s="5" t="s">
        <v>178</v>
      </c>
      <c r="C136" s="6">
        <v>369.37</v>
      </c>
      <c r="D136" s="14">
        <f t="shared" si="4"/>
        <v>-2.1635078888256839E-3</v>
      </c>
      <c r="E136" s="6">
        <v>210.57</v>
      </c>
      <c r="F136" s="14">
        <f t="shared" si="5"/>
        <v>1.098282455951486E-2</v>
      </c>
    </row>
    <row r="137" spans="2:6" x14ac:dyDescent="0.3">
      <c r="B137" s="5" t="s">
        <v>179</v>
      </c>
      <c r="C137" s="6">
        <v>373.46</v>
      </c>
      <c r="D137" s="14">
        <f t="shared" si="4"/>
        <v>1.1012052101207431E-2</v>
      </c>
      <c r="E137" s="6">
        <v>209.77</v>
      </c>
      <c r="F137" s="14">
        <f t="shared" si="5"/>
        <v>-3.8064469997415263E-3</v>
      </c>
    </row>
    <row r="138" spans="2:6" x14ac:dyDescent="0.3">
      <c r="B138" s="5" t="s">
        <v>180</v>
      </c>
      <c r="C138" s="6">
        <v>372.88</v>
      </c>
      <c r="D138" s="14">
        <f t="shared" si="4"/>
        <v>-1.5542517264483656E-3</v>
      </c>
      <c r="E138" s="6">
        <v>212.79</v>
      </c>
      <c r="F138" s="14">
        <f t="shared" si="5"/>
        <v>1.4294071471406811E-2</v>
      </c>
    </row>
    <row r="139" spans="2:6" x14ac:dyDescent="0.3">
      <c r="B139" s="5" t="s">
        <v>181</v>
      </c>
      <c r="C139" s="6">
        <v>372.29</v>
      </c>
      <c r="D139" s="14">
        <f t="shared" si="4"/>
        <v>-1.5835316056441624E-3</v>
      </c>
      <c r="E139" s="6">
        <v>213.77</v>
      </c>
      <c r="F139" s="14">
        <f t="shared" si="5"/>
        <v>4.5949068090843873E-3</v>
      </c>
    </row>
    <row r="140" spans="2:6" x14ac:dyDescent="0.3">
      <c r="B140" s="5" t="s">
        <v>182</v>
      </c>
      <c r="C140" s="6">
        <v>374.33</v>
      </c>
      <c r="D140" s="14">
        <f t="shared" si="4"/>
        <v>5.4646408523435202E-3</v>
      </c>
      <c r="E140" s="6">
        <v>221.25</v>
      </c>
      <c r="F140" s="14">
        <f t="shared" si="5"/>
        <v>3.4392613196849456E-2</v>
      </c>
    </row>
    <row r="141" spans="2:6" x14ac:dyDescent="0.3">
      <c r="B141" s="5" t="s">
        <v>183</v>
      </c>
      <c r="C141" s="6">
        <v>373.07</v>
      </c>
      <c r="D141" s="14">
        <f t="shared" si="4"/>
        <v>-3.371691714401348E-3</v>
      </c>
      <c r="E141" s="6">
        <v>233.65</v>
      </c>
      <c r="F141" s="14">
        <f t="shared" si="5"/>
        <v>5.4530985258396357E-2</v>
      </c>
    </row>
    <row r="142" spans="2:6" x14ac:dyDescent="0.3">
      <c r="B142" s="5" t="s">
        <v>184</v>
      </c>
      <c r="C142" s="6">
        <v>370.87</v>
      </c>
      <c r="D142" s="14">
        <f t="shared" si="4"/>
        <v>-5.9144727079529728E-3</v>
      </c>
      <c r="E142" s="6">
        <v>238.38</v>
      </c>
      <c r="F142" s="14">
        <f t="shared" si="5"/>
        <v>2.0041769908127321E-2</v>
      </c>
    </row>
    <row r="143" spans="2:6" x14ac:dyDescent="0.3">
      <c r="B143" s="5" t="s">
        <v>185</v>
      </c>
      <c r="C143" s="6">
        <v>384.37</v>
      </c>
      <c r="D143" s="14">
        <f t="shared" si="4"/>
        <v>3.5754033457264141E-2</v>
      </c>
      <c r="E143" s="6">
        <v>239.89</v>
      </c>
      <c r="F143" s="14">
        <f t="shared" si="5"/>
        <v>6.3144458872681306E-3</v>
      </c>
    </row>
    <row r="144" spans="2:6" x14ac:dyDescent="0.3">
      <c r="B144" s="5" t="s">
        <v>186</v>
      </c>
      <c r="C144" s="6">
        <v>393.11</v>
      </c>
      <c r="D144" s="14">
        <f t="shared" si="4"/>
        <v>2.2483840577797627E-2</v>
      </c>
      <c r="E144" s="6">
        <v>249.02</v>
      </c>
      <c r="F144" s="14">
        <f t="shared" si="5"/>
        <v>3.7352729582435795E-2</v>
      </c>
    </row>
    <row r="145" spans="2:6" x14ac:dyDescent="0.3">
      <c r="B145" s="5" t="s">
        <v>187</v>
      </c>
      <c r="C145" s="6">
        <v>411.22</v>
      </c>
      <c r="D145" s="14">
        <f t="shared" si="4"/>
        <v>4.5038880166563315E-2</v>
      </c>
      <c r="E145" s="6">
        <v>248.5</v>
      </c>
      <c r="F145" s="14">
        <f t="shared" si="5"/>
        <v>-2.0903689875830965E-3</v>
      </c>
    </row>
    <row r="146" spans="2:6" x14ac:dyDescent="0.3">
      <c r="B146" s="5" t="s">
        <v>188</v>
      </c>
      <c r="C146" s="6">
        <v>420.26</v>
      </c>
      <c r="D146" s="14">
        <f t="shared" si="4"/>
        <v>2.1745216275069094E-2</v>
      </c>
      <c r="E146" s="6">
        <v>249.7</v>
      </c>
      <c r="F146" s="14">
        <f t="shared" si="5"/>
        <v>4.817351749044017E-3</v>
      </c>
    </row>
    <row r="147" spans="2:6" x14ac:dyDescent="0.3">
      <c r="B147" s="5" t="s">
        <v>189</v>
      </c>
      <c r="C147" s="6">
        <v>422.79</v>
      </c>
      <c r="D147" s="14">
        <f t="shared" si="4"/>
        <v>6.0020345060046486E-3</v>
      </c>
      <c r="E147" s="6">
        <v>250.56</v>
      </c>
      <c r="F147" s="14">
        <f t="shared" si="5"/>
        <v>3.4382155167108765E-3</v>
      </c>
    </row>
    <row r="148" spans="2:6" x14ac:dyDescent="0.3">
      <c r="B148" s="5" t="s">
        <v>190</v>
      </c>
      <c r="C148" s="6">
        <v>418.07</v>
      </c>
      <c r="D148" s="14">
        <f t="shared" si="4"/>
        <v>-1.1226719252490228E-2</v>
      </c>
      <c r="E148" s="6">
        <v>248.28</v>
      </c>
      <c r="F148" s="14">
        <f t="shared" si="5"/>
        <v>-9.1412712569863292E-3</v>
      </c>
    </row>
    <row r="149" spans="2:6" x14ac:dyDescent="0.3">
      <c r="B149" s="5" t="s">
        <v>191</v>
      </c>
      <c r="C149" s="6">
        <v>424.16</v>
      </c>
      <c r="D149" s="14">
        <f t="shared" si="4"/>
        <v>1.4461859921676165E-2</v>
      </c>
      <c r="E149" s="6">
        <v>249.91</v>
      </c>
      <c r="F149" s="14">
        <f t="shared" si="5"/>
        <v>6.5437115012383492E-3</v>
      </c>
    </row>
    <row r="150" spans="2:6" x14ac:dyDescent="0.3">
      <c r="B150" s="5" t="s">
        <v>192</v>
      </c>
      <c r="C150" s="6">
        <v>432.92</v>
      </c>
      <c r="D150" s="14">
        <f t="shared" si="4"/>
        <v>2.0442210886230237E-2</v>
      </c>
      <c r="E150" s="6">
        <v>255.36</v>
      </c>
      <c r="F150" s="14">
        <f t="shared" si="5"/>
        <v>2.157346121475379E-2</v>
      </c>
    </row>
    <row r="151" spans="2:6" x14ac:dyDescent="0.3">
      <c r="B151" s="5" t="s">
        <v>193</v>
      </c>
      <c r="C151" s="6">
        <v>415.75</v>
      </c>
      <c r="D151" s="14">
        <f t="shared" si="4"/>
        <v>-4.0468835353908689E-2</v>
      </c>
      <c r="E151" s="6">
        <v>255.08</v>
      </c>
      <c r="F151" s="14">
        <f t="shared" si="5"/>
        <v>-1.0970928143730994E-3</v>
      </c>
    </row>
    <row r="152" spans="2:6" x14ac:dyDescent="0.3">
      <c r="B152" s="5" t="s">
        <v>194</v>
      </c>
      <c r="C152" s="6">
        <v>424.62</v>
      </c>
      <c r="D152" s="14">
        <f t="shared" si="4"/>
        <v>2.1110533242711334E-2</v>
      </c>
      <c r="E152" s="6">
        <v>263.99</v>
      </c>
      <c r="F152" s="14">
        <f t="shared" si="5"/>
        <v>3.4334002193947041E-2</v>
      </c>
    </row>
    <row r="153" spans="2:6" x14ac:dyDescent="0.3">
      <c r="B153" s="5" t="s">
        <v>195</v>
      </c>
      <c r="C153" s="6">
        <v>424.82</v>
      </c>
      <c r="D153" s="14">
        <f t="shared" si="4"/>
        <v>4.7089848299046639E-4</v>
      </c>
      <c r="E153" s="6">
        <v>261.12</v>
      </c>
      <c r="F153" s="14">
        <f t="shared" si="5"/>
        <v>-1.0931151865275839E-2</v>
      </c>
    </row>
    <row r="154" spans="2:6" x14ac:dyDescent="0.3">
      <c r="B154" s="5" t="s">
        <v>196</v>
      </c>
      <c r="C154" s="6">
        <v>429.25</v>
      </c>
      <c r="D154" s="14">
        <f t="shared" si="4"/>
        <v>1.0373949978845965E-2</v>
      </c>
      <c r="E154" s="6">
        <v>259.7</v>
      </c>
      <c r="F154" s="14">
        <f t="shared" si="5"/>
        <v>-5.4529531070394779E-3</v>
      </c>
    </row>
    <row r="155" spans="2:6" x14ac:dyDescent="0.3">
      <c r="B155" s="5" t="s">
        <v>197</v>
      </c>
      <c r="C155" s="6">
        <v>424.46</v>
      </c>
      <c r="D155" s="14">
        <f t="shared" si="4"/>
        <v>-1.12217269700898E-2</v>
      </c>
      <c r="E155" s="6">
        <v>263.04000000000002</v>
      </c>
      <c r="F155" s="14">
        <f t="shared" si="5"/>
        <v>1.2778993199112359E-2</v>
      </c>
    </row>
    <row r="156" spans="2:6" x14ac:dyDescent="0.3">
      <c r="B156" s="5" t="s">
        <v>198</v>
      </c>
      <c r="C156" s="6">
        <v>407.78</v>
      </c>
      <c r="D156" s="14">
        <f t="shared" si="4"/>
        <v>-4.0089959518666916E-2</v>
      </c>
      <c r="E156" s="6">
        <v>265.06</v>
      </c>
      <c r="F156" s="14">
        <f t="shared" si="5"/>
        <v>7.6501035847175254E-3</v>
      </c>
    </row>
    <row r="157" spans="2:6" x14ac:dyDescent="0.3">
      <c r="B157" s="5" t="s">
        <v>199</v>
      </c>
      <c r="C157" s="6">
        <v>414.44</v>
      </c>
      <c r="D157" s="14">
        <f t="shared" si="4"/>
        <v>1.6200398094722738E-2</v>
      </c>
      <c r="E157" s="6">
        <v>268.26</v>
      </c>
      <c r="F157" s="14">
        <f t="shared" si="5"/>
        <v>1.2000444021411484E-2</v>
      </c>
    </row>
    <row r="158" spans="2:6" x14ac:dyDescent="0.3">
      <c r="B158" s="5" t="s">
        <v>200</v>
      </c>
      <c r="C158" s="6">
        <v>413.62</v>
      </c>
      <c r="D158" s="14">
        <f t="shared" si="4"/>
        <v>-1.980533459020683E-3</v>
      </c>
      <c r="E158" s="6">
        <v>272.05</v>
      </c>
      <c r="F158" s="14">
        <f t="shared" si="5"/>
        <v>1.4029213457990223E-2</v>
      </c>
    </row>
    <row r="159" spans="2:6" x14ac:dyDescent="0.3">
      <c r="B159" s="5" t="s">
        <v>201</v>
      </c>
      <c r="C159" s="6">
        <v>411.38</v>
      </c>
      <c r="D159" s="14">
        <f t="shared" si="4"/>
        <v>-5.4303163745131871E-3</v>
      </c>
      <c r="E159" s="6">
        <v>273.55</v>
      </c>
      <c r="F159" s="14">
        <f t="shared" si="5"/>
        <v>5.4985475779004761E-3</v>
      </c>
    </row>
    <row r="160" spans="2:6" x14ac:dyDescent="0.3">
      <c r="B160" s="5" t="s">
        <v>202</v>
      </c>
      <c r="C160" s="6">
        <v>413.96</v>
      </c>
      <c r="D160" s="14">
        <f t="shared" si="4"/>
        <v>6.2519892499551047E-3</v>
      </c>
      <c r="E160" s="6">
        <v>274.99</v>
      </c>
      <c r="F160" s="14">
        <f t="shared" si="5"/>
        <v>5.25031285919974E-3</v>
      </c>
    </row>
    <row r="161" spans="2:6" x14ac:dyDescent="0.3">
      <c r="B161" s="5" t="s">
        <v>203</v>
      </c>
      <c r="C161" s="6">
        <v>420.77</v>
      </c>
      <c r="D161" s="14">
        <f t="shared" si="4"/>
        <v>1.6317015306411633E-2</v>
      </c>
      <c r="E161" s="6">
        <v>271.17</v>
      </c>
      <c r="F161" s="14">
        <f t="shared" si="5"/>
        <v>-1.3988802890605312E-2</v>
      </c>
    </row>
    <row r="162" spans="2:6" x14ac:dyDescent="0.3">
      <c r="B162" s="5" t="s">
        <v>204</v>
      </c>
      <c r="C162" s="6">
        <v>415.12</v>
      </c>
      <c r="D162" s="14">
        <f t="shared" si="4"/>
        <v>-1.3518731046899728E-2</v>
      </c>
      <c r="E162" s="6">
        <v>272.68</v>
      </c>
      <c r="F162" s="14">
        <f t="shared" si="5"/>
        <v>5.5530160161551987E-3</v>
      </c>
    </row>
    <row r="163" spans="2:6" x14ac:dyDescent="0.3">
      <c r="B163" s="5" t="s">
        <v>205</v>
      </c>
      <c r="C163" s="6">
        <v>412.66</v>
      </c>
      <c r="D163" s="14">
        <f t="shared" si="4"/>
        <v>-5.9436257024003004E-3</v>
      </c>
      <c r="E163" s="6">
        <v>268.99</v>
      </c>
      <c r="F163" s="14">
        <f t="shared" si="5"/>
        <v>-1.3624742304932063E-2</v>
      </c>
    </row>
    <row r="164" spans="2:6" x14ac:dyDescent="0.3">
      <c r="B164" s="5" t="s">
        <v>206</v>
      </c>
      <c r="C164" s="6">
        <v>407.77</v>
      </c>
      <c r="D164" s="14">
        <f t="shared" si="4"/>
        <v>-1.1920719396072517E-2</v>
      </c>
      <c r="E164" s="6">
        <v>265.82</v>
      </c>
      <c r="F164" s="14">
        <f t="shared" si="5"/>
        <v>-1.1854816196465796E-2</v>
      </c>
    </row>
    <row r="165" spans="2:6" x14ac:dyDescent="0.3">
      <c r="B165" s="5" t="s">
        <v>207</v>
      </c>
      <c r="C165" s="6">
        <v>405.21</v>
      </c>
      <c r="D165" s="14">
        <f t="shared" si="4"/>
        <v>-6.2978387202290275E-3</v>
      </c>
      <c r="E165" s="6">
        <v>270.13</v>
      </c>
      <c r="F165" s="14">
        <f t="shared" si="5"/>
        <v>1.6083936611654002E-2</v>
      </c>
    </row>
    <row r="166" spans="2:6" x14ac:dyDescent="0.3">
      <c r="B166" s="5" t="s">
        <v>208</v>
      </c>
      <c r="C166" s="6">
        <v>409.43</v>
      </c>
      <c r="D166" s="14">
        <f t="shared" si="4"/>
        <v>1.0360497269465288E-2</v>
      </c>
      <c r="E166" s="6">
        <v>267.22000000000003</v>
      </c>
      <c r="F166" s="14">
        <f t="shared" si="5"/>
        <v>-1.0831035444092561E-2</v>
      </c>
    </row>
    <row r="167" spans="2:6" x14ac:dyDescent="0.3">
      <c r="B167" s="5" t="s">
        <v>209</v>
      </c>
      <c r="C167" s="6">
        <v>421.92</v>
      </c>
      <c r="D167" s="14">
        <f t="shared" si="4"/>
        <v>3.0049774094728796E-2</v>
      </c>
      <c r="E167" s="6">
        <v>264.14</v>
      </c>
      <c r="F167" s="14">
        <f t="shared" si="5"/>
        <v>-1.1593023545089846E-2</v>
      </c>
    </row>
    <row r="168" spans="2:6" x14ac:dyDescent="0.3">
      <c r="B168" s="5" t="s">
        <v>210</v>
      </c>
      <c r="C168" s="6">
        <v>423.54</v>
      </c>
      <c r="D168" s="14">
        <f t="shared" si="4"/>
        <v>3.8322380304593334E-3</v>
      </c>
      <c r="E168" s="6">
        <v>264.86</v>
      </c>
      <c r="F168" s="14">
        <f t="shared" si="5"/>
        <v>2.722118883160186E-3</v>
      </c>
    </row>
    <row r="169" spans="2:6" x14ac:dyDescent="0.3">
      <c r="B169" s="5" t="s">
        <v>211</v>
      </c>
      <c r="C169" s="6">
        <v>417.42</v>
      </c>
      <c r="D169" s="14">
        <f t="shared" si="4"/>
        <v>-1.4555051471830853E-2</v>
      </c>
      <c r="E169" s="6">
        <v>259.33999999999997</v>
      </c>
      <c r="F169" s="14">
        <f t="shared" si="5"/>
        <v>-2.106144237808022E-2</v>
      </c>
    </row>
    <row r="170" spans="2:6" x14ac:dyDescent="0.3">
      <c r="B170" s="5" t="s">
        <v>212</v>
      </c>
      <c r="C170" s="6">
        <v>421.06</v>
      </c>
      <c r="D170" s="14">
        <f t="shared" si="4"/>
        <v>8.6824321788042166E-3</v>
      </c>
      <c r="E170" s="6">
        <v>265.01</v>
      </c>
      <c r="F170" s="14">
        <f t="shared" si="5"/>
        <v>2.16276190025615E-2</v>
      </c>
    </row>
    <row r="171" spans="2:6" x14ac:dyDescent="0.3">
      <c r="B171" s="5" t="s">
        <v>213</v>
      </c>
      <c r="C171" s="6">
        <v>419.09</v>
      </c>
      <c r="D171" s="14">
        <f t="shared" si="4"/>
        <v>-4.689647349835342E-3</v>
      </c>
      <c r="E171" s="6">
        <v>268.45999999999998</v>
      </c>
      <c r="F171" s="14">
        <f t="shared" si="5"/>
        <v>1.2934365936190318E-2</v>
      </c>
    </row>
    <row r="172" spans="2:6" x14ac:dyDescent="0.3">
      <c r="B172" s="5" t="s">
        <v>214</v>
      </c>
      <c r="C172" s="6">
        <v>418.57</v>
      </c>
      <c r="D172" s="14">
        <f t="shared" si="4"/>
        <v>-1.2415540118817078E-3</v>
      </c>
      <c r="E172" s="6">
        <v>266.32</v>
      </c>
      <c r="F172" s="14">
        <f t="shared" si="5"/>
        <v>-8.0033337927204462E-3</v>
      </c>
    </row>
    <row r="173" spans="2:6" x14ac:dyDescent="0.3">
      <c r="B173" s="5" t="s">
        <v>215</v>
      </c>
      <c r="C173" s="6">
        <v>416.03</v>
      </c>
      <c r="D173" s="14">
        <f t="shared" si="4"/>
        <v>-6.0867669350029513E-3</v>
      </c>
      <c r="E173" s="6">
        <v>265.29000000000002</v>
      </c>
      <c r="F173" s="14">
        <f t="shared" si="5"/>
        <v>-3.8750260110159813E-3</v>
      </c>
    </row>
    <row r="174" spans="2:6" x14ac:dyDescent="0.3">
      <c r="B174" s="5" t="s">
        <v>216</v>
      </c>
      <c r="C174" s="6">
        <v>412.67</v>
      </c>
      <c r="D174" s="14">
        <f t="shared" si="4"/>
        <v>-8.1091309574541897E-3</v>
      </c>
      <c r="E174" s="6">
        <v>271.85000000000002</v>
      </c>
      <c r="F174" s="14">
        <f t="shared" si="5"/>
        <v>2.4426876336176271E-2</v>
      </c>
    </row>
    <row r="175" spans="2:6" x14ac:dyDescent="0.3">
      <c r="B175" s="5" t="s">
        <v>217</v>
      </c>
      <c r="C175" s="6">
        <v>426.99</v>
      </c>
      <c r="D175" s="14">
        <f t="shared" si="4"/>
        <v>3.4112351662408689E-2</v>
      </c>
      <c r="E175" s="6">
        <v>274</v>
      </c>
      <c r="F175" s="14">
        <f t="shared" si="5"/>
        <v>7.8776627961403851E-3</v>
      </c>
    </row>
    <row r="176" spans="2:6" x14ac:dyDescent="0.3">
      <c r="B176" s="5" t="s">
        <v>218</v>
      </c>
      <c r="C176" s="6">
        <v>450.24</v>
      </c>
      <c r="D176" s="14">
        <f t="shared" si="4"/>
        <v>5.3020180175380564E-2</v>
      </c>
      <c r="E176" s="6">
        <v>270.64</v>
      </c>
      <c r="F176" s="14">
        <f t="shared" si="5"/>
        <v>-1.2338581915617191E-2</v>
      </c>
    </row>
    <row r="177" spans="2:6" x14ac:dyDescent="0.3">
      <c r="B177" s="5" t="s">
        <v>219</v>
      </c>
      <c r="C177" s="6">
        <v>460.52</v>
      </c>
      <c r="D177" s="14">
        <f t="shared" si="4"/>
        <v>2.2575511879439479E-2</v>
      </c>
      <c r="E177" s="6">
        <v>261.26</v>
      </c>
      <c r="F177" s="14">
        <f t="shared" si="5"/>
        <v>-3.5273444414035786E-2</v>
      </c>
    </row>
    <row r="178" spans="2:6" x14ac:dyDescent="0.3">
      <c r="B178" s="5" t="s">
        <v>220</v>
      </c>
      <c r="C178" s="6">
        <v>441.31</v>
      </c>
      <c r="D178" s="14">
        <f t="shared" si="4"/>
        <v>-4.2608709464926738E-2</v>
      </c>
      <c r="E178" s="6">
        <v>256.52</v>
      </c>
      <c r="F178" s="14">
        <f t="shared" si="5"/>
        <v>-1.8309445777755097E-2</v>
      </c>
    </row>
    <row r="179" spans="2:6" x14ac:dyDescent="0.3">
      <c r="B179" s="5" t="s">
        <v>221</v>
      </c>
      <c r="C179" s="6">
        <v>427.34</v>
      </c>
      <c r="D179" s="14">
        <f t="shared" si="4"/>
        <v>-3.2167627025694798E-2</v>
      </c>
      <c r="E179" s="6">
        <v>250.02</v>
      </c>
      <c r="F179" s="14">
        <f t="shared" si="5"/>
        <v>-2.5665719618245004E-2</v>
      </c>
    </row>
    <row r="180" spans="2:6" x14ac:dyDescent="0.3">
      <c r="B180" s="5" t="s">
        <v>222</v>
      </c>
      <c r="C180" s="6">
        <v>428.05</v>
      </c>
      <c r="D180" s="14">
        <f t="shared" si="4"/>
        <v>1.6600618736526567E-3</v>
      </c>
      <c r="E180" s="6">
        <v>253.79</v>
      </c>
      <c r="F180" s="14">
        <f t="shared" si="5"/>
        <v>1.4966238738395391E-2</v>
      </c>
    </row>
    <row r="181" spans="2:6" x14ac:dyDescent="0.3">
      <c r="B181" s="5" t="s">
        <v>223</v>
      </c>
      <c r="C181" s="6">
        <v>416.67</v>
      </c>
      <c r="D181" s="14">
        <f t="shared" si="4"/>
        <v>-2.6945469592257385E-2</v>
      </c>
      <c r="E181" s="6">
        <v>246.03</v>
      </c>
      <c r="F181" s="14">
        <f t="shared" si="5"/>
        <v>-3.1053673684382922E-2</v>
      </c>
    </row>
    <row r="182" spans="2:6" x14ac:dyDescent="0.3">
      <c r="B182" s="5" t="s">
        <v>224</v>
      </c>
      <c r="C182" s="6">
        <v>411.74</v>
      </c>
      <c r="D182" s="14">
        <f t="shared" si="4"/>
        <v>-1.1902459415075083E-2</v>
      </c>
      <c r="E182" s="6">
        <v>245.22</v>
      </c>
      <c r="F182" s="14">
        <f t="shared" si="5"/>
        <v>-3.2977129121885677E-3</v>
      </c>
    </row>
    <row r="183" spans="2:6" x14ac:dyDescent="0.3">
      <c r="B183" s="5" t="s">
        <v>225</v>
      </c>
      <c r="C183" s="6">
        <v>403.41</v>
      </c>
      <c r="D183" s="14">
        <f t="shared" si="4"/>
        <v>-2.0438667677273956E-2</v>
      </c>
      <c r="E183" s="6">
        <v>244.19</v>
      </c>
      <c r="F183" s="14">
        <f t="shared" si="5"/>
        <v>-4.2091560070624725E-3</v>
      </c>
    </row>
    <row r="184" spans="2:6" x14ac:dyDescent="0.3">
      <c r="B184" s="5" t="s">
        <v>226</v>
      </c>
      <c r="C184" s="6">
        <v>397.36</v>
      </c>
      <c r="D184" s="14">
        <f t="shared" si="4"/>
        <v>-1.5110743704793208E-2</v>
      </c>
      <c r="E184" s="6">
        <v>238</v>
      </c>
      <c r="F184" s="14">
        <f t="shared" si="5"/>
        <v>-2.5675937125703693E-2</v>
      </c>
    </row>
    <row r="185" spans="2:6" x14ac:dyDescent="0.3">
      <c r="B185" s="5" t="s">
        <v>227</v>
      </c>
      <c r="C185" s="6">
        <v>390.34</v>
      </c>
      <c r="D185" s="14">
        <f t="shared" si="4"/>
        <v>-1.7824516596039425E-2</v>
      </c>
      <c r="E185" s="6">
        <v>241.51</v>
      </c>
      <c r="F185" s="14">
        <f t="shared" si="5"/>
        <v>1.4640206431365464E-2</v>
      </c>
    </row>
    <row r="186" spans="2:6" x14ac:dyDescent="0.3">
      <c r="B186" s="5" t="s">
        <v>228</v>
      </c>
      <c r="C186" s="6">
        <v>390.74</v>
      </c>
      <c r="D186" s="14">
        <f t="shared" si="4"/>
        <v>1.0242229604336857E-3</v>
      </c>
      <c r="E186" s="6">
        <v>238.55</v>
      </c>
      <c r="F186" s="14">
        <f t="shared" si="5"/>
        <v>-1.2331948140724058E-2</v>
      </c>
    </row>
    <row r="187" spans="2:6" x14ac:dyDescent="0.3">
      <c r="B187" s="5" t="s">
        <v>229</v>
      </c>
      <c r="C187" s="6">
        <v>399.76</v>
      </c>
      <c r="D187" s="14">
        <f t="shared" si="4"/>
        <v>2.2821989872460067E-2</v>
      </c>
      <c r="E187" s="6">
        <v>246.02</v>
      </c>
      <c r="F187" s="14">
        <f t="shared" si="5"/>
        <v>3.0833901478522951E-2</v>
      </c>
    </row>
    <row r="188" spans="2:6" x14ac:dyDescent="0.3">
      <c r="B188" s="5" t="s">
        <v>230</v>
      </c>
      <c r="C188" s="6">
        <v>393.83</v>
      </c>
      <c r="D188" s="14">
        <f t="shared" si="4"/>
        <v>-1.4945022930096618E-2</v>
      </c>
      <c r="E188" s="6">
        <v>246</v>
      </c>
      <c r="F188" s="14">
        <f t="shared" si="5"/>
        <v>-8.1297508276144715E-5</v>
      </c>
    </row>
    <row r="189" spans="2:6" x14ac:dyDescent="0.3">
      <c r="B189" s="5" t="s">
        <v>231</v>
      </c>
      <c r="C189" s="6">
        <v>378.91</v>
      </c>
      <c r="D189" s="14">
        <f t="shared" si="4"/>
        <v>-3.8620634241653018E-2</v>
      </c>
      <c r="E189" s="6">
        <v>237.5</v>
      </c>
      <c r="F189" s="14">
        <f t="shared" si="5"/>
        <v>-3.5163912457666896E-2</v>
      </c>
    </row>
    <row r="190" spans="2:6" x14ac:dyDescent="0.3">
      <c r="B190" s="5" t="s">
        <v>232</v>
      </c>
      <c r="C190" s="6">
        <v>379.4</v>
      </c>
      <c r="D190" s="14">
        <f t="shared" si="4"/>
        <v>1.2923476367138699E-3</v>
      </c>
      <c r="E190" s="6">
        <v>244.39</v>
      </c>
      <c r="F190" s="14">
        <f t="shared" si="5"/>
        <v>2.8597686455361971E-2</v>
      </c>
    </row>
    <row r="191" spans="2:6" x14ac:dyDescent="0.3">
      <c r="B191" s="5" t="s">
        <v>233</v>
      </c>
      <c r="C191" s="6">
        <v>367.34</v>
      </c>
      <c r="D191" s="14">
        <f t="shared" si="4"/>
        <v>-3.230320780052489E-2</v>
      </c>
      <c r="E191" s="6">
        <v>232.79</v>
      </c>
      <c r="F191" s="14">
        <f t="shared" si="5"/>
        <v>-4.8628550321842171E-2</v>
      </c>
    </row>
    <row r="192" spans="2:6" x14ac:dyDescent="0.3">
      <c r="B192" s="5" t="s">
        <v>234</v>
      </c>
      <c r="C192" s="6">
        <v>373.94</v>
      </c>
      <c r="D192" s="14">
        <f t="shared" si="4"/>
        <v>1.7807507036739275E-2</v>
      </c>
      <c r="E192" s="6">
        <v>234.11</v>
      </c>
      <c r="F192" s="14">
        <f t="shared" si="5"/>
        <v>5.6543307640109283E-3</v>
      </c>
    </row>
    <row r="193" spans="2:6" x14ac:dyDescent="0.3">
      <c r="B193" s="5" t="s">
        <v>235</v>
      </c>
      <c r="C193" s="6">
        <v>365.46</v>
      </c>
      <c r="D193" s="14">
        <f t="shared" si="4"/>
        <v>-2.2938522660679916E-2</v>
      </c>
      <c r="E193" s="6">
        <v>234.27</v>
      </c>
      <c r="F193" s="14">
        <f t="shared" si="5"/>
        <v>6.832059704666969E-4</v>
      </c>
    </row>
    <row r="194" spans="2:6" x14ac:dyDescent="0.3">
      <c r="B194" s="5" t="s">
        <v>236</v>
      </c>
      <c r="C194" s="6">
        <v>352.83</v>
      </c>
      <c r="D194" s="14">
        <f t="shared" si="4"/>
        <v>-3.5170479545393395E-2</v>
      </c>
      <c r="E194" s="6">
        <v>227.01</v>
      </c>
      <c r="F194" s="14">
        <f t="shared" si="5"/>
        <v>-3.148022696815355E-2</v>
      </c>
    </row>
    <row r="195" spans="2:6" x14ac:dyDescent="0.3">
      <c r="B195" s="5" t="s">
        <v>237</v>
      </c>
      <c r="C195" s="6">
        <v>372.97</v>
      </c>
      <c r="D195" s="14">
        <f t="shared" si="4"/>
        <v>5.5511632923755376E-2</v>
      </c>
      <c r="E195" s="6">
        <v>232.69</v>
      </c>
      <c r="F195" s="14">
        <f t="shared" si="5"/>
        <v>2.4713026224316134E-2</v>
      </c>
    </row>
    <row r="196" spans="2:6" x14ac:dyDescent="0.3">
      <c r="B196" s="5" t="s">
        <v>238</v>
      </c>
      <c r="C196" s="6">
        <v>368.57</v>
      </c>
      <c r="D196" s="14">
        <f t="shared" si="4"/>
        <v>-1.1867334570964309E-2</v>
      </c>
      <c r="E196" s="6">
        <v>240.14</v>
      </c>
      <c r="F196" s="14">
        <f t="shared" si="5"/>
        <v>3.1514991003715992E-2</v>
      </c>
    </row>
    <row r="197" spans="2:6" x14ac:dyDescent="0.3">
      <c r="B197" s="5" t="s">
        <v>239</v>
      </c>
      <c r="C197" s="6">
        <v>373.02</v>
      </c>
      <c r="D197" s="14">
        <f t="shared" ref="D197:D260" si="6">LN(C197/C196)</f>
        <v>1.2001384625455174E-2</v>
      </c>
      <c r="E197" s="6">
        <v>238.34</v>
      </c>
      <c r="F197" s="14">
        <f t="shared" ref="F197:F260" si="7">LN(E197/E196)</f>
        <v>-7.5238609399117468E-3</v>
      </c>
    </row>
    <row r="198" spans="2:6" x14ac:dyDescent="0.3">
      <c r="B198" s="5" t="s">
        <v>240</v>
      </c>
      <c r="C198" s="6">
        <v>384.28</v>
      </c>
      <c r="D198" s="14">
        <f t="shared" si="6"/>
        <v>2.9739416032236666E-2</v>
      </c>
      <c r="E198" s="6">
        <v>241.7</v>
      </c>
      <c r="F198" s="14">
        <f t="shared" si="7"/>
        <v>1.399906204677725E-2</v>
      </c>
    </row>
    <row r="199" spans="2:6" x14ac:dyDescent="0.3">
      <c r="B199" s="5" t="s">
        <v>241</v>
      </c>
      <c r="C199" s="6">
        <v>390.49</v>
      </c>
      <c r="D199" s="14">
        <f t="shared" si="6"/>
        <v>1.6030907215685303E-2</v>
      </c>
      <c r="E199" s="6">
        <v>242.67</v>
      </c>
      <c r="F199" s="14">
        <f t="shared" si="7"/>
        <v>4.0052079885336527E-3</v>
      </c>
    </row>
    <row r="200" spans="2:6" x14ac:dyDescent="0.3">
      <c r="B200" s="5" t="s">
        <v>242</v>
      </c>
      <c r="C200" s="6">
        <v>386.74</v>
      </c>
      <c r="D200" s="14">
        <f t="shared" si="6"/>
        <v>-9.6497281347771632E-3</v>
      </c>
      <c r="E200" s="6">
        <v>244.16</v>
      </c>
      <c r="F200" s="14">
        <f t="shared" si="7"/>
        <v>6.1212523981211868E-3</v>
      </c>
    </row>
    <row r="201" spans="2:6" x14ac:dyDescent="0.3">
      <c r="B201" s="5" t="s">
        <v>243</v>
      </c>
      <c r="C201" s="6">
        <v>388.84</v>
      </c>
      <c r="D201" s="14">
        <f t="shared" si="6"/>
        <v>5.415315330422393E-3</v>
      </c>
      <c r="E201" s="6">
        <v>245.98</v>
      </c>
      <c r="F201" s="14">
        <f t="shared" si="7"/>
        <v>7.42648371817214E-3</v>
      </c>
    </row>
    <row r="202" spans="2:6" x14ac:dyDescent="0.3">
      <c r="B202" s="5" t="s">
        <v>244</v>
      </c>
      <c r="C202" s="6">
        <v>383.34</v>
      </c>
      <c r="D202" s="14">
        <f t="shared" si="6"/>
        <v>-1.4245624110561284E-2</v>
      </c>
      <c r="E202" s="6">
        <v>243.62</v>
      </c>
      <c r="F202" s="14">
        <f t="shared" si="7"/>
        <v>-9.6405975424514768E-3</v>
      </c>
    </row>
    <row r="203" spans="2:6" x14ac:dyDescent="0.3">
      <c r="B203" s="5" t="s">
        <v>245</v>
      </c>
      <c r="C203" s="6">
        <v>384.36</v>
      </c>
      <c r="D203" s="14">
        <f t="shared" si="6"/>
        <v>2.6572895667602557E-3</v>
      </c>
      <c r="E203" s="6">
        <v>247.04</v>
      </c>
      <c r="F203" s="14">
        <f t="shared" si="7"/>
        <v>1.394063256459852E-2</v>
      </c>
    </row>
    <row r="204" spans="2:6" x14ac:dyDescent="0.3">
      <c r="B204" s="5" t="s">
        <v>246</v>
      </c>
      <c r="C204" s="6">
        <v>385.1</v>
      </c>
      <c r="D204" s="14">
        <f t="shared" si="6"/>
        <v>1.9234274117961546E-3</v>
      </c>
      <c r="E204" s="6">
        <v>245.34</v>
      </c>
      <c r="F204" s="14">
        <f t="shared" si="7"/>
        <v>-6.9052632318053805E-3</v>
      </c>
    </row>
    <row r="205" spans="2:6" x14ac:dyDescent="0.3">
      <c r="B205" s="5" t="s">
        <v>247</v>
      </c>
      <c r="C205" s="6">
        <v>390.99</v>
      </c>
      <c r="D205" s="14">
        <f t="shared" si="6"/>
        <v>1.5178943389874876E-2</v>
      </c>
      <c r="E205" s="6">
        <v>247.31</v>
      </c>
      <c r="F205" s="14">
        <f t="shared" si="7"/>
        <v>7.9976068217612606E-3</v>
      </c>
    </row>
    <row r="206" spans="2:6" x14ac:dyDescent="0.3">
      <c r="B206" s="5" t="s">
        <v>248</v>
      </c>
      <c r="C206" s="6">
        <v>384.93</v>
      </c>
      <c r="D206" s="14">
        <f t="shared" si="6"/>
        <v>-1.5620484635701416E-2</v>
      </c>
      <c r="E206" s="6">
        <v>247.49</v>
      </c>
      <c r="F206" s="14">
        <f t="shared" si="7"/>
        <v>7.2756672570856162E-4</v>
      </c>
    </row>
    <row r="207" spans="2:6" x14ac:dyDescent="0.3">
      <c r="B207" s="5" t="s">
        <v>249</v>
      </c>
      <c r="C207" s="6">
        <v>395.63</v>
      </c>
      <c r="D207" s="14">
        <f t="shared" si="6"/>
        <v>2.741793147418992E-2</v>
      </c>
      <c r="E207" s="6">
        <v>254.96</v>
      </c>
      <c r="F207" s="14">
        <f t="shared" si="7"/>
        <v>2.9736492957005221E-2</v>
      </c>
    </row>
    <row r="208" spans="2:6" x14ac:dyDescent="0.3">
      <c r="B208" s="5" t="s">
        <v>250</v>
      </c>
      <c r="C208" s="6">
        <v>401.1</v>
      </c>
      <c r="D208" s="14">
        <f t="shared" si="6"/>
        <v>1.3731341726780644E-2</v>
      </c>
      <c r="E208" s="6">
        <v>249.89</v>
      </c>
      <c r="F208" s="14">
        <f t="shared" si="7"/>
        <v>-2.0085849075238679E-2</v>
      </c>
    </row>
    <row r="209" spans="2:6" x14ac:dyDescent="0.3">
      <c r="B209" s="5" t="s">
        <v>251</v>
      </c>
      <c r="C209" s="6">
        <v>393.82</v>
      </c>
      <c r="D209" s="14">
        <f t="shared" si="6"/>
        <v>-1.8316820658983161E-2</v>
      </c>
      <c r="E209" s="6">
        <v>247.23</v>
      </c>
      <c r="F209" s="14">
        <f t="shared" si="7"/>
        <v>-1.0701743590440486E-2</v>
      </c>
    </row>
    <row r="210" spans="2:6" x14ac:dyDescent="0.3">
      <c r="B210" s="5" t="s">
        <v>252</v>
      </c>
      <c r="C210" s="6">
        <v>402.29</v>
      </c>
      <c r="D210" s="14">
        <f t="shared" si="6"/>
        <v>2.1279269457939502E-2</v>
      </c>
      <c r="E210" s="6">
        <v>249.99</v>
      </c>
      <c r="F210" s="14">
        <f t="shared" si="7"/>
        <v>1.1101839618823337E-2</v>
      </c>
    </row>
    <row r="211" spans="2:6" x14ac:dyDescent="0.3">
      <c r="B211" s="5" t="s">
        <v>253</v>
      </c>
      <c r="C211" s="6">
        <v>397.75</v>
      </c>
      <c r="D211" s="14">
        <f t="shared" si="6"/>
        <v>-1.1349554357067262E-2</v>
      </c>
      <c r="E211" s="6">
        <v>247.55</v>
      </c>
      <c r="F211" s="14">
        <f t="shared" si="7"/>
        <v>-9.8083352547930196E-3</v>
      </c>
    </row>
    <row r="212" spans="2:6" x14ac:dyDescent="0.3">
      <c r="B212" s="5" t="s">
        <v>254</v>
      </c>
      <c r="C212" s="6">
        <v>390.34</v>
      </c>
      <c r="D212" s="14">
        <f t="shared" si="6"/>
        <v>-1.8805513014840534E-2</v>
      </c>
      <c r="E212" s="6">
        <v>244.85</v>
      </c>
      <c r="F212" s="14">
        <f t="shared" si="7"/>
        <v>-1.0966803659105793E-2</v>
      </c>
    </row>
    <row r="213" spans="2:6" x14ac:dyDescent="0.3">
      <c r="B213" s="5" t="s">
        <v>255</v>
      </c>
      <c r="C213" s="6">
        <v>381.58</v>
      </c>
      <c r="D213" s="14">
        <f t="shared" si="6"/>
        <v>-2.269762690389112E-2</v>
      </c>
      <c r="E213" s="6">
        <v>233.66</v>
      </c>
      <c r="F213" s="14">
        <f t="shared" si="7"/>
        <v>-4.6778710859324037E-2</v>
      </c>
    </row>
    <row r="214" spans="2:6" x14ac:dyDescent="0.3">
      <c r="B214" s="5" t="s">
        <v>256</v>
      </c>
      <c r="C214" s="6">
        <v>381.7</v>
      </c>
      <c r="D214" s="14">
        <f t="shared" si="6"/>
        <v>3.1443245201946256E-4</v>
      </c>
      <c r="E214" s="6">
        <v>232.11</v>
      </c>
      <c r="F214" s="14">
        <f t="shared" si="7"/>
        <v>-6.6556700595295027E-3</v>
      </c>
    </row>
    <row r="215" spans="2:6" x14ac:dyDescent="0.3">
      <c r="B215" s="5" t="s">
        <v>257</v>
      </c>
      <c r="C215" s="6">
        <v>389.1</v>
      </c>
      <c r="D215" s="14">
        <f t="shared" si="6"/>
        <v>1.9201420239324012E-2</v>
      </c>
      <c r="E215" s="6">
        <v>231.39</v>
      </c>
      <c r="F215" s="14">
        <f t="shared" si="7"/>
        <v>-3.1067986154554618E-3</v>
      </c>
    </row>
    <row r="216" spans="2:6" x14ac:dyDescent="0.3">
      <c r="B216" s="5" t="s">
        <v>258</v>
      </c>
      <c r="C216" s="6">
        <v>393.35</v>
      </c>
      <c r="D216" s="14">
        <f t="shared" si="6"/>
        <v>1.0863420784743694E-2</v>
      </c>
      <c r="E216" s="6">
        <v>230.86</v>
      </c>
      <c r="F216" s="14">
        <f t="shared" si="7"/>
        <v>-2.2931324272512247E-3</v>
      </c>
    </row>
    <row r="217" spans="2:6" x14ac:dyDescent="0.3">
      <c r="B217" s="5" t="s">
        <v>259</v>
      </c>
      <c r="C217" s="6">
        <v>390.54</v>
      </c>
      <c r="D217" s="14">
        <f t="shared" si="6"/>
        <v>-7.1694039629005644E-3</v>
      </c>
      <c r="E217" s="6">
        <v>226.65</v>
      </c>
      <c r="F217" s="14">
        <f t="shared" si="7"/>
        <v>-1.8404488799907928E-2</v>
      </c>
    </row>
    <row r="218" spans="2:6" x14ac:dyDescent="0.3">
      <c r="B218" s="5" t="s">
        <v>260</v>
      </c>
      <c r="C218" s="6">
        <v>451.1</v>
      </c>
      <c r="D218" s="14">
        <f t="shared" si="6"/>
        <v>0.14415864760199928</v>
      </c>
      <c r="E218" s="6">
        <v>235.5</v>
      </c>
      <c r="F218" s="14">
        <f t="shared" si="7"/>
        <v>3.8303936069614117E-2</v>
      </c>
    </row>
    <row r="219" spans="2:6" x14ac:dyDescent="0.3">
      <c r="B219" s="5" t="s">
        <v>261</v>
      </c>
      <c r="C219" s="6">
        <v>464.72</v>
      </c>
      <c r="D219" s="14">
        <f t="shared" si="6"/>
        <v>2.9746029269926918E-2</v>
      </c>
      <c r="E219" s="6">
        <v>271.58</v>
      </c>
      <c r="F219" s="14">
        <f t="shared" si="7"/>
        <v>0.14254584181417615</v>
      </c>
    </row>
    <row r="220" spans="2:6" x14ac:dyDescent="0.3">
      <c r="B220" s="5" t="s">
        <v>262</v>
      </c>
      <c r="C220" s="6">
        <v>487.65</v>
      </c>
      <c r="D220" s="14">
        <f t="shared" si="6"/>
        <v>4.8162861733746863E-2</v>
      </c>
      <c r="E220" s="6">
        <v>284.02</v>
      </c>
      <c r="F220" s="14">
        <f t="shared" si="7"/>
        <v>4.4787902946218421E-2</v>
      </c>
    </row>
    <row r="221" spans="2:6" x14ac:dyDescent="0.3">
      <c r="B221" s="5" t="s">
        <v>263</v>
      </c>
      <c r="C221" s="6">
        <v>492.81</v>
      </c>
      <c r="D221" s="14">
        <f t="shared" si="6"/>
        <v>1.0525768803194229E-2</v>
      </c>
      <c r="E221" s="6">
        <v>277.42</v>
      </c>
      <c r="F221" s="14">
        <f t="shared" si="7"/>
        <v>-2.3512054881722769E-2</v>
      </c>
    </row>
    <row r="222" spans="2:6" x14ac:dyDescent="0.3">
      <c r="B222" s="5" t="s">
        <v>264</v>
      </c>
      <c r="C222" s="6">
        <v>487.46</v>
      </c>
      <c r="D222" s="14">
        <f t="shared" si="6"/>
        <v>-1.0915468431758227E-2</v>
      </c>
      <c r="E222" s="6">
        <v>272.64999999999998</v>
      </c>
      <c r="F222" s="14">
        <f t="shared" si="7"/>
        <v>-1.7343681963073621E-2</v>
      </c>
    </row>
    <row r="223" spans="2:6" x14ac:dyDescent="0.3">
      <c r="B223" s="5" t="s">
        <v>265</v>
      </c>
      <c r="C223" s="6">
        <v>499.86</v>
      </c>
      <c r="D223" s="14">
        <f t="shared" si="6"/>
        <v>2.5119823425413027E-2</v>
      </c>
      <c r="E223" s="6">
        <v>272.26</v>
      </c>
      <c r="F223" s="14">
        <f t="shared" si="7"/>
        <v>-1.4314292877435221E-3</v>
      </c>
    </row>
    <row r="224" spans="2:6" x14ac:dyDescent="0.3">
      <c r="B224" s="5" t="s">
        <v>266</v>
      </c>
      <c r="C224" s="6">
        <v>499.99</v>
      </c>
      <c r="D224" s="14">
        <f t="shared" si="6"/>
        <v>2.6003900731613971E-4</v>
      </c>
      <c r="E224" s="6">
        <v>274.48</v>
      </c>
      <c r="F224" s="14">
        <f t="shared" si="7"/>
        <v>8.120906465867243E-3</v>
      </c>
    </row>
    <row r="225" spans="2:6" x14ac:dyDescent="0.3">
      <c r="B225" s="5" t="s">
        <v>267</v>
      </c>
      <c r="C225" s="6">
        <v>506.06</v>
      </c>
      <c r="D225" s="14">
        <f t="shared" si="6"/>
        <v>1.2067141110669557E-2</v>
      </c>
      <c r="E225" s="6">
        <v>278.08999999999997</v>
      </c>
      <c r="F225" s="14">
        <f t="shared" si="7"/>
        <v>1.3066403754824507E-2</v>
      </c>
    </row>
    <row r="226" spans="2:6" x14ac:dyDescent="0.3">
      <c r="B226" s="5" t="s">
        <v>268</v>
      </c>
      <c r="C226" s="6">
        <v>503.81</v>
      </c>
      <c r="D226" s="14">
        <f t="shared" si="6"/>
        <v>-4.4560264648538447E-3</v>
      </c>
      <c r="E226" s="6">
        <v>272.27</v>
      </c>
      <c r="F226" s="14">
        <f t="shared" si="7"/>
        <v>-2.1150581298498016E-2</v>
      </c>
    </row>
    <row r="227" spans="2:6" x14ac:dyDescent="0.3">
      <c r="B227" s="5" t="s">
        <v>269</v>
      </c>
      <c r="C227" s="6">
        <v>492.43</v>
      </c>
      <c r="D227" s="14">
        <f t="shared" si="6"/>
        <v>-2.2846894337263685E-2</v>
      </c>
      <c r="E227" s="6">
        <v>267.27999999999997</v>
      </c>
      <c r="F227" s="14">
        <f t="shared" si="7"/>
        <v>-1.849742295801992E-2</v>
      </c>
    </row>
    <row r="228" spans="2:6" x14ac:dyDescent="0.3">
      <c r="B228" s="5" t="s">
        <v>270</v>
      </c>
      <c r="C228" s="6">
        <v>496.88</v>
      </c>
      <c r="D228" s="14">
        <f t="shared" si="6"/>
        <v>8.9962297203063195E-3</v>
      </c>
      <c r="E228" s="6">
        <v>265.13</v>
      </c>
      <c r="F228" s="14">
        <f t="shared" si="7"/>
        <v>-8.0765263127236635E-3</v>
      </c>
    </row>
    <row r="229" spans="2:6" x14ac:dyDescent="0.3">
      <c r="B229" s="5" t="s">
        <v>271</v>
      </c>
      <c r="C229" s="6">
        <v>495.4</v>
      </c>
      <c r="D229" s="14">
        <f t="shared" si="6"/>
        <v>-2.9830311957884195E-3</v>
      </c>
      <c r="E229" s="6">
        <v>262.64999999999998</v>
      </c>
      <c r="F229" s="14">
        <f t="shared" si="7"/>
        <v>-9.3979243358068495E-3</v>
      </c>
    </row>
    <row r="230" spans="2:6" x14ac:dyDescent="0.3">
      <c r="B230" s="5" t="s">
        <v>272</v>
      </c>
      <c r="C230" s="6">
        <v>480.35</v>
      </c>
      <c r="D230" s="14">
        <f t="shared" si="6"/>
        <v>-3.0850512199511609E-2</v>
      </c>
      <c r="E230" s="6">
        <v>261.31</v>
      </c>
      <c r="F230" s="14">
        <f t="shared" si="7"/>
        <v>-5.1149054181646439E-3</v>
      </c>
    </row>
    <row r="231" spans="2:6" x14ac:dyDescent="0.3">
      <c r="B231" s="5" t="s">
        <v>273</v>
      </c>
      <c r="C231" s="6">
        <v>481.63</v>
      </c>
      <c r="D231" s="14">
        <f t="shared" si="6"/>
        <v>2.6611795575792736E-3</v>
      </c>
      <c r="E231" s="6">
        <v>259.45</v>
      </c>
      <c r="F231" s="14">
        <f t="shared" si="7"/>
        <v>-7.1434361680572048E-3</v>
      </c>
    </row>
    <row r="232" spans="2:6" x14ac:dyDescent="0.3">
      <c r="B232" s="5" t="s">
        <v>274</v>
      </c>
      <c r="C232" s="6">
        <v>484.31</v>
      </c>
      <c r="D232" s="14">
        <f t="shared" si="6"/>
        <v>5.5490131411376877E-3</v>
      </c>
      <c r="E232" s="6">
        <v>265.83999999999997</v>
      </c>
      <c r="F232" s="14">
        <f t="shared" si="7"/>
        <v>2.4330618232590064E-2</v>
      </c>
    </row>
    <row r="233" spans="2:6" x14ac:dyDescent="0.3">
      <c r="B233" s="5" t="s">
        <v>275</v>
      </c>
      <c r="C233" s="6">
        <v>481.15</v>
      </c>
      <c r="D233" s="14">
        <f t="shared" si="6"/>
        <v>-6.5461257520547152E-3</v>
      </c>
      <c r="E233" s="6">
        <v>260.11</v>
      </c>
      <c r="F233" s="14">
        <f t="shared" si="7"/>
        <v>-2.179000557954066E-2</v>
      </c>
    </row>
    <row r="234" spans="2:6" x14ac:dyDescent="0.3">
      <c r="B234" s="5" t="s">
        <v>276</v>
      </c>
      <c r="C234" s="6">
        <v>483.24</v>
      </c>
      <c r="D234" s="14">
        <f t="shared" si="6"/>
        <v>4.3343528489533396E-3</v>
      </c>
      <c r="E234" s="6">
        <v>258.63</v>
      </c>
      <c r="F234" s="14">
        <f t="shared" si="7"/>
        <v>-5.7061495768546714E-3</v>
      </c>
    </row>
    <row r="235" spans="2:6" x14ac:dyDescent="0.3">
      <c r="B235" s="5" t="s">
        <v>277</v>
      </c>
      <c r="C235" s="6">
        <v>487.31</v>
      </c>
      <c r="D235" s="14">
        <f t="shared" si="6"/>
        <v>8.387046227022462E-3</v>
      </c>
      <c r="E235" s="6">
        <v>262.07</v>
      </c>
      <c r="F235" s="14">
        <f t="shared" si="7"/>
        <v>1.3213174758635296E-2</v>
      </c>
    </row>
    <row r="236" spans="2:6" x14ac:dyDescent="0.3">
      <c r="B236" s="5" t="s">
        <v>278</v>
      </c>
      <c r="C236" s="6">
        <v>491.71</v>
      </c>
      <c r="D236" s="14">
        <f t="shared" si="6"/>
        <v>8.9886409369319287E-3</v>
      </c>
      <c r="E236" s="6">
        <v>261.06</v>
      </c>
      <c r="F236" s="14">
        <f t="shared" si="7"/>
        <v>-3.8613776879349092E-3</v>
      </c>
    </row>
    <row r="237" spans="2:6" x14ac:dyDescent="0.3">
      <c r="B237" s="5" t="s">
        <v>279</v>
      </c>
      <c r="C237" s="6">
        <v>496.37</v>
      </c>
      <c r="D237" s="14">
        <f t="shared" si="6"/>
        <v>9.4325045559009672E-3</v>
      </c>
      <c r="E237" s="6">
        <v>260.27999999999997</v>
      </c>
      <c r="F237" s="14">
        <f t="shared" si="7"/>
        <v>-2.9922913338605158E-3</v>
      </c>
    </row>
    <row r="238" spans="2:6" x14ac:dyDescent="0.3">
      <c r="B238" s="5" t="s">
        <v>280</v>
      </c>
      <c r="C238" s="6">
        <v>505.06</v>
      </c>
      <c r="D238" s="14">
        <f t="shared" si="6"/>
        <v>1.7355617727756793E-2</v>
      </c>
      <c r="E238" s="6">
        <v>256.26</v>
      </c>
      <c r="F238" s="14">
        <f t="shared" si="7"/>
        <v>-1.5565420545353136E-2</v>
      </c>
    </row>
    <row r="239" spans="2:6" x14ac:dyDescent="0.3">
      <c r="B239" s="5" t="s">
        <v>281</v>
      </c>
      <c r="C239" s="6">
        <v>513.53</v>
      </c>
      <c r="D239" s="14">
        <f t="shared" si="6"/>
        <v>1.6631216153172621E-2</v>
      </c>
      <c r="E239" s="6">
        <v>266.43</v>
      </c>
      <c r="F239" s="14">
        <f t="shared" si="7"/>
        <v>3.8918990857092439E-2</v>
      </c>
    </row>
    <row r="240" spans="2:6" x14ac:dyDescent="0.3">
      <c r="B240" s="5" t="s">
        <v>282</v>
      </c>
      <c r="C240" s="6">
        <v>507.29</v>
      </c>
      <c r="D240" s="14">
        <f t="shared" si="6"/>
        <v>-1.2225618075644566E-2</v>
      </c>
      <c r="E240" s="6">
        <v>259.77</v>
      </c>
      <c r="F240" s="14">
        <f t="shared" si="7"/>
        <v>-2.5314920810703023E-2</v>
      </c>
    </row>
    <row r="241" spans="2:6" x14ac:dyDescent="0.3">
      <c r="B241" s="5" t="s">
        <v>283</v>
      </c>
      <c r="C241" s="6">
        <v>501.02</v>
      </c>
      <c r="D241" s="14">
        <f t="shared" si="6"/>
        <v>-1.2436811728746389E-2</v>
      </c>
      <c r="E241" s="6">
        <v>254.92</v>
      </c>
      <c r="F241" s="14">
        <f t="shared" si="7"/>
        <v>-1.8846853681726179E-2</v>
      </c>
    </row>
    <row r="242" spans="2:6" x14ac:dyDescent="0.3">
      <c r="B242" s="5" t="s">
        <v>284</v>
      </c>
      <c r="C242" s="6">
        <v>496.82</v>
      </c>
      <c r="D242" s="14">
        <f t="shared" si="6"/>
        <v>-8.4182329898521268E-3</v>
      </c>
      <c r="E242" s="6">
        <v>254.98</v>
      </c>
      <c r="F242" s="14">
        <f t="shared" si="7"/>
        <v>2.353402638827317E-4</v>
      </c>
    </row>
    <row r="243" spans="2:6" x14ac:dyDescent="0.3">
      <c r="B243" s="5" t="s">
        <v>285</v>
      </c>
      <c r="C243" s="6">
        <v>510.12</v>
      </c>
      <c r="D243" s="14">
        <f t="shared" si="6"/>
        <v>2.6418204700794097E-2</v>
      </c>
      <c r="E243" s="6">
        <v>258.89999999999998</v>
      </c>
      <c r="F243" s="14">
        <f t="shared" si="7"/>
        <v>1.525677604751564E-2</v>
      </c>
    </row>
    <row r="244" spans="2:6" x14ac:dyDescent="0.3">
      <c r="B244" s="5" t="s">
        <v>286</v>
      </c>
      <c r="C244" s="6">
        <v>499.7</v>
      </c>
      <c r="D244" s="14">
        <f t="shared" si="6"/>
        <v>-2.0638073808539815E-2</v>
      </c>
      <c r="E244" s="6">
        <v>258.51</v>
      </c>
      <c r="F244" s="14">
        <f t="shared" si="7"/>
        <v>-1.5075088377067094E-3</v>
      </c>
    </row>
    <row r="245" spans="2:6" x14ac:dyDescent="0.3">
      <c r="B245" s="5" t="s">
        <v>287</v>
      </c>
      <c r="C245" s="6">
        <v>493.95</v>
      </c>
      <c r="D245" s="14">
        <f t="shared" si="6"/>
        <v>-1.1573620859676307E-2</v>
      </c>
      <c r="E245" s="6">
        <v>256.97000000000003</v>
      </c>
      <c r="F245" s="14">
        <f t="shared" si="7"/>
        <v>-5.9750313557287681E-3</v>
      </c>
    </row>
    <row r="246" spans="2:6" x14ac:dyDescent="0.3">
      <c r="B246" s="5" t="s">
        <v>288</v>
      </c>
      <c r="C246" s="6">
        <v>491.65</v>
      </c>
      <c r="D246" s="14">
        <f t="shared" si="6"/>
        <v>-4.6672162643177336E-3</v>
      </c>
      <c r="E246" s="6">
        <v>252.4</v>
      </c>
      <c r="F246" s="14">
        <f t="shared" si="7"/>
        <v>-1.7944215896998249E-2</v>
      </c>
    </row>
    <row r="247" spans="2:6" x14ac:dyDescent="0.3">
      <c r="B247" s="5" t="s">
        <v>289</v>
      </c>
      <c r="C247" s="6">
        <v>492.44</v>
      </c>
      <c r="D247" s="14">
        <f t="shared" si="6"/>
        <v>1.6055445532491355E-3</v>
      </c>
      <c r="E247" s="6">
        <v>251.89</v>
      </c>
      <c r="F247" s="14">
        <f t="shared" si="7"/>
        <v>-2.0226463894651935E-3</v>
      </c>
    </row>
    <row r="248" spans="2:6" x14ac:dyDescent="0.3">
      <c r="B248" s="5" t="s">
        <v>290</v>
      </c>
      <c r="C248" s="6">
        <v>495.63</v>
      </c>
      <c r="D248" s="14">
        <f t="shared" si="6"/>
        <v>6.4570548311953784E-3</v>
      </c>
      <c r="E248" s="6">
        <v>256.77999999999997</v>
      </c>
      <c r="F248" s="14">
        <f t="shared" si="7"/>
        <v>1.9227202885344422E-2</v>
      </c>
    </row>
    <row r="249" spans="2:6" x14ac:dyDescent="0.3">
      <c r="B249" s="5" t="s">
        <v>291</v>
      </c>
      <c r="C249" s="6">
        <v>505.41</v>
      </c>
      <c r="D249" s="14">
        <f t="shared" si="6"/>
        <v>1.954030045561302E-2</v>
      </c>
      <c r="E249" s="6">
        <v>253.54</v>
      </c>
      <c r="F249" s="14">
        <f t="shared" si="7"/>
        <v>-1.2698085652356864E-2</v>
      </c>
    </row>
    <row r="250" spans="2:6" x14ac:dyDescent="0.3">
      <c r="B250" s="5" t="s">
        <v>292</v>
      </c>
      <c r="C250" s="6">
        <v>497.12</v>
      </c>
      <c r="D250" s="14">
        <f t="shared" si="6"/>
        <v>-1.6538535421485118E-2</v>
      </c>
      <c r="E250" s="6">
        <v>248.42</v>
      </c>
      <c r="F250" s="14">
        <f t="shared" si="7"/>
        <v>-2.0400739394532959E-2</v>
      </c>
    </row>
    <row r="251" spans="2:6" x14ac:dyDescent="0.3">
      <c r="B251" s="5" t="s">
        <v>293</v>
      </c>
      <c r="C251" s="6">
        <v>490.3</v>
      </c>
      <c r="D251" s="14">
        <f t="shared" si="6"/>
        <v>-1.3813996987549643E-2</v>
      </c>
      <c r="E251" s="6">
        <v>245.96</v>
      </c>
      <c r="F251" s="14">
        <f t="shared" si="7"/>
        <v>-9.9519410307786719E-3</v>
      </c>
    </row>
    <row r="252" spans="2:6" x14ac:dyDescent="0.3">
      <c r="B252" s="5" t="s">
        <v>294</v>
      </c>
      <c r="C252" s="6">
        <v>497.75</v>
      </c>
      <c r="D252" s="14">
        <f t="shared" si="6"/>
        <v>1.5080494287118183E-2</v>
      </c>
      <c r="E252" s="6">
        <v>251.19</v>
      </c>
      <c r="F252" s="14">
        <f t="shared" si="7"/>
        <v>2.1040703799181212E-2</v>
      </c>
    </row>
    <row r="253" spans="2:6" x14ac:dyDescent="0.3">
      <c r="B253" s="5" t="s">
        <v>295</v>
      </c>
      <c r="C253" s="6">
        <v>493.78</v>
      </c>
      <c r="D253" s="14">
        <f t="shared" si="6"/>
        <v>-8.0078690810865428E-3</v>
      </c>
      <c r="E253" s="6">
        <v>253.71</v>
      </c>
      <c r="F253" s="14">
        <f t="shared" si="7"/>
        <v>9.9822575777904141E-3</v>
      </c>
    </row>
    <row r="254" spans="2:6" x14ac:dyDescent="0.3">
      <c r="B254" s="5" t="s">
        <v>296</v>
      </c>
      <c r="C254" s="6">
        <v>501.61</v>
      </c>
      <c r="D254" s="14">
        <f t="shared" si="6"/>
        <v>1.5732851460915083E-2</v>
      </c>
      <c r="E254" s="6">
        <v>258.45</v>
      </c>
      <c r="F254" s="14">
        <f t="shared" si="7"/>
        <v>1.8510369179807609E-2</v>
      </c>
    </row>
  </sheetData>
  <mergeCells count="24">
    <mergeCell ref="H69:J72"/>
    <mergeCell ref="H43:J43"/>
    <mergeCell ref="P2:V2"/>
    <mergeCell ref="L51:L56"/>
    <mergeCell ref="L37:N37"/>
    <mergeCell ref="P7:V7"/>
    <mergeCell ref="L39:L44"/>
    <mergeCell ref="L45:L50"/>
    <mergeCell ref="L36:N36"/>
    <mergeCell ref="L29:L34"/>
    <mergeCell ref="H39:J42"/>
    <mergeCell ref="H2:J2"/>
    <mergeCell ref="P19:V34"/>
    <mergeCell ref="B2:F2"/>
    <mergeCell ref="H13:J13"/>
    <mergeCell ref="H12:J12"/>
    <mergeCell ref="L23:L28"/>
    <mergeCell ref="L2:M2"/>
    <mergeCell ref="L15:N15"/>
    <mergeCell ref="P13:V13"/>
    <mergeCell ref="L17:L22"/>
    <mergeCell ref="L14:N14"/>
    <mergeCell ref="P18:V18"/>
    <mergeCell ref="L8:N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CORNISH FISHER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Geovany Bramanthya Samuel Sihombing</cp:lastModifiedBy>
  <dcterms:created xsi:type="dcterms:W3CDTF">2026-09-29T05:03:13Z</dcterms:created>
  <dcterms:modified xsi:type="dcterms:W3CDTF">2026-09-29T05:03:25Z</dcterms:modified>
</cp:coreProperties>
</file>