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ova\.gemini\antigravity\scratch\"/>
    </mc:Choice>
  </mc:AlternateContent>
  <xr:revisionPtr revIDLastSave="0" documentId="8_{B5125ADA-A18C-4C3F-9CE6-D683CA30C3B5}" xr6:coauthVersionLast="47" xr6:coauthVersionMax="47" xr10:uidLastSave="{00000000-0000-0000-0000-000000000000}"/>
  <bookViews>
    <workbookView xWindow="-120" yWindow="-120" windowWidth="29040" windowHeight="16440" xr2:uid="{CC7AC7C9-A6DD-4633-868D-3CCBAB068907}"/>
  </bookViews>
  <sheets>
    <sheet name="TUGAS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5" i="1" l="1"/>
  <c r="C265" i="1"/>
  <c r="L264" i="1"/>
  <c r="C264" i="1"/>
  <c r="L263" i="1"/>
  <c r="C263" i="1"/>
  <c r="L262" i="1"/>
  <c r="C262" i="1"/>
  <c r="L261" i="1"/>
  <c r="C261" i="1"/>
  <c r="L260" i="1"/>
  <c r="C260" i="1"/>
  <c r="L259" i="1"/>
  <c r="C259" i="1"/>
  <c r="L258" i="1"/>
  <c r="C258" i="1"/>
  <c r="L257" i="1"/>
  <c r="C257" i="1"/>
  <c r="L256" i="1"/>
  <c r="C256" i="1"/>
  <c r="L255" i="1"/>
  <c r="C255" i="1"/>
  <c r="L254" i="1"/>
  <c r="C254" i="1"/>
  <c r="L253" i="1"/>
  <c r="C253" i="1"/>
  <c r="L252" i="1"/>
  <c r="C252" i="1"/>
  <c r="L251" i="1"/>
  <c r="C251" i="1"/>
  <c r="L250" i="1"/>
  <c r="C250" i="1"/>
  <c r="L249" i="1"/>
  <c r="C249" i="1"/>
  <c r="L248" i="1"/>
  <c r="C248" i="1"/>
  <c r="L247" i="1"/>
  <c r="C247" i="1"/>
  <c r="L246" i="1"/>
  <c r="C246" i="1"/>
  <c r="L245" i="1"/>
  <c r="C245" i="1"/>
  <c r="L244" i="1"/>
  <c r="C244" i="1"/>
  <c r="L243" i="1"/>
  <c r="C243" i="1"/>
  <c r="L242" i="1"/>
  <c r="C242" i="1"/>
  <c r="L241" i="1"/>
  <c r="C241" i="1"/>
  <c r="L240" i="1"/>
  <c r="C240" i="1"/>
  <c r="L239" i="1"/>
  <c r="C239" i="1"/>
  <c r="L238" i="1"/>
  <c r="C238" i="1"/>
  <c r="L237" i="1"/>
  <c r="C237" i="1"/>
  <c r="L236" i="1"/>
  <c r="C236" i="1"/>
  <c r="L235" i="1"/>
  <c r="C235" i="1"/>
  <c r="L234" i="1"/>
  <c r="C234" i="1"/>
  <c r="L233" i="1"/>
  <c r="C233" i="1"/>
  <c r="L232" i="1"/>
  <c r="C232" i="1"/>
  <c r="L231" i="1"/>
  <c r="C231" i="1"/>
  <c r="L230" i="1"/>
  <c r="C230" i="1"/>
  <c r="L229" i="1"/>
  <c r="C229" i="1"/>
  <c r="L228" i="1"/>
  <c r="C228" i="1"/>
  <c r="L227" i="1"/>
  <c r="C227" i="1"/>
  <c r="L226" i="1"/>
  <c r="C226" i="1"/>
  <c r="L225" i="1"/>
  <c r="C225" i="1"/>
  <c r="L224" i="1"/>
  <c r="C224" i="1"/>
  <c r="L223" i="1"/>
  <c r="C223" i="1"/>
  <c r="L222" i="1"/>
  <c r="C222" i="1"/>
  <c r="L221" i="1"/>
  <c r="C221" i="1"/>
  <c r="L220" i="1"/>
  <c r="C220" i="1"/>
  <c r="L219" i="1"/>
  <c r="C219" i="1"/>
  <c r="L218" i="1"/>
  <c r="C218" i="1"/>
  <c r="L217" i="1"/>
  <c r="C217" i="1"/>
  <c r="L216" i="1"/>
  <c r="C216" i="1"/>
  <c r="L215" i="1"/>
  <c r="C215" i="1"/>
  <c r="L214" i="1"/>
  <c r="C214" i="1"/>
  <c r="L213" i="1"/>
  <c r="C213" i="1"/>
  <c r="L212" i="1"/>
  <c r="C212" i="1"/>
  <c r="L211" i="1"/>
  <c r="C211" i="1"/>
  <c r="L210" i="1"/>
  <c r="C210" i="1"/>
  <c r="L209" i="1"/>
  <c r="C209" i="1"/>
  <c r="L208" i="1"/>
  <c r="C208" i="1"/>
  <c r="L207" i="1"/>
  <c r="C207" i="1"/>
  <c r="L206" i="1"/>
  <c r="C206" i="1"/>
  <c r="L205" i="1"/>
  <c r="C205" i="1"/>
  <c r="L204" i="1"/>
  <c r="C204" i="1"/>
  <c r="L203" i="1"/>
  <c r="C203" i="1"/>
  <c r="L202" i="1"/>
  <c r="C202" i="1"/>
  <c r="L201" i="1"/>
  <c r="C201" i="1"/>
  <c r="L200" i="1"/>
  <c r="C200" i="1"/>
  <c r="L199" i="1"/>
  <c r="C199" i="1"/>
  <c r="L198" i="1"/>
  <c r="C198" i="1"/>
  <c r="L197" i="1"/>
  <c r="C197" i="1"/>
  <c r="L196" i="1"/>
  <c r="C196" i="1"/>
  <c r="L195" i="1"/>
  <c r="C195" i="1"/>
  <c r="L194" i="1"/>
  <c r="C194" i="1"/>
  <c r="L193" i="1"/>
  <c r="C193" i="1"/>
  <c r="L192" i="1"/>
  <c r="C192" i="1"/>
  <c r="L191" i="1"/>
  <c r="C191" i="1"/>
  <c r="L190" i="1"/>
  <c r="C190" i="1"/>
  <c r="L189" i="1"/>
  <c r="C189" i="1"/>
  <c r="L188" i="1"/>
  <c r="C188" i="1"/>
  <c r="L187" i="1"/>
  <c r="C187" i="1"/>
  <c r="L186" i="1"/>
  <c r="C186" i="1"/>
  <c r="L185" i="1"/>
  <c r="C185" i="1"/>
  <c r="L184" i="1"/>
  <c r="C184" i="1"/>
  <c r="L183" i="1"/>
  <c r="C183" i="1"/>
  <c r="L182" i="1"/>
  <c r="C182" i="1"/>
  <c r="L181" i="1"/>
  <c r="C181" i="1"/>
  <c r="L180" i="1"/>
  <c r="C180" i="1"/>
  <c r="L179" i="1"/>
  <c r="C179" i="1"/>
  <c r="L178" i="1"/>
  <c r="C178" i="1"/>
  <c r="L177" i="1"/>
  <c r="C177" i="1"/>
  <c r="L176" i="1"/>
  <c r="C176" i="1"/>
  <c r="L175" i="1"/>
  <c r="C175" i="1"/>
  <c r="L174" i="1"/>
  <c r="C174" i="1"/>
  <c r="L173" i="1"/>
  <c r="C173" i="1"/>
  <c r="L172" i="1"/>
  <c r="C172" i="1"/>
  <c r="L171" i="1"/>
  <c r="C171" i="1"/>
  <c r="L170" i="1"/>
  <c r="C170" i="1"/>
  <c r="L169" i="1"/>
  <c r="C169" i="1"/>
  <c r="L168" i="1"/>
  <c r="C168" i="1"/>
  <c r="L167" i="1"/>
  <c r="C167" i="1"/>
  <c r="L166" i="1"/>
  <c r="C166" i="1"/>
  <c r="L165" i="1"/>
  <c r="C165" i="1"/>
  <c r="L164" i="1"/>
  <c r="C164" i="1"/>
  <c r="L163" i="1"/>
  <c r="C163" i="1"/>
  <c r="L162" i="1"/>
  <c r="C162" i="1"/>
  <c r="L161" i="1"/>
  <c r="C161" i="1"/>
  <c r="L160" i="1"/>
  <c r="C160" i="1"/>
  <c r="L159" i="1"/>
  <c r="C159" i="1"/>
  <c r="L158" i="1"/>
  <c r="C158" i="1"/>
  <c r="L157" i="1"/>
  <c r="C157" i="1"/>
  <c r="L156" i="1"/>
  <c r="C156" i="1"/>
  <c r="L155" i="1"/>
  <c r="C155" i="1"/>
  <c r="L154" i="1"/>
  <c r="C154" i="1"/>
  <c r="L153" i="1"/>
  <c r="C153" i="1"/>
  <c r="L152" i="1"/>
  <c r="C152" i="1"/>
  <c r="L151" i="1"/>
  <c r="C151" i="1"/>
  <c r="L150" i="1"/>
  <c r="C150" i="1"/>
  <c r="L149" i="1"/>
  <c r="C149" i="1"/>
  <c r="L148" i="1"/>
  <c r="C148" i="1"/>
  <c r="L147" i="1"/>
  <c r="C147" i="1"/>
  <c r="L146" i="1"/>
  <c r="C146" i="1"/>
  <c r="L145" i="1"/>
  <c r="C145" i="1"/>
  <c r="L144" i="1"/>
  <c r="C144" i="1"/>
  <c r="L143" i="1"/>
  <c r="C143" i="1"/>
  <c r="L142" i="1"/>
  <c r="C142" i="1"/>
  <c r="L141" i="1"/>
  <c r="C141" i="1"/>
  <c r="L140" i="1"/>
  <c r="C140" i="1"/>
  <c r="L139" i="1"/>
  <c r="C139" i="1"/>
  <c r="L138" i="1"/>
  <c r="C138" i="1"/>
  <c r="L137" i="1"/>
  <c r="C137" i="1"/>
  <c r="L136" i="1"/>
  <c r="C136" i="1"/>
  <c r="L135" i="1"/>
  <c r="C135" i="1"/>
  <c r="L134" i="1"/>
  <c r="C134" i="1"/>
  <c r="L133" i="1"/>
  <c r="C133" i="1"/>
  <c r="L132" i="1"/>
  <c r="C132" i="1"/>
  <c r="L131" i="1"/>
  <c r="C131" i="1"/>
  <c r="L130" i="1"/>
  <c r="C130" i="1"/>
  <c r="L129" i="1"/>
  <c r="C129" i="1"/>
  <c r="L128" i="1"/>
  <c r="C128" i="1"/>
  <c r="L127" i="1"/>
  <c r="C127" i="1"/>
  <c r="L126" i="1"/>
  <c r="C126" i="1"/>
  <c r="L125" i="1"/>
  <c r="C125" i="1"/>
  <c r="L124" i="1"/>
  <c r="C124" i="1"/>
  <c r="L123" i="1"/>
  <c r="C123" i="1"/>
  <c r="L122" i="1"/>
  <c r="C122" i="1"/>
  <c r="L121" i="1"/>
  <c r="C121" i="1"/>
  <c r="L120" i="1"/>
  <c r="C120" i="1"/>
  <c r="L119" i="1"/>
  <c r="C119" i="1"/>
  <c r="L118" i="1"/>
  <c r="C118" i="1"/>
  <c r="L117" i="1"/>
  <c r="C117" i="1"/>
  <c r="L116" i="1"/>
  <c r="C116" i="1"/>
  <c r="L115" i="1"/>
  <c r="C115" i="1"/>
  <c r="L114" i="1"/>
  <c r="C114" i="1"/>
  <c r="L113" i="1"/>
  <c r="C113" i="1"/>
  <c r="L112" i="1"/>
  <c r="C112" i="1"/>
  <c r="L111" i="1"/>
  <c r="C111" i="1"/>
  <c r="L110" i="1"/>
  <c r="C110" i="1"/>
  <c r="L109" i="1"/>
  <c r="C109" i="1"/>
  <c r="L108" i="1"/>
  <c r="C108" i="1"/>
  <c r="L107" i="1"/>
  <c r="C107" i="1"/>
  <c r="L106" i="1"/>
  <c r="C106" i="1"/>
  <c r="L105" i="1"/>
  <c r="C105" i="1"/>
  <c r="L104" i="1"/>
  <c r="C104" i="1"/>
  <c r="L103" i="1"/>
  <c r="C103" i="1"/>
  <c r="L102" i="1"/>
  <c r="C102" i="1"/>
  <c r="L101" i="1"/>
  <c r="C101" i="1"/>
  <c r="L100" i="1"/>
  <c r="C100" i="1"/>
  <c r="L99" i="1"/>
  <c r="C99" i="1"/>
  <c r="L98" i="1"/>
  <c r="C98" i="1"/>
  <c r="L97" i="1"/>
  <c r="C97" i="1"/>
  <c r="L96" i="1"/>
  <c r="C96" i="1"/>
  <c r="L95" i="1"/>
  <c r="C95" i="1"/>
  <c r="L94" i="1"/>
  <c r="C94" i="1"/>
  <c r="L93" i="1"/>
  <c r="C93" i="1"/>
  <c r="L92" i="1"/>
  <c r="C92" i="1"/>
  <c r="L91" i="1"/>
  <c r="C91" i="1"/>
  <c r="L90" i="1"/>
  <c r="C90" i="1"/>
  <c r="L89" i="1"/>
  <c r="C89" i="1"/>
  <c r="L88" i="1"/>
  <c r="C88" i="1"/>
  <c r="L87" i="1"/>
  <c r="C87" i="1"/>
  <c r="L86" i="1"/>
  <c r="C86" i="1"/>
  <c r="L85" i="1"/>
  <c r="C85" i="1"/>
  <c r="L84" i="1"/>
  <c r="C84" i="1"/>
  <c r="L83" i="1"/>
  <c r="C83" i="1"/>
  <c r="L82" i="1"/>
  <c r="C82" i="1"/>
  <c r="L81" i="1"/>
  <c r="C81" i="1"/>
  <c r="L80" i="1"/>
  <c r="C80" i="1"/>
  <c r="L79" i="1"/>
  <c r="C79" i="1"/>
  <c r="L78" i="1"/>
  <c r="C78" i="1"/>
  <c r="L77" i="1"/>
  <c r="C77" i="1"/>
  <c r="L76" i="1"/>
  <c r="C76" i="1"/>
  <c r="L75" i="1"/>
  <c r="C75" i="1"/>
  <c r="L74" i="1"/>
  <c r="C74" i="1"/>
  <c r="L73" i="1"/>
  <c r="C73" i="1"/>
  <c r="L72" i="1"/>
  <c r="C72" i="1"/>
  <c r="L71" i="1"/>
  <c r="C71" i="1"/>
  <c r="L70" i="1"/>
  <c r="C70" i="1"/>
  <c r="L69" i="1"/>
  <c r="C69" i="1"/>
  <c r="L68" i="1"/>
  <c r="C68" i="1"/>
  <c r="L67" i="1"/>
  <c r="C67" i="1"/>
  <c r="L66" i="1"/>
  <c r="C66" i="1"/>
  <c r="L65" i="1"/>
  <c r="C65" i="1"/>
  <c r="L64" i="1"/>
  <c r="C64" i="1"/>
  <c r="L63" i="1"/>
  <c r="C63" i="1"/>
  <c r="L62" i="1"/>
  <c r="C62" i="1"/>
  <c r="L61" i="1"/>
  <c r="C61" i="1"/>
  <c r="L60" i="1"/>
  <c r="C60" i="1"/>
  <c r="L59" i="1"/>
  <c r="C59" i="1"/>
  <c r="L58" i="1"/>
  <c r="C58" i="1"/>
  <c r="L57" i="1"/>
  <c r="C57" i="1"/>
  <c r="L56" i="1"/>
  <c r="C56" i="1"/>
  <c r="L55" i="1"/>
  <c r="C55" i="1"/>
  <c r="L54" i="1"/>
  <c r="C54" i="1"/>
  <c r="L53" i="1"/>
  <c r="C53" i="1"/>
  <c r="L52" i="1"/>
  <c r="C52" i="1"/>
  <c r="L51" i="1"/>
  <c r="C51" i="1"/>
  <c r="L50" i="1"/>
  <c r="C50" i="1"/>
  <c r="L49" i="1"/>
  <c r="C49" i="1"/>
  <c r="L48" i="1"/>
  <c r="C48" i="1"/>
  <c r="L47" i="1"/>
  <c r="C47" i="1"/>
  <c r="L46" i="1"/>
  <c r="C46" i="1"/>
  <c r="L45" i="1"/>
  <c r="C45" i="1"/>
  <c r="L44" i="1"/>
  <c r="C44" i="1"/>
  <c r="L43" i="1"/>
  <c r="C43" i="1"/>
  <c r="L42" i="1"/>
  <c r="C42" i="1"/>
  <c r="L41" i="1"/>
  <c r="C41" i="1"/>
  <c r="L40" i="1"/>
  <c r="C40" i="1"/>
  <c r="L39" i="1"/>
  <c r="C39" i="1"/>
  <c r="L38" i="1"/>
  <c r="C38" i="1"/>
  <c r="L37" i="1"/>
  <c r="C37" i="1"/>
  <c r="L36" i="1"/>
  <c r="C36" i="1"/>
  <c r="L35" i="1"/>
  <c r="C35" i="1"/>
  <c r="L34" i="1"/>
  <c r="C34" i="1"/>
  <c r="L33" i="1"/>
  <c r="C33" i="1"/>
  <c r="L32" i="1"/>
  <c r="C32" i="1"/>
  <c r="L31" i="1"/>
  <c r="C31" i="1"/>
  <c r="L30" i="1"/>
  <c r="C30" i="1"/>
  <c r="L29" i="1"/>
  <c r="C29" i="1"/>
  <c r="L28" i="1"/>
  <c r="C28" i="1"/>
  <c r="L27" i="1"/>
  <c r="C27" i="1"/>
  <c r="L26" i="1"/>
  <c r="C26" i="1"/>
  <c r="L25" i="1"/>
  <c r="C25" i="1"/>
  <c r="L24" i="1"/>
  <c r="C24" i="1"/>
  <c r="L23" i="1"/>
  <c r="C23" i="1"/>
  <c r="L22" i="1"/>
  <c r="C22" i="1"/>
  <c r="L21" i="1"/>
  <c r="C21" i="1"/>
  <c r="L20" i="1"/>
  <c r="C20" i="1"/>
  <c r="L19" i="1"/>
  <c r="C19" i="1"/>
  <c r="L18" i="1"/>
  <c r="C18" i="1"/>
  <c r="L17" i="1"/>
  <c r="C17" i="1"/>
  <c r="L16" i="1"/>
  <c r="C16" i="1"/>
  <c r="L8" i="1"/>
  <c r="C8" i="1"/>
  <c r="L5" i="1"/>
  <c r="C5" i="1"/>
  <c r="C7" i="1" l="1"/>
  <c r="L7" i="1"/>
  <c r="L6" i="1"/>
  <c r="C6" i="1"/>
  <c r="F263" i="1" l="1"/>
  <c r="F259" i="1"/>
  <c r="F255" i="1"/>
  <c r="F251" i="1"/>
  <c r="F247" i="1"/>
  <c r="F243" i="1"/>
  <c r="F239" i="1"/>
  <c r="F235" i="1"/>
  <c r="F231" i="1"/>
  <c r="F227" i="1"/>
  <c r="F223" i="1"/>
  <c r="F219" i="1"/>
  <c r="F215" i="1"/>
  <c r="F211" i="1"/>
  <c r="F207" i="1"/>
  <c r="F203" i="1"/>
  <c r="F199" i="1"/>
  <c r="F195" i="1"/>
  <c r="F191" i="1"/>
  <c r="F187" i="1"/>
  <c r="F183" i="1"/>
  <c r="F179" i="1"/>
  <c r="F175" i="1"/>
  <c r="F171" i="1"/>
  <c r="F167" i="1"/>
  <c r="F163" i="1"/>
  <c r="F159" i="1"/>
  <c r="F155" i="1"/>
  <c r="F264" i="1"/>
  <c r="F260" i="1"/>
  <c r="F256" i="1"/>
  <c r="F252" i="1"/>
  <c r="F248" i="1"/>
  <c r="F244" i="1"/>
  <c r="F240" i="1"/>
  <c r="F236" i="1"/>
  <c r="F232" i="1"/>
  <c r="F228" i="1"/>
  <c r="F224" i="1"/>
  <c r="F220" i="1"/>
  <c r="F216" i="1"/>
  <c r="F212" i="1"/>
  <c r="F208" i="1"/>
  <c r="F204" i="1"/>
  <c r="F200" i="1"/>
  <c r="F196" i="1"/>
  <c r="F192" i="1"/>
  <c r="F188" i="1"/>
  <c r="F184" i="1"/>
  <c r="F180" i="1"/>
  <c r="F176" i="1"/>
  <c r="F172" i="1"/>
  <c r="F168" i="1"/>
  <c r="F164" i="1"/>
  <c r="F160" i="1"/>
  <c r="F156" i="1"/>
  <c r="E264" i="1"/>
  <c r="E260" i="1"/>
  <c r="E256" i="1"/>
  <c r="E252" i="1"/>
  <c r="E248" i="1"/>
  <c r="E244" i="1"/>
  <c r="E240" i="1"/>
  <c r="E236" i="1"/>
  <c r="E232" i="1"/>
  <c r="E228" i="1"/>
  <c r="E224" i="1"/>
  <c r="E220" i="1"/>
  <c r="E216" i="1"/>
  <c r="E212" i="1"/>
  <c r="H265" i="1"/>
  <c r="D264" i="1"/>
  <c r="H261" i="1"/>
  <c r="D260" i="1"/>
  <c r="H257" i="1"/>
  <c r="D256" i="1"/>
  <c r="H253" i="1"/>
  <c r="D252" i="1"/>
  <c r="H249" i="1"/>
  <c r="D248" i="1"/>
  <c r="D265" i="1"/>
  <c r="H262" i="1"/>
  <c r="D261" i="1"/>
  <c r="H258" i="1"/>
  <c r="D257" i="1"/>
  <c r="H254" i="1"/>
  <c r="D253" i="1"/>
  <c r="H250" i="1"/>
  <c r="D249" i="1"/>
  <c r="H246" i="1"/>
  <c r="D245" i="1"/>
  <c r="H242" i="1"/>
  <c r="D241" i="1"/>
  <c r="H238" i="1"/>
  <c r="D237" i="1"/>
  <c r="H234" i="1"/>
  <c r="D233" i="1"/>
  <c r="H230" i="1"/>
  <c r="D229" i="1"/>
  <c r="H226" i="1"/>
  <c r="D225" i="1"/>
  <c r="H222" i="1"/>
  <c r="D221" i="1"/>
  <c r="H218" i="1"/>
  <c r="D217" i="1"/>
  <c r="H214" i="1"/>
  <c r="D213" i="1"/>
  <c r="H210" i="1"/>
  <c r="D209" i="1"/>
  <c r="H206" i="1"/>
  <c r="D205" i="1"/>
  <c r="H202" i="1"/>
  <c r="D201" i="1"/>
  <c r="H198" i="1"/>
  <c r="D197" i="1"/>
  <c r="H194" i="1"/>
  <c r="D193" i="1"/>
  <c r="H190" i="1"/>
  <c r="D189" i="1"/>
  <c r="H186" i="1"/>
  <c r="D262" i="1"/>
  <c r="G260" i="1"/>
  <c r="F258" i="1"/>
  <c r="D247" i="1"/>
  <c r="F245" i="1"/>
  <c r="F238" i="1"/>
  <c r="E233" i="1"/>
  <c r="H231" i="1"/>
  <c r="E226" i="1"/>
  <c r="G219" i="1"/>
  <c r="D214" i="1"/>
  <c r="H212" i="1"/>
  <c r="G207" i="1"/>
  <c r="G202" i="1"/>
  <c r="D199" i="1"/>
  <c r="H197" i="1"/>
  <c r="E194" i="1"/>
  <c r="F189" i="1"/>
  <c r="H184" i="1"/>
  <c r="G181" i="1"/>
  <c r="G178" i="1"/>
  <c r="G175" i="1"/>
  <c r="E172" i="1"/>
  <c r="E169" i="1"/>
  <c r="E166" i="1"/>
  <c r="D163" i="1"/>
  <c r="E151" i="1"/>
  <c r="E147" i="1"/>
  <c r="E143" i="1"/>
  <c r="E139" i="1"/>
  <c r="E135" i="1"/>
  <c r="E131" i="1"/>
  <c r="E127" i="1"/>
  <c r="E123" i="1"/>
  <c r="E119" i="1"/>
  <c r="E115" i="1"/>
  <c r="E111" i="1"/>
  <c r="E107" i="1"/>
  <c r="E103" i="1"/>
  <c r="E99" i="1"/>
  <c r="E95" i="1"/>
  <c r="E91" i="1"/>
  <c r="E87" i="1"/>
  <c r="E258" i="1"/>
  <c r="H256" i="1"/>
  <c r="G254" i="1"/>
  <c r="E245" i="1"/>
  <c r="H243" i="1"/>
  <c r="E238" i="1"/>
  <c r="G231" i="1"/>
  <c r="D226" i="1"/>
  <c r="H224" i="1"/>
  <c r="E219" i="1"/>
  <c r="H217" i="1"/>
  <c r="G212" i="1"/>
  <c r="E207" i="1"/>
  <c r="F202" i="1"/>
  <c r="G197" i="1"/>
  <c r="D194" i="1"/>
  <c r="H192" i="1"/>
  <c r="E189" i="1"/>
  <c r="G184" i="1"/>
  <c r="F181" i="1"/>
  <c r="F178" i="1"/>
  <c r="E175" i="1"/>
  <c r="D172" i="1"/>
  <c r="D169" i="1"/>
  <c r="D166" i="1"/>
  <c r="H161" i="1"/>
  <c r="H158" i="1"/>
  <c r="H155" i="1"/>
  <c r="H152" i="1"/>
  <c r="D151" i="1"/>
  <c r="H148" i="1"/>
  <c r="D147" i="1"/>
  <c r="H144" i="1"/>
  <c r="D143" i="1"/>
  <c r="H140" i="1"/>
  <c r="D139" i="1"/>
  <c r="H136" i="1"/>
  <c r="D135" i="1"/>
  <c r="H132" i="1"/>
  <c r="D131" i="1"/>
  <c r="D258" i="1"/>
  <c r="G256" i="1"/>
  <c r="F254" i="1"/>
  <c r="G265" i="1"/>
  <c r="D254" i="1"/>
  <c r="G252" i="1"/>
  <c r="F250" i="1"/>
  <c r="D243" i="1"/>
  <c r="G241" i="1"/>
  <c r="D236" i="1"/>
  <c r="G234" i="1"/>
  <c r="F229" i="1"/>
  <c r="F222" i="1"/>
  <c r="E217" i="1"/>
  <c r="H215" i="1"/>
  <c r="E210" i="1"/>
  <c r="F205" i="1"/>
  <c r="G200" i="1"/>
  <c r="H195" i="1"/>
  <c r="D192" i="1"/>
  <c r="F265" i="1"/>
  <c r="G258" i="1"/>
  <c r="G251" i="1"/>
  <c r="H236" i="1"/>
  <c r="E234" i="1"/>
  <c r="G232" i="1"/>
  <c r="F230" i="1"/>
  <c r="H228" i="1"/>
  <c r="G226" i="1"/>
  <c r="G224" i="1"/>
  <c r="E222" i="1"/>
  <c r="G220" i="1"/>
  <c r="E218" i="1"/>
  <c r="G216" i="1"/>
  <c r="E214" i="1"/>
  <c r="D208" i="1"/>
  <c r="E206" i="1"/>
  <c r="G204" i="1"/>
  <c r="H200" i="1"/>
  <c r="D187" i="1"/>
  <c r="G185" i="1"/>
  <c r="E180" i="1"/>
  <c r="E173" i="1"/>
  <c r="G166" i="1"/>
  <c r="F161" i="1"/>
  <c r="D158" i="1"/>
  <c r="H156" i="1"/>
  <c r="E153" i="1"/>
  <c r="F150" i="1"/>
  <c r="G147" i="1"/>
  <c r="F144" i="1"/>
  <c r="F141" i="1"/>
  <c r="G138" i="1"/>
  <c r="H135" i="1"/>
  <c r="G132" i="1"/>
  <c r="G129" i="1"/>
  <c r="E125" i="1"/>
  <c r="H122" i="1"/>
  <c r="F118" i="1"/>
  <c r="D114" i="1"/>
  <c r="G111" i="1"/>
  <c r="D107" i="1"/>
  <c r="G104" i="1"/>
  <c r="E100" i="1"/>
  <c r="G97" i="1"/>
  <c r="E93" i="1"/>
  <c r="H90" i="1"/>
  <c r="F86" i="1"/>
  <c r="F82" i="1"/>
  <c r="F253" i="1"/>
  <c r="D251" i="1"/>
  <c r="F246" i="1"/>
  <c r="G244" i="1"/>
  <c r="F242" i="1"/>
  <c r="G240" i="1"/>
  <c r="D238" i="1"/>
  <c r="D230" i="1"/>
  <c r="D228" i="1"/>
  <c r="D204" i="1"/>
  <c r="D202" i="1"/>
  <c r="D200" i="1"/>
  <c r="F198" i="1"/>
  <c r="H196" i="1"/>
  <c r="E185" i="1"/>
  <c r="E178" i="1"/>
  <c r="H176" i="1"/>
  <c r="G171" i="1"/>
  <c r="G164" i="1"/>
  <c r="D161" i="1"/>
  <c r="E156" i="1"/>
  <c r="D150" i="1"/>
  <c r="D144" i="1"/>
  <c r="D141" i="1"/>
  <c r="E138" i="1"/>
  <c r="F135" i="1"/>
  <c r="E132" i="1"/>
  <c r="E129" i="1"/>
  <c r="H126" i="1"/>
  <c r="F122" i="1"/>
  <c r="D118" i="1"/>
  <c r="G115" i="1"/>
  <c r="D111" i="1"/>
  <c r="G108" i="1"/>
  <c r="E104" i="1"/>
  <c r="G101" i="1"/>
  <c r="E97" i="1"/>
  <c r="H94" i="1"/>
  <c r="F90" i="1"/>
  <c r="D86" i="1"/>
  <c r="H83" i="1"/>
  <c r="D82" i="1"/>
  <c r="H79" i="1"/>
  <c r="D78" i="1"/>
  <c r="H75" i="1"/>
  <c r="D74" i="1"/>
  <c r="F262" i="1"/>
  <c r="G257" i="1"/>
  <c r="E255" i="1"/>
  <c r="G250" i="1"/>
  <c r="H213" i="1"/>
  <c r="H211" i="1"/>
  <c r="H209" i="1"/>
  <c r="D196" i="1"/>
  <c r="E190" i="1"/>
  <c r="G188" i="1"/>
  <c r="E183" i="1"/>
  <c r="H181" i="1"/>
  <c r="D176" i="1"/>
  <c r="H174" i="1"/>
  <c r="H264" i="1"/>
  <c r="H259" i="1"/>
  <c r="G261" i="1"/>
  <c r="E259" i="1"/>
  <c r="H245" i="1"/>
  <c r="G243" i="1"/>
  <c r="E241" i="1"/>
  <c r="E239" i="1"/>
  <c r="E237" i="1"/>
  <c r="E235" i="1"/>
  <c r="D227" i="1"/>
  <c r="E223" i="1"/>
  <c r="E221" i="1"/>
  <c r="D203" i="1"/>
  <c r="F201" i="1"/>
  <c r="G199" i="1"/>
  <c r="F197" i="1"/>
  <c r="G195" i="1"/>
  <c r="G193" i="1"/>
  <c r="D186" i="1"/>
  <c r="E184" i="1"/>
  <c r="D179" i="1"/>
  <c r="G177" i="1"/>
  <c r="G259" i="1"/>
  <c r="E250" i="1"/>
  <c r="G238" i="1"/>
  <c r="F233" i="1"/>
  <c r="G221" i="1"/>
  <c r="G211" i="1"/>
  <c r="G206" i="1"/>
  <c r="E204" i="1"/>
  <c r="E199" i="1"/>
  <c r="E192" i="1"/>
  <c r="D190" i="1"/>
  <c r="H185" i="1"/>
  <c r="G183" i="1"/>
  <c r="D181" i="1"/>
  <c r="D165" i="1"/>
  <c r="H163" i="1"/>
  <c r="E154" i="1"/>
  <c r="D149" i="1"/>
  <c r="E144" i="1"/>
  <c r="H142" i="1"/>
  <c r="G137" i="1"/>
  <c r="D134" i="1"/>
  <c r="F132" i="1"/>
  <c r="H127" i="1"/>
  <c r="G124" i="1"/>
  <c r="E121" i="1"/>
  <c r="E118" i="1"/>
  <c r="H113" i="1"/>
  <c r="H110" i="1"/>
  <c r="H107" i="1"/>
  <c r="F104" i="1"/>
  <c r="D101" i="1"/>
  <c r="D98" i="1"/>
  <c r="H93" i="1"/>
  <c r="G90" i="1"/>
  <c r="G87" i="1"/>
  <c r="F84" i="1"/>
  <c r="F81" i="1"/>
  <c r="H78" i="1"/>
  <c r="E74" i="1"/>
  <c r="H71" i="1"/>
  <c r="D70" i="1"/>
  <c r="H67" i="1"/>
  <c r="D66" i="1"/>
  <c r="H63" i="1"/>
  <c r="D62" i="1"/>
  <c r="H59" i="1"/>
  <c r="D58" i="1"/>
  <c r="H55" i="1"/>
  <c r="D54" i="1"/>
  <c r="H51" i="1"/>
  <c r="D50" i="1"/>
  <c r="E265" i="1"/>
  <c r="G262" i="1"/>
  <c r="D259" i="1"/>
  <c r="G253" i="1"/>
  <c r="D250" i="1"/>
  <c r="F221" i="1"/>
  <c r="H216" i="1"/>
  <c r="E211" i="1"/>
  <c r="F206" i="1"/>
  <c r="G194" i="1"/>
  <c r="F185" i="1"/>
  <c r="D183" i="1"/>
  <c r="G174" i="1"/>
  <c r="H172" i="1"/>
  <c r="H170" i="1"/>
  <c r="G163" i="1"/>
  <c r="G161" i="1"/>
  <c r="D154" i="1"/>
  <c r="G152" i="1"/>
  <c r="H147" i="1"/>
  <c r="G142" i="1"/>
  <c r="F137" i="1"/>
  <c r="D132" i="1"/>
  <c r="H130" i="1"/>
  <c r="G127" i="1"/>
  <c r="F124" i="1"/>
  <c r="D121" i="1"/>
  <c r="H116" i="1"/>
  <c r="G113" i="1"/>
  <c r="G110" i="1"/>
  <c r="G107" i="1"/>
  <c r="D104" i="1"/>
  <c r="H96" i="1"/>
  <c r="G93" i="1"/>
  <c r="E90" i="1"/>
  <c r="F87" i="1"/>
  <c r="E84" i="1"/>
  <c r="E81" i="1"/>
  <c r="G78" i="1"/>
  <c r="G71" i="1"/>
  <c r="G67" i="1"/>
  <c r="G63" i="1"/>
  <c r="G59" i="1"/>
  <c r="G55" i="1"/>
  <c r="G51" i="1"/>
  <c r="E262" i="1"/>
  <c r="E253" i="1"/>
  <c r="G245" i="1"/>
  <c r="H235" i="1"/>
  <c r="G228" i="1"/>
  <c r="D216" i="1"/>
  <c r="D211" i="1"/>
  <c r="D206" i="1"/>
  <c r="H201" i="1"/>
  <c r="F194" i="1"/>
  <c r="H187" i="1"/>
  <c r="D185" i="1"/>
  <c r="F174" i="1"/>
  <c r="G172" i="1"/>
  <c r="G170" i="1"/>
  <c r="E163" i="1"/>
  <c r="E161" i="1"/>
  <c r="H159" i="1"/>
  <c r="F152" i="1"/>
  <c r="F147" i="1"/>
  <c r="F142" i="1"/>
  <c r="E137" i="1"/>
  <c r="G130" i="1"/>
  <c r="F127" i="1"/>
  <c r="E124" i="1"/>
  <c r="G116" i="1"/>
  <c r="F113" i="1"/>
  <c r="F110" i="1"/>
  <c r="F107" i="1"/>
  <c r="H102" i="1"/>
  <c r="G96" i="1"/>
  <c r="F93" i="1"/>
  <c r="H255" i="1"/>
  <c r="H247" i="1"/>
  <c r="D240" i="1"/>
  <c r="H237" i="1"/>
  <c r="D235" i="1"/>
  <c r="G230" i="1"/>
  <c r="G225" i="1"/>
  <c r="G223" i="1"/>
  <c r="F218" i="1"/>
  <c r="F213" i="1"/>
  <c r="G208" i="1"/>
  <c r="H203" i="1"/>
  <c r="E201" i="1"/>
  <c r="G196" i="1"/>
  <c r="E187" i="1"/>
  <c r="E176" i="1"/>
  <c r="D174" i="1"/>
  <c r="E170" i="1"/>
  <c r="G168" i="1"/>
  <c r="E159" i="1"/>
  <c r="G157" i="1"/>
  <c r="D152" i="1"/>
  <c r="H150" i="1"/>
  <c r="G145" i="1"/>
  <c r="D142" i="1"/>
  <c r="G140" i="1"/>
  <c r="G135" i="1"/>
  <c r="H133" i="1"/>
  <c r="E130" i="1"/>
  <c r="H125" i="1"/>
  <c r="G122" i="1"/>
  <c r="G119" i="1"/>
  <c r="E116" i="1"/>
  <c r="D113" i="1"/>
  <c r="D110" i="1"/>
  <c r="G105" i="1"/>
  <c r="F102" i="1"/>
  <c r="G99" i="1"/>
  <c r="E96" i="1"/>
  <c r="H88" i="1"/>
  <c r="H85" i="1"/>
  <c r="H82" i="1"/>
  <c r="E75" i="1"/>
  <c r="H72" i="1"/>
  <c r="D71" i="1"/>
  <c r="H68" i="1"/>
  <c r="D67" i="1"/>
  <c r="F261" i="1"/>
  <c r="G255" i="1"/>
  <c r="G247" i="1"/>
  <c r="G242" i="1"/>
  <c r="G237" i="1"/>
  <c r="E230" i="1"/>
  <c r="F225" i="1"/>
  <c r="D223" i="1"/>
  <c r="D218" i="1"/>
  <c r="E213" i="1"/>
  <c r="E208" i="1"/>
  <c r="G203" i="1"/>
  <c r="E196" i="1"/>
  <c r="H189" i="1"/>
  <c r="D170" i="1"/>
  <c r="E168" i="1"/>
  <c r="H166" i="1"/>
  <c r="D159" i="1"/>
  <c r="F157" i="1"/>
  <c r="G150" i="1"/>
  <c r="F145" i="1"/>
  <c r="F140" i="1"/>
  <c r="G133" i="1"/>
  <c r="D130" i="1"/>
  <c r="H128" i="1"/>
  <c r="G125" i="1"/>
  <c r="E122" i="1"/>
  <c r="F119" i="1"/>
  <c r="D116" i="1"/>
  <c r="H108" i="1"/>
  <c r="F105" i="1"/>
  <c r="E102" i="1"/>
  <c r="F99" i="1"/>
  <c r="D96" i="1"/>
  <c r="H91" i="1"/>
  <c r="G88" i="1"/>
  <c r="G85" i="1"/>
  <c r="G82" i="1"/>
  <c r="G79" i="1"/>
  <c r="D75" i="1"/>
  <c r="G72" i="1"/>
  <c r="G68" i="1"/>
  <c r="G64" i="1"/>
  <c r="G60" i="1"/>
  <c r="G56" i="1"/>
  <c r="E261" i="1"/>
  <c r="D255" i="1"/>
  <c r="H252" i="1"/>
  <c r="G249" i="1"/>
  <c r="E247" i="1"/>
  <c r="E242" i="1"/>
  <c r="F237" i="1"/>
  <c r="H232" i="1"/>
  <c r="H227" i="1"/>
  <c r="E225" i="1"/>
  <c r="H220" i="1"/>
  <c r="G210" i="1"/>
  <c r="E203" i="1"/>
  <c r="G198" i="1"/>
  <c r="G189" i="1"/>
  <c r="H182" i="1"/>
  <c r="H180" i="1"/>
  <c r="H178" i="1"/>
  <c r="D168" i="1"/>
  <c r="F166" i="1"/>
  <c r="H164" i="1"/>
  <c r="E157" i="1"/>
  <c r="G155" i="1"/>
  <c r="H153" i="1"/>
  <c r="E150" i="1"/>
  <c r="G148" i="1"/>
  <c r="E145" i="1"/>
  <c r="E140" i="1"/>
  <c r="F133" i="1"/>
  <c r="G128" i="1"/>
  <c r="F125" i="1"/>
  <c r="D122" i="1"/>
  <c r="D119" i="1"/>
  <c r="F108" i="1"/>
  <c r="E105" i="1"/>
  <c r="D102" i="1"/>
  <c r="D99" i="1"/>
  <c r="G94" i="1"/>
  <c r="G91" i="1"/>
  <c r="F88" i="1"/>
  <c r="F85" i="1"/>
  <c r="E82" i="1"/>
  <c r="F79" i="1"/>
  <c r="H76" i="1"/>
  <c r="F72" i="1"/>
  <c r="F68" i="1"/>
  <c r="F64" i="1"/>
  <c r="E257" i="1"/>
  <c r="F249" i="1"/>
  <c r="D239" i="1"/>
  <c r="D232" i="1"/>
  <c r="G222" i="1"/>
  <c r="H219" i="1"/>
  <c r="G209" i="1"/>
  <c r="F190" i="1"/>
  <c r="D175" i="1"/>
  <c r="D167" i="1"/>
  <c r="E164" i="1"/>
  <c r="G159" i="1"/>
  <c r="F154" i="1"/>
  <c r="G149" i="1"/>
  <c r="E142" i="1"/>
  <c r="H137" i="1"/>
  <c r="D125" i="1"/>
  <c r="D123" i="1"/>
  <c r="G114" i="1"/>
  <c r="F112" i="1"/>
  <c r="H105" i="1"/>
  <c r="F103" i="1"/>
  <c r="H92" i="1"/>
  <c r="D88" i="1"/>
  <c r="F74" i="1"/>
  <c r="D72" i="1"/>
  <c r="H70" i="1"/>
  <c r="D65" i="1"/>
  <c r="F63" i="1"/>
  <c r="F55" i="1"/>
  <c r="G52" i="1"/>
  <c r="H49" i="1"/>
  <c r="F45" i="1"/>
  <c r="F41" i="1"/>
  <c r="F37" i="1"/>
  <c r="F33" i="1"/>
  <c r="F29" i="1"/>
  <c r="F25" i="1"/>
  <c r="F21" i="1"/>
  <c r="F17" i="1"/>
  <c r="E249" i="1"/>
  <c r="D242" i="1"/>
  <c r="H225" i="1"/>
  <c r="D222" i="1"/>
  <c r="D219" i="1"/>
  <c r="F209" i="1"/>
  <c r="H199" i="1"/>
  <c r="H169" i="1"/>
  <c r="D164" i="1"/>
  <c r="F149" i="1"/>
  <c r="D137" i="1"/>
  <c r="H120" i="1"/>
  <c r="F116" i="1"/>
  <c r="F114" i="1"/>
  <c r="E112" i="1"/>
  <c r="D105" i="1"/>
  <c r="D103" i="1"/>
  <c r="F94" i="1"/>
  <c r="G92" i="1"/>
  <c r="G70" i="1"/>
  <c r="E63" i="1"/>
  <c r="H58" i="1"/>
  <c r="E55" i="1"/>
  <c r="F52" i="1"/>
  <c r="G49" i="1"/>
  <c r="E45" i="1"/>
  <c r="E41" i="1"/>
  <c r="E37" i="1"/>
  <c r="E33" i="1"/>
  <c r="E29" i="1"/>
  <c r="E25" i="1"/>
  <c r="E21" i="1"/>
  <c r="E17" i="1"/>
  <c r="G264" i="1"/>
  <c r="G218" i="1"/>
  <c r="D215" i="1"/>
  <c r="E205" i="1"/>
  <c r="D195" i="1"/>
  <c r="G192" i="1"/>
  <c r="E186" i="1"/>
  <c r="F177" i="1"/>
  <c r="D156" i="1"/>
  <c r="G153" i="1"/>
  <c r="G151" i="1"/>
  <c r="H146" i="1"/>
  <c r="G144" i="1"/>
  <c r="F139" i="1"/>
  <c r="G134" i="1"/>
  <c r="H129" i="1"/>
  <c r="D127" i="1"/>
  <c r="E120" i="1"/>
  <c r="G109" i="1"/>
  <c r="G100" i="1"/>
  <c r="F98" i="1"/>
  <c r="D92" i="1"/>
  <c r="E83" i="1"/>
  <c r="D81" i="1"/>
  <c r="F77" i="1"/>
  <c r="G66" i="1"/>
  <c r="F61" i="1"/>
  <c r="E58" i="1"/>
  <c r="D49" i="1"/>
  <c r="F46" i="1"/>
  <c r="F42" i="1"/>
  <c r="F38" i="1"/>
  <c r="F34" i="1"/>
  <c r="F30" i="1"/>
  <c r="F26" i="1"/>
  <c r="F22" i="1"/>
  <c r="F18" i="1"/>
  <c r="H260" i="1"/>
  <c r="H248" i="1"/>
  <c r="H241" i="1"/>
  <c r="F234" i="1"/>
  <c r="H208" i="1"/>
  <c r="E198" i="1"/>
  <c r="E177" i="1"/>
  <c r="E174" i="1"/>
  <c r="H171" i="1"/>
  <c r="F153" i="1"/>
  <c r="F151" i="1"/>
  <c r="G146" i="1"/>
  <c r="H141" i="1"/>
  <c r="G136" i="1"/>
  <c r="F134" i="1"/>
  <c r="F129" i="1"/>
  <c r="D120" i="1"/>
  <c r="F109" i="1"/>
  <c r="F100" i="1"/>
  <c r="E98" i="1"/>
  <c r="E85" i="1"/>
  <c r="D83" i="1"/>
  <c r="E77" i="1"/>
  <c r="G75" i="1"/>
  <c r="H73" i="1"/>
  <c r="F66" i="1"/>
  <c r="E61" i="1"/>
  <c r="H56" i="1"/>
  <c r="H53" i="1"/>
  <c r="H50" i="1"/>
  <c r="E46" i="1"/>
  <c r="E42" i="1"/>
  <c r="E38" i="1"/>
  <c r="E34" i="1"/>
  <c r="E30" i="1"/>
  <c r="E26" i="1"/>
  <c r="E22" i="1"/>
  <c r="E18" i="1"/>
  <c r="H263" i="1"/>
  <c r="D244" i="1"/>
  <c r="D231" i="1"/>
  <c r="G227" i="1"/>
  <c r="G248" i="1"/>
  <c r="H244" i="1"/>
  <c r="F241" i="1"/>
  <c r="D234" i="1"/>
  <c r="E231" i="1"/>
  <c r="H221" i="1"/>
  <c r="D198" i="1"/>
  <c r="G182" i="1"/>
  <c r="D177" i="1"/>
  <c r="E171" i="1"/>
  <c r="D153" i="1"/>
  <c r="F148" i="1"/>
  <c r="F146" i="1"/>
  <c r="G141" i="1"/>
  <c r="F136" i="1"/>
  <c r="E134" i="1"/>
  <c r="H131" i="1"/>
  <c r="D129" i="1"/>
  <c r="H111" i="1"/>
  <c r="E109" i="1"/>
  <c r="G102" i="1"/>
  <c r="D100" i="1"/>
  <c r="H89" i="1"/>
  <c r="D85" i="1"/>
  <c r="D77" i="1"/>
  <c r="F75" i="1"/>
  <c r="G73" i="1"/>
  <c r="E66" i="1"/>
  <c r="H64" i="1"/>
  <c r="D61" i="1"/>
  <c r="F56" i="1"/>
  <c r="G53" i="1"/>
  <c r="G50" i="1"/>
  <c r="H47" i="1"/>
  <c r="D46" i="1"/>
  <c r="H43" i="1"/>
  <c r="D42" i="1"/>
  <c r="H39" i="1"/>
  <c r="D38" i="1"/>
  <c r="H35" i="1"/>
  <c r="D34" i="1"/>
  <c r="H31" i="1"/>
  <c r="D30" i="1"/>
  <c r="H27" i="1"/>
  <c r="D26" i="1"/>
  <c r="H23" i="1"/>
  <c r="D22" i="1"/>
  <c r="H19" i="1"/>
  <c r="D18" i="1"/>
  <c r="D246" i="1"/>
  <c r="G229" i="1"/>
  <c r="E195" i="1"/>
  <c r="E191" i="1"/>
  <c r="H183" i="1"/>
  <c r="H162" i="1"/>
  <c r="H143" i="1"/>
  <c r="D80" i="1"/>
  <c r="D68" i="1"/>
  <c r="G61" i="1"/>
  <c r="D59" i="1"/>
  <c r="G57" i="1"/>
  <c r="E53" i="1"/>
  <c r="E51" i="1"/>
  <c r="F49" i="1"/>
  <c r="F47" i="1"/>
  <c r="D40" i="1"/>
  <c r="G38" i="1"/>
  <c r="G36" i="1"/>
  <c r="D29" i="1"/>
  <c r="E27" i="1"/>
  <c r="F16" i="1"/>
  <c r="G233" i="1"/>
  <c r="D220" i="1"/>
  <c r="H207" i="1"/>
  <c r="G179" i="1"/>
  <c r="F169" i="1"/>
  <c r="F162" i="1"/>
  <c r="F143" i="1"/>
  <c r="E133" i="1"/>
  <c r="D124" i="1"/>
  <c r="H121" i="1"/>
  <c r="H104" i="1"/>
  <c r="H101" i="1"/>
  <c r="H98" i="1"/>
  <c r="H77" i="1"/>
  <c r="F70" i="1"/>
  <c r="H65" i="1"/>
  <c r="E57" i="1"/>
  <c r="D47" i="1"/>
  <c r="H45" i="1"/>
  <c r="G43" i="1"/>
  <c r="E36" i="1"/>
  <c r="H34" i="1"/>
  <c r="H32" i="1"/>
  <c r="G25" i="1"/>
  <c r="F23" i="1"/>
  <c r="D16" i="1"/>
  <c r="E193" i="1"/>
  <c r="F158" i="1"/>
  <c r="F123" i="1"/>
  <c r="F115" i="1"/>
  <c r="F106" i="1"/>
  <c r="E92" i="1"/>
  <c r="D84" i="1"/>
  <c r="G74" i="1"/>
  <c r="F69" i="1"/>
  <c r="G58" i="1"/>
  <c r="F54" i="1"/>
  <c r="E50" i="1"/>
  <c r="H239" i="1"/>
  <c r="G214" i="1"/>
  <c r="G201" i="1"/>
  <c r="D126" i="1"/>
  <c r="H117" i="1"/>
  <c r="D97" i="1"/>
  <c r="E89" i="1"/>
  <c r="F76" i="1"/>
  <c r="F62" i="1"/>
  <c r="D60" i="1"/>
  <c r="F58" i="1"/>
  <c r="E54" i="1"/>
  <c r="D52" i="1"/>
  <c r="E48" i="1"/>
  <c r="H46" i="1"/>
  <c r="F35" i="1"/>
  <c r="D28" i="1"/>
  <c r="G24" i="1"/>
  <c r="D17" i="1"/>
  <c r="H233" i="1"/>
  <c r="E229" i="1"/>
  <c r="D212" i="1"/>
  <c r="D191" i="1"/>
  <c r="G187" i="1"/>
  <c r="H179" i="1"/>
  <c r="G169" i="1"/>
  <c r="G162" i="1"/>
  <c r="G156" i="1"/>
  <c r="G143" i="1"/>
  <c r="D140" i="1"/>
  <c r="H124" i="1"/>
  <c r="E113" i="1"/>
  <c r="D93" i="1"/>
  <c r="F57" i="1"/>
  <c r="D55" i="1"/>
  <c r="D53" i="1"/>
  <c r="D51" i="1"/>
  <c r="E49" i="1"/>
  <c r="E47" i="1"/>
  <c r="F36" i="1"/>
  <c r="D27" i="1"/>
  <c r="H25" i="1"/>
  <c r="G23" i="1"/>
  <c r="E16" i="1"/>
  <c r="D109" i="1"/>
  <c r="F120" i="1"/>
  <c r="D207" i="1"/>
  <c r="F182" i="1"/>
  <c r="E179" i="1"/>
  <c r="H175" i="1"/>
  <c r="H165" i="1"/>
  <c r="E162" i="1"/>
  <c r="H149" i="1"/>
  <c r="E146" i="1"/>
  <c r="D133" i="1"/>
  <c r="G121" i="1"/>
  <c r="F101" i="1"/>
  <c r="G98" i="1"/>
  <c r="G77" i="1"/>
  <c r="E70" i="1"/>
  <c r="G65" i="1"/>
  <c r="D63" i="1"/>
  <c r="D57" i="1"/>
  <c r="G45" i="1"/>
  <c r="F43" i="1"/>
  <c r="D36" i="1"/>
  <c r="G34" i="1"/>
  <c r="G32" i="1"/>
  <c r="D25" i="1"/>
  <c r="E23" i="1"/>
  <c r="H52" i="1"/>
  <c r="D224" i="1"/>
  <c r="G186" i="1"/>
  <c r="E182" i="1"/>
  <c r="G165" i="1"/>
  <c r="D162" i="1"/>
  <c r="E155" i="1"/>
  <c r="E149" i="1"/>
  <c r="D146" i="1"/>
  <c r="F130" i="1"/>
  <c r="F121" i="1"/>
  <c r="E110" i="1"/>
  <c r="E101" i="1"/>
  <c r="H95" i="1"/>
  <c r="D90" i="1"/>
  <c r="H87" i="1"/>
  <c r="F65" i="1"/>
  <c r="D45" i="1"/>
  <c r="E43" i="1"/>
  <c r="F32" i="1"/>
  <c r="D23" i="1"/>
  <c r="H21" i="1"/>
  <c r="G19" i="1"/>
  <c r="E126" i="1"/>
  <c r="E106" i="1"/>
  <c r="E254" i="1"/>
  <c r="G215" i="1"/>
  <c r="G190" i="1"/>
  <c r="F186" i="1"/>
  <c r="D182" i="1"/>
  <c r="H168" i="1"/>
  <c r="F165" i="1"/>
  <c r="D155" i="1"/>
  <c r="E136" i="1"/>
  <c r="H118" i="1"/>
  <c r="G95" i="1"/>
  <c r="D87" i="1"/>
  <c r="E79" i="1"/>
  <c r="E72" i="1"/>
  <c r="E65" i="1"/>
  <c r="D43" i="1"/>
  <c r="H41" i="1"/>
  <c r="G39" i="1"/>
  <c r="E32" i="1"/>
  <c r="H30" i="1"/>
  <c r="H28" i="1"/>
  <c r="G21" i="1"/>
  <c r="F19" i="1"/>
  <c r="F67" i="1"/>
  <c r="E19" i="1"/>
  <c r="E263" i="1"/>
  <c r="D210" i="1"/>
  <c r="F193" i="1"/>
  <c r="D178" i="1"/>
  <c r="D171" i="1"/>
  <c r="G158" i="1"/>
  <c r="E148" i="1"/>
  <c r="H145" i="1"/>
  <c r="G139" i="1"/>
  <c r="F126" i="1"/>
  <c r="G123" i="1"/>
  <c r="H115" i="1"/>
  <c r="H112" i="1"/>
  <c r="H109" i="1"/>
  <c r="G106" i="1"/>
  <c r="H103" i="1"/>
  <c r="H100" i="1"/>
  <c r="H97" i="1"/>
  <c r="D95" i="1"/>
  <c r="F92" i="1"/>
  <c r="G89" i="1"/>
  <c r="G84" i="1"/>
  <c r="H74" i="1"/>
  <c r="G69" i="1"/>
  <c r="E67" i="1"/>
  <c r="H62" i="1"/>
  <c r="F60" i="1"/>
  <c r="G54" i="1"/>
  <c r="F50" i="1"/>
  <c r="G48" i="1"/>
  <c r="D41" i="1"/>
  <c r="E39" i="1"/>
  <c r="F28" i="1"/>
  <c r="D19" i="1"/>
  <c r="H17" i="1"/>
  <c r="D263" i="1"/>
  <c r="E227" i="1"/>
  <c r="H223" i="1"/>
  <c r="D148" i="1"/>
  <c r="D145" i="1"/>
  <c r="G112" i="1"/>
  <c r="G103" i="1"/>
  <c r="F97" i="1"/>
  <c r="F89" i="1"/>
  <c r="H81" i="1"/>
  <c r="G76" i="1"/>
  <c r="G62" i="1"/>
  <c r="E60" i="1"/>
  <c r="E56" i="1"/>
  <c r="E52" i="1"/>
  <c r="F48" i="1"/>
  <c r="D39" i="1"/>
  <c r="H37" i="1"/>
  <c r="G35" i="1"/>
  <c r="E28" i="1"/>
  <c r="H26" i="1"/>
  <c r="H24" i="1"/>
  <c r="G17" i="1"/>
  <c r="E158" i="1"/>
  <c r="H151" i="1"/>
  <c r="D115" i="1"/>
  <c r="G81" i="1"/>
  <c r="E69" i="1"/>
  <c r="D56" i="1"/>
  <c r="H44" i="1"/>
  <c r="G37" i="1"/>
  <c r="G26" i="1"/>
  <c r="F257" i="1"/>
  <c r="G239" i="1"/>
  <c r="G263" i="1"/>
  <c r="H240" i="1"/>
  <c r="G236" i="1"/>
  <c r="E215" i="1"/>
  <c r="F210" i="1"/>
  <c r="E202" i="1"/>
  <c r="H193" i="1"/>
  <c r="E165" i="1"/>
  <c r="E152" i="1"/>
  <c r="H139" i="1"/>
  <c r="D136" i="1"/>
  <c r="G126" i="1"/>
  <c r="H123" i="1"/>
  <c r="G118" i="1"/>
  <c r="H106" i="1"/>
  <c r="F95" i="1"/>
  <c r="H84" i="1"/>
  <c r="D79" i="1"/>
  <c r="H69" i="1"/>
  <c r="H60" i="1"/>
  <c r="H54" i="1"/>
  <c r="H48" i="1"/>
  <c r="G41" i="1"/>
  <c r="F39" i="1"/>
  <c r="D32" i="1"/>
  <c r="G30" i="1"/>
  <c r="G28" i="1"/>
  <c r="D21" i="1"/>
  <c r="G120" i="1"/>
  <c r="D112" i="1"/>
  <c r="H251" i="1"/>
  <c r="F138" i="1"/>
  <c r="E128" i="1"/>
  <c r="D89" i="1"/>
  <c r="G80" i="1"/>
  <c r="D76" i="1"/>
  <c r="E68" i="1"/>
  <c r="D48" i="1"/>
  <c r="D20" i="1"/>
  <c r="H16" i="1"/>
  <c r="G173" i="1"/>
  <c r="D108" i="1"/>
  <c r="F59" i="1"/>
  <c r="F44" i="1"/>
  <c r="D37" i="1"/>
  <c r="F226" i="1"/>
  <c r="F117" i="1"/>
  <c r="E71" i="1"/>
  <c r="E59" i="1"/>
  <c r="H40" i="1"/>
  <c r="H33" i="1"/>
  <c r="E251" i="1"/>
  <c r="F214" i="1"/>
  <c r="D184" i="1"/>
  <c r="H173" i="1"/>
  <c r="D138" i="1"/>
  <c r="D128" i="1"/>
  <c r="E108" i="1"/>
  <c r="F80" i="1"/>
  <c r="G44" i="1"/>
  <c r="G16" i="1"/>
  <c r="G117" i="1"/>
  <c r="E80" i="1"/>
  <c r="F71" i="1"/>
  <c r="F173" i="1"/>
  <c r="E44" i="1"/>
  <c r="E246" i="1"/>
  <c r="F27" i="1"/>
  <c r="G213" i="1"/>
  <c r="D173" i="1"/>
  <c r="H157" i="1"/>
  <c r="E117" i="1"/>
  <c r="F51" i="1"/>
  <c r="D44" i="1"/>
  <c r="G40" i="1"/>
  <c r="G33" i="1"/>
  <c r="H22" i="1"/>
  <c r="E243" i="1"/>
  <c r="H188" i="1"/>
  <c r="D157" i="1"/>
  <c r="D117" i="1"/>
  <c r="E88" i="1"/>
  <c r="G83" i="1"/>
  <c r="G47" i="1"/>
  <c r="F40" i="1"/>
  <c r="D33" i="1"/>
  <c r="G22" i="1"/>
  <c r="F78" i="1"/>
  <c r="F96" i="1"/>
  <c r="E78" i="1"/>
  <c r="H160" i="1"/>
  <c r="H86" i="1"/>
  <c r="G246" i="1"/>
  <c r="H114" i="1"/>
  <c r="E94" i="1"/>
  <c r="G27" i="1"/>
  <c r="E209" i="1"/>
  <c r="E197" i="1"/>
  <c r="D180" i="1"/>
  <c r="H138" i="1"/>
  <c r="E114" i="1"/>
  <c r="E76" i="1"/>
  <c r="E188" i="1"/>
  <c r="H177" i="1"/>
  <c r="H167" i="1"/>
  <c r="E141" i="1"/>
  <c r="G131" i="1"/>
  <c r="F111" i="1"/>
  <c r="F83" i="1"/>
  <c r="H66" i="1"/>
  <c r="E62" i="1"/>
  <c r="E40" i="1"/>
  <c r="H29" i="1"/>
  <c r="E200" i="1"/>
  <c r="D188" i="1"/>
  <c r="G167" i="1"/>
  <c r="F131" i="1"/>
  <c r="D106" i="1"/>
  <c r="H36" i="1"/>
  <c r="G29" i="1"/>
  <c r="G217" i="1"/>
  <c r="H205" i="1"/>
  <c r="E167" i="1"/>
  <c r="G46" i="1"/>
  <c r="H18" i="1"/>
  <c r="G235" i="1"/>
  <c r="H229" i="1"/>
  <c r="F217" i="1"/>
  <c r="G205" i="1"/>
  <c r="G176" i="1"/>
  <c r="F91" i="1"/>
  <c r="G18" i="1"/>
  <c r="D91" i="1"/>
  <c r="E35" i="1"/>
  <c r="G191" i="1"/>
  <c r="G180" i="1"/>
  <c r="G154" i="1"/>
  <c r="H134" i="1"/>
  <c r="H99" i="1"/>
  <c r="D64" i="1"/>
  <c r="D31" i="1"/>
  <c r="F20" i="1"/>
  <c r="F128" i="1"/>
  <c r="D94" i="1"/>
  <c r="H80" i="1"/>
  <c r="H38" i="1"/>
  <c r="E20" i="1"/>
  <c r="E181" i="1"/>
  <c r="G160" i="1"/>
  <c r="G86" i="1"/>
  <c r="F73" i="1"/>
  <c r="D69" i="1"/>
  <c r="H61" i="1"/>
  <c r="H57" i="1"/>
  <c r="H42" i="1"/>
  <c r="D35" i="1"/>
  <c r="G31" i="1"/>
  <c r="F24" i="1"/>
  <c r="E160" i="1"/>
  <c r="E86" i="1"/>
  <c r="E73" i="1"/>
  <c r="F53" i="1"/>
  <c r="G42" i="1"/>
  <c r="F31" i="1"/>
  <c r="E24" i="1"/>
  <c r="H20" i="1"/>
  <c r="H204" i="1"/>
  <c r="H191" i="1"/>
  <c r="F170" i="1"/>
  <c r="D160" i="1"/>
  <c r="H154" i="1"/>
  <c r="H119" i="1"/>
  <c r="D73" i="1"/>
  <c r="E64" i="1"/>
  <c r="E31" i="1"/>
  <c r="D24" i="1"/>
  <c r="G20" i="1"/>
  <c r="Q265" i="1"/>
  <c r="M264" i="1"/>
  <c r="Q261" i="1"/>
  <c r="M260" i="1"/>
  <c r="Q257" i="1"/>
  <c r="M256" i="1"/>
  <c r="Q253" i="1"/>
  <c r="M252" i="1"/>
  <c r="Q249" i="1"/>
  <c r="M248" i="1"/>
  <c r="Q245" i="1"/>
  <c r="M244" i="1"/>
  <c r="Q241" i="1"/>
  <c r="M240" i="1"/>
  <c r="Q237" i="1"/>
  <c r="M236" i="1"/>
  <c r="Q233" i="1"/>
  <c r="M232" i="1"/>
  <c r="Q229" i="1"/>
  <c r="M228" i="1"/>
  <c r="Q225" i="1"/>
  <c r="M224" i="1"/>
  <c r="Q221" i="1"/>
  <c r="M220" i="1"/>
  <c r="Q217" i="1"/>
  <c r="M216" i="1"/>
  <c r="Q213" i="1"/>
  <c r="M212" i="1"/>
  <c r="Q209" i="1"/>
  <c r="M208" i="1"/>
  <c r="Q205" i="1"/>
  <c r="M204" i="1"/>
  <c r="Q201" i="1"/>
  <c r="M200" i="1"/>
  <c r="Q197" i="1"/>
  <c r="M196" i="1"/>
  <c r="Q193" i="1"/>
  <c r="M192" i="1"/>
  <c r="Q189" i="1"/>
  <c r="M188" i="1"/>
  <c r="Q185" i="1"/>
  <c r="M184" i="1"/>
  <c r="Q181" i="1"/>
  <c r="M180" i="1"/>
  <c r="Q177" i="1"/>
  <c r="M176" i="1"/>
  <c r="Q173" i="1"/>
  <c r="M172" i="1"/>
  <c r="Q169" i="1"/>
  <c r="M168" i="1"/>
  <c r="Q165" i="1"/>
  <c r="M164" i="1"/>
  <c r="Q161" i="1"/>
  <c r="M160" i="1"/>
  <c r="Q157" i="1"/>
  <c r="M156" i="1"/>
  <c r="Q153" i="1"/>
  <c r="M265" i="1"/>
  <c r="Q262" i="1"/>
  <c r="M261" i="1"/>
  <c r="Q258" i="1"/>
  <c r="M257" i="1"/>
  <c r="Q254" i="1"/>
  <c r="M253" i="1"/>
  <c r="Q250" i="1"/>
  <c r="M249" i="1"/>
  <c r="Q246" i="1"/>
  <c r="M245" i="1"/>
  <c r="Q242" i="1"/>
  <c r="M241" i="1"/>
  <c r="Q238" i="1"/>
  <c r="M237" i="1"/>
  <c r="Q234" i="1"/>
  <c r="M233" i="1"/>
  <c r="Q230" i="1"/>
  <c r="M229" i="1"/>
  <c r="Q226" i="1"/>
  <c r="M225" i="1"/>
  <c r="Q222" i="1"/>
  <c r="M221" i="1"/>
  <c r="Q218" i="1"/>
  <c r="M217" i="1"/>
  <c r="Q214" i="1"/>
  <c r="M213" i="1"/>
  <c r="Q210" i="1"/>
  <c r="M209" i="1"/>
  <c r="Q206" i="1"/>
  <c r="M205" i="1"/>
  <c r="Q202" i="1"/>
  <c r="M201" i="1"/>
  <c r="Q198" i="1"/>
  <c r="M197" i="1"/>
  <c r="Q194" i="1"/>
  <c r="M193" i="1"/>
  <c r="Q190" i="1"/>
  <c r="M189" i="1"/>
  <c r="Q186" i="1"/>
  <c r="M185" i="1"/>
  <c r="Q182" i="1"/>
  <c r="M181" i="1"/>
  <c r="Q178" i="1"/>
  <c r="M177" i="1"/>
  <c r="Q174" i="1"/>
  <c r="M173" i="1"/>
  <c r="Q170" i="1"/>
  <c r="M169" i="1"/>
  <c r="Q166" i="1"/>
  <c r="M165" i="1"/>
  <c r="Q162" i="1"/>
  <c r="M161" i="1"/>
  <c r="Q158" i="1"/>
  <c r="M157" i="1"/>
  <c r="Q154" i="1"/>
  <c r="M153" i="1"/>
  <c r="P262" i="1"/>
  <c r="P258" i="1"/>
  <c r="P254" i="1"/>
  <c r="P250" i="1"/>
  <c r="P246" i="1"/>
  <c r="P242" i="1"/>
  <c r="P238" i="1"/>
  <c r="P234" i="1"/>
  <c r="P230" i="1"/>
  <c r="P226" i="1"/>
  <c r="P222" i="1"/>
  <c r="P218" i="1"/>
  <c r="P214" i="1"/>
  <c r="P210" i="1"/>
  <c r="O262" i="1"/>
  <c r="O258" i="1"/>
  <c r="O254" i="1"/>
  <c r="O250" i="1"/>
  <c r="O246" i="1"/>
  <c r="O263" i="1"/>
  <c r="O259" i="1"/>
  <c r="O255" i="1"/>
  <c r="O251" i="1"/>
  <c r="O247" i="1"/>
  <c r="O243" i="1"/>
  <c r="O239" i="1"/>
  <c r="O235" i="1"/>
  <c r="O231" i="1"/>
  <c r="O227" i="1"/>
  <c r="O223" i="1"/>
  <c r="O219" i="1"/>
  <c r="O215" i="1"/>
  <c r="O211" i="1"/>
  <c r="O207" i="1"/>
  <c r="O203" i="1"/>
  <c r="O199" i="1"/>
  <c r="O195" i="1"/>
  <c r="O191" i="1"/>
  <c r="O187" i="1"/>
  <c r="P265" i="1"/>
  <c r="Q263" i="1"/>
  <c r="O252" i="1"/>
  <c r="N250" i="1"/>
  <c r="Q248" i="1"/>
  <c r="O241" i="1"/>
  <c r="N236" i="1"/>
  <c r="O234" i="1"/>
  <c r="N229" i="1"/>
  <c r="Q227" i="1"/>
  <c r="N222" i="1"/>
  <c r="P215" i="1"/>
  <c r="M210" i="1"/>
  <c r="Q208" i="1"/>
  <c r="N205" i="1"/>
  <c r="O200" i="1"/>
  <c r="P195" i="1"/>
  <c r="P190" i="1"/>
  <c r="M187" i="1"/>
  <c r="P182" i="1"/>
  <c r="P179" i="1"/>
  <c r="P176" i="1"/>
  <c r="O173" i="1"/>
  <c r="N170" i="1"/>
  <c r="N167" i="1"/>
  <c r="N164" i="1"/>
  <c r="P149" i="1"/>
  <c r="P145" i="1"/>
  <c r="P141" i="1"/>
  <c r="P137" i="1"/>
  <c r="P133" i="1"/>
  <c r="P129" i="1"/>
  <c r="P125" i="1"/>
  <c r="P121" i="1"/>
  <c r="P117" i="1"/>
  <c r="P113" i="1"/>
  <c r="P109" i="1"/>
  <c r="P105" i="1"/>
  <c r="P101" i="1"/>
  <c r="P97" i="1"/>
  <c r="P93" i="1"/>
  <c r="P89" i="1"/>
  <c r="O265" i="1"/>
  <c r="P263" i="1"/>
  <c r="N252" i="1"/>
  <c r="M250" i="1"/>
  <c r="P248" i="1"/>
  <c r="N241" i="1"/>
  <c r="Q239" i="1"/>
  <c r="N234" i="1"/>
  <c r="P227" i="1"/>
  <c r="M222" i="1"/>
  <c r="Q220" i="1"/>
  <c r="N215" i="1"/>
  <c r="P208" i="1"/>
  <c r="Q203" i="1"/>
  <c r="N200" i="1"/>
  <c r="N195" i="1"/>
  <c r="O190" i="1"/>
  <c r="P185" i="1"/>
  <c r="O182" i="1"/>
  <c r="O179" i="1"/>
  <c r="O176" i="1"/>
  <c r="N173" i="1"/>
  <c r="M170" i="1"/>
  <c r="M167" i="1"/>
  <c r="Q159" i="1"/>
  <c r="Q156" i="1"/>
  <c r="P153" i="1"/>
  <c r="O149" i="1"/>
  <c r="O145" i="1"/>
  <c r="O141" i="1"/>
  <c r="O137" i="1"/>
  <c r="O133" i="1"/>
  <c r="O129" i="1"/>
  <c r="N265" i="1"/>
  <c r="N263" i="1"/>
  <c r="P261" i="1"/>
  <c r="Q259" i="1"/>
  <c r="O248" i="1"/>
  <c r="N246" i="1"/>
  <c r="M263" i="1"/>
  <c r="N261" i="1"/>
  <c r="N259" i="1"/>
  <c r="P257" i="1"/>
  <c r="Q255" i="1"/>
  <c r="P244" i="1"/>
  <c r="M239" i="1"/>
  <c r="P237" i="1"/>
  <c r="O232" i="1"/>
  <c r="O225" i="1"/>
  <c r="N220" i="1"/>
  <c r="O218" i="1"/>
  <c r="N213" i="1"/>
  <c r="Q211" i="1"/>
  <c r="P206" i="1"/>
  <c r="M203" i="1"/>
  <c r="N198" i="1"/>
  <c r="O193" i="1"/>
  <c r="O260" i="1"/>
  <c r="N255" i="1"/>
  <c r="N196" i="1"/>
  <c r="N194" i="1"/>
  <c r="O192" i="1"/>
  <c r="N190" i="1"/>
  <c r="P188" i="1"/>
  <c r="N183" i="1"/>
  <c r="N176" i="1"/>
  <c r="P174" i="1"/>
  <c r="O169" i="1"/>
  <c r="P162" i="1"/>
  <c r="N159" i="1"/>
  <c r="O154" i="1"/>
  <c r="O151" i="1"/>
  <c r="O148" i="1"/>
  <c r="N145" i="1"/>
  <c r="O142" i="1"/>
  <c r="P139" i="1"/>
  <c r="P136" i="1"/>
  <c r="Q133" i="1"/>
  <c r="P130" i="1"/>
  <c r="M126" i="1"/>
  <c r="P123" i="1"/>
  <c r="N119" i="1"/>
  <c r="P116" i="1"/>
  <c r="N112" i="1"/>
  <c r="Q109" i="1"/>
  <c r="N105" i="1"/>
  <c r="Q102" i="1"/>
  <c r="O98" i="1"/>
  <c r="M94" i="1"/>
  <c r="P91" i="1"/>
  <c r="N87" i="1"/>
  <c r="Q84" i="1"/>
  <c r="M83" i="1"/>
  <c r="M262" i="1"/>
  <c r="O257" i="1"/>
  <c r="P213" i="1"/>
  <c r="N211" i="1"/>
  <c r="O209" i="1"/>
  <c r="Q207" i="1"/>
  <c r="N188" i="1"/>
  <c r="P186" i="1"/>
  <c r="O181" i="1"/>
  <c r="N174" i="1"/>
  <c r="P167" i="1"/>
  <c r="N162" i="1"/>
  <c r="P157" i="1"/>
  <c r="M154" i="1"/>
  <c r="M151" i="1"/>
  <c r="M148" i="1"/>
  <c r="M142" i="1"/>
  <c r="N139" i="1"/>
  <c r="N136" i="1"/>
  <c r="M133" i="1"/>
  <c r="N130" i="1"/>
  <c r="P127" i="1"/>
  <c r="N123" i="1"/>
  <c r="P120" i="1"/>
  <c r="N116" i="1"/>
  <c r="Q113" i="1"/>
  <c r="N109" i="1"/>
  <c r="Q106" i="1"/>
  <c r="O102" i="1"/>
  <c r="M98" i="1"/>
  <c r="P95" i="1"/>
  <c r="N91" i="1"/>
  <c r="P88" i="1"/>
  <c r="O84" i="1"/>
  <c r="O80" i="1"/>
  <c r="O76" i="1"/>
  <c r="O264" i="1"/>
  <c r="P259" i="1"/>
  <c r="Q252" i="1"/>
  <c r="Q243" i="1"/>
  <c r="P239" i="1"/>
  <c r="N237" i="1"/>
  <c r="N235" i="1"/>
  <c r="N233" i="1"/>
  <c r="N231" i="1"/>
  <c r="O229" i="1"/>
  <c r="M227" i="1"/>
  <c r="N223" i="1"/>
  <c r="N221" i="1"/>
  <c r="N219" i="1"/>
  <c r="N217" i="1"/>
  <c r="M207" i="1"/>
  <c r="N203" i="1"/>
  <c r="O201" i="1"/>
  <c r="P199" i="1"/>
  <c r="M186" i="1"/>
  <c r="Q184" i="1"/>
  <c r="M179" i="1"/>
  <c r="P177" i="1"/>
  <c r="O172" i="1"/>
  <c r="O261" i="1"/>
  <c r="P256" i="1"/>
  <c r="Q251" i="1"/>
  <c r="O249" i="1"/>
  <c r="Q216" i="1"/>
  <c r="O214" i="1"/>
  <c r="Q212" i="1"/>
  <c r="O210" i="1"/>
  <c r="O208" i="1"/>
  <c r="O206" i="1"/>
  <c r="Q204" i="1"/>
  <c r="N189" i="1"/>
  <c r="P187" i="1"/>
  <c r="P180" i="1"/>
  <c r="N175" i="1"/>
  <c r="P247" i="1"/>
  <c r="N245" i="1"/>
  <c r="O240" i="1"/>
  <c r="M235" i="1"/>
  <c r="O230" i="1"/>
  <c r="N228" i="1"/>
  <c r="P225" i="1"/>
  <c r="P223" i="1"/>
  <c r="N218" i="1"/>
  <c r="N201" i="1"/>
  <c r="Q196" i="1"/>
  <c r="N187" i="1"/>
  <c r="O168" i="1"/>
  <c r="P166" i="1"/>
  <c r="M159" i="1"/>
  <c r="O157" i="1"/>
  <c r="Q155" i="1"/>
  <c r="O150" i="1"/>
  <c r="Q145" i="1"/>
  <c r="O140" i="1"/>
  <c r="O135" i="1"/>
  <c r="P128" i="1"/>
  <c r="O125" i="1"/>
  <c r="O122" i="1"/>
  <c r="O119" i="1"/>
  <c r="P108" i="1"/>
  <c r="O105" i="1"/>
  <c r="M102" i="1"/>
  <c r="N99" i="1"/>
  <c r="O88" i="1"/>
  <c r="O85" i="1"/>
  <c r="O82" i="1"/>
  <c r="P79" i="1"/>
  <c r="M75" i="1"/>
  <c r="O72" i="1"/>
  <c r="O68" i="1"/>
  <c r="O64" i="1"/>
  <c r="O60" i="1"/>
  <c r="O56" i="1"/>
  <c r="O52" i="1"/>
  <c r="O48" i="1"/>
  <c r="P255" i="1"/>
  <c r="N247" i="1"/>
  <c r="O242" i="1"/>
  <c r="N240" i="1"/>
  <c r="N230" i="1"/>
  <c r="N225" i="1"/>
  <c r="M223" i="1"/>
  <c r="M218" i="1"/>
  <c r="O213" i="1"/>
  <c r="N208" i="1"/>
  <c r="P196" i="1"/>
  <c r="P178" i="1"/>
  <c r="Q176" i="1"/>
  <c r="N168" i="1"/>
  <c r="O166" i="1"/>
  <c r="N157" i="1"/>
  <c r="P155" i="1"/>
  <c r="N150" i="1"/>
  <c r="M145" i="1"/>
  <c r="N140" i="1"/>
  <c r="Q138" i="1"/>
  <c r="N135" i="1"/>
  <c r="O128" i="1"/>
  <c r="N125" i="1"/>
  <c r="N122" i="1"/>
  <c r="M119" i="1"/>
  <c r="Q114" i="1"/>
  <c r="Q111" i="1"/>
  <c r="O108" i="1"/>
  <c r="M105" i="1"/>
  <c r="M99" i="1"/>
  <c r="Q94" i="1"/>
  <c r="Q91" i="1"/>
  <c r="N88" i="1"/>
  <c r="N85" i="1"/>
  <c r="N82" i="1"/>
  <c r="O79" i="1"/>
  <c r="Q76" i="1"/>
  <c r="N72" i="1"/>
  <c r="N68" i="1"/>
  <c r="N64" i="1"/>
  <c r="N60" i="1"/>
  <c r="N56" i="1"/>
  <c r="N52" i="1"/>
  <c r="N48" i="1"/>
  <c r="M255" i="1"/>
  <c r="M247" i="1"/>
  <c r="N242" i="1"/>
  <c r="O237" i="1"/>
  <c r="Q232" i="1"/>
  <c r="M230" i="1"/>
  <c r="P203" i="1"/>
  <c r="P198" i="1"/>
  <c r="O196" i="1"/>
  <c r="Q191" i="1"/>
  <c r="P189" i="1"/>
  <c r="Q180" i="1"/>
  <c r="O178" i="1"/>
  <c r="N166" i="1"/>
  <c r="Q164" i="1"/>
  <c r="O155" i="1"/>
  <c r="M150" i="1"/>
  <c r="Q148" i="1"/>
  <c r="Q143" i="1"/>
  <c r="M140" i="1"/>
  <c r="P138" i="1"/>
  <c r="M135" i="1"/>
  <c r="N133" i="1"/>
  <c r="N128" i="1"/>
  <c r="M125" i="1"/>
  <c r="M122" i="1"/>
  <c r="Q117" i="1"/>
  <c r="P114" i="1"/>
  <c r="P111" i="1"/>
  <c r="N108" i="1"/>
  <c r="Q100" i="1"/>
  <c r="Q97" i="1"/>
  <c r="P94" i="1"/>
  <c r="P264" i="1"/>
  <c r="M258" i="1"/>
  <c r="P252" i="1"/>
  <c r="N249" i="1"/>
  <c r="Q244" i="1"/>
  <c r="N232" i="1"/>
  <c r="N227" i="1"/>
  <c r="O220" i="1"/>
  <c r="Q215" i="1"/>
  <c r="N210" i="1"/>
  <c r="P205" i="1"/>
  <c r="M198" i="1"/>
  <c r="P193" i="1"/>
  <c r="N191" i="1"/>
  <c r="P184" i="1"/>
  <c r="M182" i="1"/>
  <c r="N180" i="1"/>
  <c r="M178" i="1"/>
  <c r="Q171" i="1"/>
  <c r="O164" i="1"/>
  <c r="O162" i="1"/>
  <c r="Q160" i="1"/>
  <c r="M155" i="1"/>
  <c r="N153" i="1"/>
  <c r="N148" i="1"/>
  <c r="Q146" i="1"/>
  <c r="O143" i="1"/>
  <c r="N138" i="1"/>
  <c r="P131" i="1"/>
  <c r="O120" i="1"/>
  <c r="N117" i="1"/>
  <c r="N114" i="1"/>
  <c r="N111" i="1"/>
  <c r="P106" i="1"/>
  <c r="P103" i="1"/>
  <c r="O100" i="1"/>
  <c r="N97" i="1"/>
  <c r="N94" i="1"/>
  <c r="Q89" i="1"/>
  <c r="Q86" i="1"/>
  <c r="Q83" i="1"/>
  <c r="Q80" i="1"/>
  <c r="M76" i="1"/>
  <c r="O73" i="1"/>
  <c r="O69" i="1"/>
  <c r="N264" i="1"/>
  <c r="O244" i="1"/>
  <c r="M215" i="1"/>
  <c r="O205" i="1"/>
  <c r="N193" i="1"/>
  <c r="M191" i="1"/>
  <c r="O184" i="1"/>
  <c r="P171" i="1"/>
  <c r="M162" i="1"/>
  <c r="P160" i="1"/>
  <c r="P146" i="1"/>
  <c r="N143" i="1"/>
  <c r="M138" i="1"/>
  <c r="Q136" i="1"/>
  <c r="O131" i="1"/>
  <c r="Q126" i="1"/>
  <c r="Q123" i="1"/>
  <c r="N120" i="1"/>
  <c r="M117" i="1"/>
  <c r="M114" i="1"/>
  <c r="M111" i="1"/>
  <c r="O106" i="1"/>
  <c r="O103" i="1"/>
  <c r="N100" i="1"/>
  <c r="M97" i="1"/>
  <c r="Q92" i="1"/>
  <c r="O89" i="1"/>
  <c r="P86" i="1"/>
  <c r="P83" i="1"/>
  <c r="P80" i="1"/>
  <c r="Q77" i="1"/>
  <c r="N73" i="1"/>
  <c r="N69" i="1"/>
  <c r="N65" i="1"/>
  <c r="N61" i="1"/>
  <c r="N57" i="1"/>
  <c r="N244" i="1"/>
  <c r="N239" i="1"/>
  <c r="M234" i="1"/>
  <c r="Q200" i="1"/>
  <c r="O186" i="1"/>
  <c r="N184" i="1"/>
  <c r="Q175" i="1"/>
  <c r="P173" i="1"/>
  <c r="O171" i="1"/>
  <c r="O160" i="1"/>
  <c r="Q151" i="1"/>
  <c r="O146" i="1"/>
  <c r="M143" i="1"/>
  <c r="Q141" i="1"/>
  <c r="O136" i="1"/>
  <c r="Q134" i="1"/>
  <c r="N131" i="1"/>
  <c r="P126" i="1"/>
  <c r="O123" i="1"/>
  <c r="M120" i="1"/>
  <c r="Q112" i="1"/>
  <c r="O109" i="1"/>
  <c r="N106" i="1"/>
  <c r="N103" i="1"/>
  <c r="M100" i="1"/>
  <c r="P92" i="1"/>
  <c r="N89" i="1"/>
  <c r="O86" i="1"/>
  <c r="O83" i="1"/>
  <c r="N80" i="1"/>
  <c r="P77" i="1"/>
  <c r="M73" i="1"/>
  <c r="Q70" i="1"/>
  <c r="M69" i="1"/>
  <c r="Q66" i="1"/>
  <c r="M65" i="1"/>
  <c r="Q62" i="1"/>
  <c r="M61" i="1"/>
  <c r="N253" i="1"/>
  <c r="P235" i="1"/>
  <c r="O212" i="1"/>
  <c r="N202" i="1"/>
  <c r="Q195" i="1"/>
  <c r="Q192" i="1"/>
  <c r="N186" i="1"/>
  <c r="M183" i="1"/>
  <c r="O180" i="1"/>
  <c r="O177" i="1"/>
  <c r="O156" i="1"/>
  <c r="P151" i="1"/>
  <c r="O144" i="1"/>
  <c r="M139" i="1"/>
  <c r="N134" i="1"/>
  <c r="M132" i="1"/>
  <c r="Q129" i="1"/>
  <c r="O127" i="1"/>
  <c r="M118" i="1"/>
  <c r="P107" i="1"/>
  <c r="N98" i="1"/>
  <c r="N96" i="1"/>
  <c r="M90" i="1"/>
  <c r="N83" i="1"/>
  <c r="M81" i="1"/>
  <c r="M79" i="1"/>
  <c r="M77" i="1"/>
  <c r="Q75" i="1"/>
  <c r="M68" i="1"/>
  <c r="N66" i="1"/>
  <c r="O61" i="1"/>
  <c r="P53" i="1"/>
  <c r="P50" i="1"/>
  <c r="Q47" i="1"/>
  <c r="M46" i="1"/>
  <c r="Q43" i="1"/>
  <c r="M42" i="1"/>
  <c r="Q39" i="1"/>
  <c r="M38" i="1"/>
  <c r="Q35" i="1"/>
  <c r="M34" i="1"/>
  <c r="Q31" i="1"/>
  <c r="M30" i="1"/>
  <c r="Q27" i="1"/>
  <c r="M26" i="1"/>
  <c r="Q23" i="1"/>
  <c r="M22" i="1"/>
  <c r="Q19" i="1"/>
  <c r="M18" i="1"/>
  <c r="Q260" i="1"/>
  <c r="P245" i="1"/>
  <c r="Q228" i="1"/>
  <c r="N212" i="1"/>
  <c r="M202" i="1"/>
  <c r="M195" i="1"/>
  <c r="P192" i="1"/>
  <c r="N177" i="1"/>
  <c r="P161" i="1"/>
  <c r="N156" i="1"/>
  <c r="N151" i="1"/>
  <c r="N146" i="1"/>
  <c r="N144" i="1"/>
  <c r="M134" i="1"/>
  <c r="N129" i="1"/>
  <c r="N127" i="1"/>
  <c r="M109" i="1"/>
  <c r="O107" i="1"/>
  <c r="P100" i="1"/>
  <c r="M96" i="1"/>
  <c r="Q85" i="1"/>
  <c r="P75" i="1"/>
  <c r="M66" i="1"/>
  <c r="Q59" i="1"/>
  <c r="Q56" i="1"/>
  <c r="O53" i="1"/>
  <c r="O50" i="1"/>
  <c r="P47" i="1"/>
  <c r="P43" i="1"/>
  <c r="P39" i="1"/>
  <c r="P35" i="1"/>
  <c r="P31" i="1"/>
  <c r="P27" i="1"/>
  <c r="P23" i="1"/>
  <c r="P19" i="1"/>
  <c r="N256" i="1"/>
  <c r="M238" i="1"/>
  <c r="M231" i="1"/>
  <c r="P224" i="1"/>
  <c r="O221" i="1"/>
  <c r="N182" i="1"/>
  <c r="P163" i="1"/>
  <c r="N158" i="1"/>
  <c r="P148" i="1"/>
  <c r="M131" i="1"/>
  <c r="O124" i="1"/>
  <c r="P115" i="1"/>
  <c r="O113" i="1"/>
  <c r="O111" i="1"/>
  <c r="P104" i="1"/>
  <c r="N102" i="1"/>
  <c r="M89" i="1"/>
  <c r="O87" i="1"/>
  <c r="O71" i="1"/>
  <c r="M64" i="1"/>
  <c r="P62" i="1"/>
  <c r="N59" i="1"/>
  <c r="Q54" i="1"/>
  <c r="M47" i="1"/>
  <c r="Q44" i="1"/>
  <c r="M43" i="1"/>
  <c r="Q40" i="1"/>
  <c r="M39" i="1"/>
  <c r="Q36" i="1"/>
  <c r="M35" i="1"/>
  <c r="Q32" i="1"/>
  <c r="M31" i="1"/>
  <c r="Q28" i="1"/>
  <c r="M27" i="1"/>
  <c r="Q24" i="1"/>
  <c r="M23" i="1"/>
  <c r="Q20" i="1"/>
  <c r="M19" i="1"/>
  <c r="Q16" i="1"/>
  <c r="P251" i="1"/>
  <c r="O224" i="1"/>
  <c r="P211" i="1"/>
  <c r="P201" i="1"/>
  <c r="Q188" i="1"/>
  <c r="Q179" i="1"/>
  <c r="Q168" i="1"/>
  <c r="P165" i="1"/>
  <c r="O163" i="1"/>
  <c r="M158" i="1"/>
  <c r="N124" i="1"/>
  <c r="O117" i="1"/>
  <c r="O115" i="1"/>
  <c r="N113" i="1"/>
  <c r="O104" i="1"/>
  <c r="Q95" i="1"/>
  <c r="Q93" i="1"/>
  <c r="M87" i="1"/>
  <c r="Q78" i="1"/>
  <c r="N71" i="1"/>
  <c r="Q69" i="1"/>
  <c r="Q67" i="1"/>
  <c r="O62" i="1"/>
  <c r="M59" i="1"/>
  <c r="P54" i="1"/>
  <c r="Q51" i="1"/>
  <c r="P44" i="1"/>
  <c r="P40" i="1"/>
  <c r="P36" i="1"/>
  <c r="P32" i="1"/>
  <c r="P28" i="1"/>
  <c r="P24" i="1"/>
  <c r="P20" i="1"/>
  <c r="P16" i="1"/>
  <c r="M251" i="1"/>
  <c r="O217" i="1"/>
  <c r="M214" i="1"/>
  <c r="P207" i="1"/>
  <c r="O204" i="1"/>
  <c r="O194" i="1"/>
  <c r="N185" i="1"/>
  <c r="N251" i="1"/>
  <c r="N224" i="1"/>
  <c r="P217" i="1"/>
  <c r="N214" i="1"/>
  <c r="M211" i="1"/>
  <c r="P204" i="1"/>
  <c r="P194" i="1"/>
  <c r="P191" i="1"/>
  <c r="O188" i="1"/>
  <c r="O185" i="1"/>
  <c r="N179" i="1"/>
  <c r="P168" i="1"/>
  <c r="O165" i="1"/>
  <c r="N163" i="1"/>
  <c r="N160" i="1"/>
  <c r="N155" i="1"/>
  <c r="P143" i="1"/>
  <c r="O138" i="1"/>
  <c r="O126" i="1"/>
  <c r="M124" i="1"/>
  <c r="Q121" i="1"/>
  <c r="N115" i="1"/>
  <c r="M113" i="1"/>
  <c r="M106" i="1"/>
  <c r="N104" i="1"/>
  <c r="O95" i="1"/>
  <c r="O93" i="1"/>
  <c r="O91" i="1"/>
  <c r="M80" i="1"/>
  <c r="P78" i="1"/>
  <c r="M71" i="1"/>
  <c r="P69" i="1"/>
  <c r="P67" i="1"/>
  <c r="N62" i="1"/>
  <c r="Q57" i="1"/>
  <c r="O54" i="1"/>
  <c r="P51" i="1"/>
  <c r="Q48" i="1"/>
  <c r="O44" i="1"/>
  <c r="O40" i="1"/>
  <c r="O36" i="1"/>
  <c r="O32" i="1"/>
  <c r="O28" i="1"/>
  <c r="O24" i="1"/>
  <c r="O20" i="1"/>
  <c r="O16" i="1"/>
  <c r="M259" i="1"/>
  <c r="N260" i="1"/>
  <c r="P241" i="1"/>
  <c r="P220" i="1"/>
  <c r="O216" i="1"/>
  <c r="N207" i="1"/>
  <c r="N199" i="1"/>
  <c r="O175" i="1"/>
  <c r="P172" i="1"/>
  <c r="P159" i="1"/>
  <c r="Q152" i="1"/>
  <c r="N149" i="1"/>
  <c r="M137" i="1"/>
  <c r="Q130" i="1"/>
  <c r="Q127" i="1"/>
  <c r="M121" i="1"/>
  <c r="Q118" i="1"/>
  <c r="O116" i="1"/>
  <c r="O110" i="1"/>
  <c r="Q107" i="1"/>
  <c r="M104" i="1"/>
  <c r="M101" i="1"/>
  <c r="P98" i="1"/>
  <c r="P90" i="1"/>
  <c r="M82" i="1"/>
  <c r="N77" i="1"/>
  <c r="M70" i="1"/>
  <c r="O65" i="1"/>
  <c r="N63" i="1"/>
  <c r="M45" i="1"/>
  <c r="N43" i="1"/>
  <c r="P41" i="1"/>
  <c r="N34" i="1"/>
  <c r="M32" i="1"/>
  <c r="Q30" i="1"/>
  <c r="O21" i="1"/>
  <c r="Q264" i="1"/>
  <c r="N254" i="1"/>
  <c r="O245" i="1"/>
  <c r="Q236" i="1"/>
  <c r="Q224" i="1"/>
  <c r="M194" i="1"/>
  <c r="O152" i="1"/>
  <c r="M130" i="1"/>
  <c r="O118" i="1"/>
  <c r="M110" i="1"/>
  <c r="M107" i="1"/>
  <c r="M95" i="1"/>
  <c r="N90" i="1"/>
  <c r="P87" i="1"/>
  <c r="P84" i="1"/>
  <c r="Q79" i="1"/>
  <c r="P74" i="1"/>
  <c r="P72" i="1"/>
  <c r="O67" i="1"/>
  <c r="Q60" i="1"/>
  <c r="Q58" i="1"/>
  <c r="N41" i="1"/>
  <c r="O39" i="1"/>
  <c r="Q37" i="1"/>
  <c r="O30" i="1"/>
  <c r="N28" i="1"/>
  <c r="M21" i="1"/>
  <c r="N19" i="1"/>
  <c r="P17" i="1"/>
  <c r="Q64" i="1"/>
  <c r="N257" i="1"/>
  <c r="P231" i="1"/>
  <c r="O167" i="1"/>
  <c r="N132" i="1"/>
  <c r="M86" i="1"/>
  <c r="O78" i="1"/>
  <c r="P64" i="1"/>
  <c r="P42" i="1"/>
  <c r="Q29" i="1"/>
  <c r="Q247" i="1"/>
  <c r="M243" i="1"/>
  <c r="N141" i="1"/>
  <c r="Q99" i="1"/>
  <c r="N78" i="1"/>
  <c r="P66" i="1"/>
  <c r="O42" i="1"/>
  <c r="N40" i="1"/>
  <c r="N31" i="1"/>
  <c r="M20" i="1"/>
  <c r="N262" i="1"/>
  <c r="N216" i="1"/>
  <c r="M199" i="1"/>
  <c r="M175" i="1"/>
  <c r="N172" i="1"/>
  <c r="N165" i="1"/>
  <c r="O159" i="1"/>
  <c r="P152" i="1"/>
  <c r="M149" i="1"/>
  <c r="M146" i="1"/>
  <c r="O130" i="1"/>
  <c r="M127" i="1"/>
  <c r="P118" i="1"/>
  <c r="M116" i="1"/>
  <c r="N110" i="1"/>
  <c r="N107" i="1"/>
  <c r="N95" i="1"/>
  <c r="O90" i="1"/>
  <c r="Q87" i="1"/>
  <c r="Q74" i="1"/>
  <c r="Q72" i="1"/>
  <c r="M63" i="1"/>
  <c r="O41" i="1"/>
  <c r="P30" i="1"/>
  <c r="N21" i="1"/>
  <c r="O19" i="1"/>
  <c r="Q17" i="1"/>
  <c r="M254" i="1"/>
  <c r="P249" i="1"/>
  <c r="Q240" i="1"/>
  <c r="P236" i="1"/>
  <c r="P228" i="1"/>
  <c r="P202" i="1"/>
  <c r="M190" i="1"/>
  <c r="N152" i="1"/>
  <c r="Q139" i="1"/>
  <c r="M136" i="1"/>
  <c r="N118" i="1"/>
  <c r="P112" i="1"/>
  <c r="O92" i="1"/>
  <c r="N84" i="1"/>
  <c r="Q81" i="1"/>
  <c r="N79" i="1"/>
  <c r="O74" i="1"/>
  <c r="M72" i="1"/>
  <c r="N67" i="1"/>
  <c r="P60" i="1"/>
  <c r="P58" i="1"/>
  <c r="N54" i="1"/>
  <c r="Q52" i="1"/>
  <c r="Q50" i="1"/>
  <c r="P48" i="1"/>
  <c r="M41" i="1"/>
  <c r="N39" i="1"/>
  <c r="P37" i="1"/>
  <c r="N30" i="1"/>
  <c r="M28" i="1"/>
  <c r="Q26" i="1"/>
  <c r="O17" i="1"/>
  <c r="O253" i="1"/>
  <c r="P240" i="1"/>
  <c r="O236" i="1"/>
  <c r="P232" i="1"/>
  <c r="O228" i="1"/>
  <c r="Q219" i="1"/>
  <c r="O202" i="1"/>
  <c r="O198" i="1"/>
  <c r="N171" i="1"/>
  <c r="P158" i="1"/>
  <c r="M152" i="1"/>
  <c r="Q142" i="1"/>
  <c r="O139" i="1"/>
  <c r="N126" i="1"/>
  <c r="M123" i="1"/>
  <c r="Q115" i="1"/>
  <c r="O112" i="1"/>
  <c r="Q103" i="1"/>
  <c r="N92" i="1"/>
  <c r="M84" i="1"/>
  <c r="P81" i="1"/>
  <c r="N74" i="1"/>
  <c r="M67" i="1"/>
  <c r="M60" i="1"/>
  <c r="O58" i="1"/>
  <c r="M54" i="1"/>
  <c r="P52" i="1"/>
  <c r="N50" i="1"/>
  <c r="M48" i="1"/>
  <c r="Q46" i="1"/>
  <c r="O37" i="1"/>
  <c r="P26" i="1"/>
  <c r="N17" i="1"/>
  <c r="N258" i="1"/>
  <c r="P219" i="1"/>
  <c r="N206" i="1"/>
  <c r="N178" i="1"/>
  <c r="O174" i="1"/>
  <c r="M171" i="1"/>
  <c r="O158" i="1"/>
  <c r="P142" i="1"/>
  <c r="Q132" i="1"/>
  <c r="M115" i="1"/>
  <c r="M112" i="1"/>
  <c r="M103" i="1"/>
  <c r="O97" i="1"/>
  <c r="M92" i="1"/>
  <c r="O81" i="1"/>
  <c r="P76" i="1"/>
  <c r="M74" i="1"/>
  <c r="M62" i="1"/>
  <c r="N58" i="1"/>
  <c r="P56" i="1"/>
  <c r="M52" i="1"/>
  <c r="M50" i="1"/>
  <c r="P46" i="1"/>
  <c r="N37" i="1"/>
  <c r="O35" i="1"/>
  <c r="Q33" i="1"/>
  <c r="O26" i="1"/>
  <c r="N24" i="1"/>
  <c r="M17" i="1"/>
  <c r="P243" i="1"/>
  <c r="Q231" i="1"/>
  <c r="P197" i="1"/>
  <c r="O189" i="1"/>
  <c r="P181" i="1"/>
  <c r="Q167" i="1"/>
  <c r="N161" i="1"/>
  <c r="P154" i="1"/>
  <c r="O132" i="1"/>
  <c r="N86" i="1"/>
  <c r="Q71" i="1"/>
  <c r="N46" i="1"/>
  <c r="M44" i="1"/>
  <c r="Q42" i="1"/>
  <c r="O33" i="1"/>
  <c r="P22" i="1"/>
  <c r="N243" i="1"/>
  <c r="Q235" i="1"/>
  <c r="O197" i="1"/>
  <c r="N181" i="1"/>
  <c r="P164" i="1"/>
  <c r="N154" i="1"/>
  <c r="Q135" i="1"/>
  <c r="P71" i="1"/>
  <c r="N33" i="1"/>
  <c r="O31" i="1"/>
  <c r="O22" i="1"/>
  <c r="N20" i="1"/>
  <c r="P209" i="1"/>
  <c r="N197" i="1"/>
  <c r="P170" i="1"/>
  <c r="P135" i="1"/>
  <c r="Q128" i="1"/>
  <c r="O94" i="1"/>
  <c r="M33" i="1"/>
  <c r="P29" i="1"/>
  <c r="N22" i="1"/>
  <c r="Q18" i="1"/>
  <c r="N248" i="1"/>
  <c r="Q223" i="1"/>
  <c r="M219" i="1"/>
  <c r="M206" i="1"/>
  <c r="M174" i="1"/>
  <c r="O161" i="1"/>
  <c r="N142" i="1"/>
  <c r="P132" i="1"/>
  <c r="M129" i="1"/>
  <c r="Q120" i="1"/>
  <c r="N81" i="1"/>
  <c r="N76" i="1"/>
  <c r="M58" i="1"/>
  <c r="M56" i="1"/>
  <c r="O46" i="1"/>
  <c r="N44" i="1"/>
  <c r="M37" i="1"/>
  <c r="N35" i="1"/>
  <c r="P33" i="1"/>
  <c r="N26" i="1"/>
  <c r="M24" i="1"/>
  <c r="Q22" i="1"/>
  <c r="P253" i="1"/>
  <c r="O238" i="1"/>
  <c r="N226" i="1"/>
  <c r="N169" i="1"/>
  <c r="O153" i="1"/>
  <c r="Q147" i="1"/>
  <c r="Q122" i="1"/>
  <c r="Q98" i="1"/>
  <c r="Q63" i="1"/>
  <c r="O59" i="1"/>
  <c r="P55" i="1"/>
  <c r="O51" i="1"/>
  <c r="N23" i="1"/>
  <c r="O147" i="1"/>
  <c r="M93" i="1"/>
  <c r="O75" i="1"/>
  <c r="M51" i="1"/>
  <c r="O29" i="1"/>
  <c r="Q256" i="1"/>
  <c r="N147" i="1"/>
  <c r="M88" i="1"/>
  <c r="N75" i="1"/>
  <c r="M55" i="1"/>
  <c r="N47" i="1"/>
  <c r="N29" i="1"/>
  <c r="Q25" i="1"/>
  <c r="O233" i="1"/>
  <c r="N238" i="1"/>
  <c r="M226" i="1"/>
  <c r="Q163" i="1"/>
  <c r="P147" i="1"/>
  <c r="P122" i="1"/>
  <c r="P102" i="1"/>
  <c r="N93" i="1"/>
  <c r="P63" i="1"/>
  <c r="O55" i="1"/>
  <c r="N51" i="1"/>
  <c r="M40" i="1"/>
  <c r="M163" i="1"/>
  <c r="Q88" i="1"/>
  <c r="O63" i="1"/>
  <c r="N55" i="1"/>
  <c r="O47" i="1"/>
  <c r="Q183" i="1"/>
  <c r="Q137" i="1"/>
  <c r="M108" i="1"/>
  <c r="O256" i="1"/>
  <c r="P183" i="1"/>
  <c r="M147" i="1"/>
  <c r="M141" i="1"/>
  <c r="N137" i="1"/>
  <c r="Q131" i="1"/>
  <c r="O121" i="1"/>
  <c r="Q101" i="1"/>
  <c r="O66" i="1"/>
  <c r="N36" i="1"/>
  <c r="M29" i="1"/>
  <c r="P25" i="1"/>
  <c r="P18" i="1"/>
  <c r="P200" i="1"/>
  <c r="O183" i="1"/>
  <c r="N121" i="1"/>
  <c r="O101" i="1"/>
  <c r="Q96" i="1"/>
  <c r="P70" i="1"/>
  <c r="M36" i="1"/>
  <c r="O25" i="1"/>
  <c r="O18" i="1"/>
  <c r="Q116" i="1"/>
  <c r="Q199" i="1"/>
  <c r="P140" i="1"/>
  <c r="Q105" i="1"/>
  <c r="P61" i="1"/>
  <c r="N53" i="1"/>
  <c r="Q124" i="1"/>
  <c r="M53" i="1"/>
  <c r="P85" i="1"/>
  <c r="P68" i="1"/>
  <c r="P34" i="1"/>
  <c r="M16" i="1"/>
  <c r="O226" i="1"/>
  <c r="P169" i="1"/>
  <c r="Q55" i="1"/>
  <c r="O34" i="1"/>
  <c r="O23" i="1"/>
  <c r="P212" i="1"/>
  <c r="Q172" i="1"/>
  <c r="N101" i="1"/>
  <c r="P96" i="1"/>
  <c r="M78" i="1"/>
  <c r="O70" i="1"/>
  <c r="O43" i="1"/>
  <c r="N25" i="1"/>
  <c r="N18" i="1"/>
  <c r="M242" i="1"/>
  <c r="P229" i="1"/>
  <c r="P156" i="1"/>
  <c r="Q150" i="1"/>
  <c r="Q125" i="1"/>
  <c r="O96" i="1"/>
  <c r="M91" i="1"/>
  <c r="N70" i="1"/>
  <c r="P57" i="1"/>
  <c r="N32" i="1"/>
  <c r="M25" i="1"/>
  <c r="Q21" i="1"/>
  <c r="P150" i="1"/>
  <c r="Q140" i="1"/>
  <c r="Q110" i="1"/>
  <c r="Q82" i="1"/>
  <c r="Q73" i="1"/>
  <c r="Q65" i="1"/>
  <c r="Q61" i="1"/>
  <c r="O57" i="1"/>
  <c r="Q53" i="1"/>
  <c r="Q49" i="1"/>
  <c r="P21" i="1"/>
  <c r="N192" i="1"/>
  <c r="Q187" i="1"/>
  <c r="P110" i="1"/>
  <c r="P82" i="1"/>
  <c r="P73" i="1"/>
  <c r="P65" i="1"/>
  <c r="M57" i="1"/>
  <c r="P49" i="1"/>
  <c r="N42" i="1"/>
  <c r="P260" i="1"/>
  <c r="M166" i="1"/>
  <c r="Q119" i="1"/>
  <c r="O49" i="1"/>
  <c r="Q45" i="1"/>
  <c r="Q38" i="1"/>
  <c r="Q108" i="1"/>
  <c r="Q41" i="1"/>
  <c r="M85" i="1"/>
  <c r="P59" i="1"/>
  <c r="P221" i="1"/>
  <c r="M246" i="1"/>
  <c r="O222" i="1"/>
  <c r="P216" i="1"/>
  <c r="N204" i="1"/>
  <c r="P175" i="1"/>
  <c r="O170" i="1"/>
  <c r="Q149" i="1"/>
  <c r="Q144" i="1"/>
  <c r="P134" i="1"/>
  <c r="P124" i="1"/>
  <c r="P119" i="1"/>
  <c r="P99" i="1"/>
  <c r="O77" i="1"/>
  <c r="N49" i="1"/>
  <c r="P45" i="1"/>
  <c r="P38" i="1"/>
  <c r="O27" i="1"/>
  <c r="P144" i="1"/>
  <c r="O134" i="1"/>
  <c r="O114" i="1"/>
  <c r="Q104" i="1"/>
  <c r="O99" i="1"/>
  <c r="Q90" i="1"/>
  <c r="M49" i="1"/>
  <c r="O45" i="1"/>
  <c r="O38" i="1"/>
  <c r="N27" i="1"/>
  <c r="P233" i="1"/>
  <c r="N209" i="1"/>
  <c r="M144" i="1"/>
  <c r="M128" i="1"/>
  <c r="Q68" i="1"/>
  <c r="N45" i="1"/>
  <c r="N38" i="1"/>
  <c r="Q34" i="1"/>
  <c r="N16" i="1"/>
  <c r="H9" i="1" l="1"/>
  <c r="P9" i="1"/>
  <c r="D9" i="1"/>
  <c r="M9" i="1"/>
  <c r="F9" i="1"/>
  <c r="Q9" i="1"/>
  <c r="E9" i="1"/>
  <c r="N9" i="1"/>
  <c r="O9" i="1"/>
  <c r="G9" i="1"/>
  <c r="E10" i="1" l="1"/>
  <c r="E11" i="1"/>
  <c r="F10" i="1"/>
  <c r="F11" i="1"/>
  <c r="M10" i="1"/>
  <c r="L9" i="1"/>
  <c r="M11" i="1"/>
  <c r="N11" i="1"/>
  <c r="N10" i="1"/>
  <c r="D10" i="1"/>
  <c r="D11" i="1"/>
  <c r="C9" i="1"/>
  <c r="O11" i="1"/>
  <c r="O10" i="1"/>
  <c r="P10" i="1"/>
  <c r="P11" i="1"/>
  <c r="G10" i="1"/>
  <c r="G11" i="1"/>
  <c r="Q10" i="1"/>
  <c r="Q11" i="1"/>
  <c r="H10" i="1"/>
  <c r="H11" i="1"/>
  <c r="C10" i="1" l="1"/>
  <c r="C11" i="1"/>
  <c r="L10" i="1"/>
  <c r="L11" i="1"/>
</calcChain>
</file>

<file path=xl/sharedStrings.xml><?xml version="1.0" encoding="utf-8"?>
<sst xmlns="http://schemas.openxmlformats.org/spreadsheetml/2006/main" count="624" uniqueCount="330">
  <si>
    <t>Nilai Investasi (Vo)</t>
  </si>
  <si>
    <t>TABEL UJI NORMALITAS RETURN HARIAN (PYTHON SCIPY)</t>
  </si>
  <si>
    <t>Holding Period (t)</t>
  </si>
  <si>
    <t>Parameter / Uji Statistik</t>
  </si>
  <si>
    <t>Microsoft (MSFT)</t>
  </si>
  <si>
    <t>Amazon (AMZN)</t>
  </si>
  <si>
    <t>Keterangan / Evaluasi</t>
  </si>
  <si>
    <t>Tingkat Signifikansi (alfa)</t>
  </si>
  <si>
    <t>Ukuran Sampel (N)</t>
  </si>
  <si>
    <t>250</t>
  </si>
  <si>
    <t>1 tahun hari bursa aktif (Sept 2025 - Sept 2026)</t>
  </si>
  <si>
    <t>Tingkat Kepercayaan (1-alfa)</t>
  </si>
  <si>
    <t>Mean Return (μ)</t>
  </si>
  <si>
    <t>0.0106%</t>
  </si>
  <si>
    <t>0.0739%</t>
  </si>
  <si>
    <t>Rata-rata return harian</t>
  </si>
  <si>
    <t>Standar Deviasi (σ)</t>
  </si>
  <si>
    <t>2.0554%</t>
  </si>
  <si>
    <t>2.1745%</t>
  </si>
  <si>
    <t>Volatilitas harian (AMZN &gt; MSFT)</t>
  </si>
  <si>
    <t>Kemencengan (Skewness)</t>
  </si>
  <si>
    <t>1.3479</t>
  </si>
  <si>
    <t>1.5930</t>
  </si>
  <si>
    <t>Asimetris ke kanan (right-skewed &gt; 0)</t>
  </si>
  <si>
    <t>Faktor Waktu (√t)</t>
  </si>
  <si>
    <t>Simulasi 1</t>
  </si>
  <si>
    <t>Simulasi 2</t>
  </si>
  <si>
    <t>Simulasi 3</t>
  </si>
  <si>
    <t>Simulasi 4</t>
  </si>
  <si>
    <t>Simulasi 5</t>
  </si>
  <si>
    <t>Excess Kurtosis</t>
  </si>
  <si>
    <t>13.9949</t>
  </si>
  <si>
    <t>9.9494</t>
  </si>
  <si>
    <t>Leptokurtik ekstrem / ekor tebal (fat tails)</t>
  </si>
  <si>
    <t>Nilai Persentil-alfa (Rata-rata)</t>
  </si>
  <si>
    <t>Jarque-Bera (Statistik)</t>
  </si>
  <si>
    <t>2115.89</t>
  </si>
  <si>
    <t>1136.90</t>
  </si>
  <si>
    <t>Distribusi Chi-Square (df=2)</t>
  </si>
  <si>
    <t>Nilai VaR ($)</t>
  </si>
  <si>
    <t>Jarque-Bera (p-value)</t>
  </si>
  <si>
    <t>0.0000</t>
  </si>
  <si>
    <t>1.34e-247</t>
  </si>
  <si>
    <t>Tolak H0 normalitas (p-value &lt; 0.05)</t>
  </si>
  <si>
    <t>Nilai VaR (%)</t>
  </si>
  <si>
    <t>Shapiro-Wilk (Statistik W)</t>
  </si>
  <si>
    <t>0.8780</t>
  </si>
  <si>
    <t>0.9055</t>
  </si>
  <si>
    <t>Uji keselarasan kuantil empiris</t>
  </si>
  <si>
    <t>Shapiro-Wilk (p-value)</t>
  </si>
  <si>
    <t>2.90e-13</t>
  </si>
  <si>
    <t>1.91e-11</t>
  </si>
  <si>
    <t>MICROSOFT (MSFT)</t>
  </si>
  <si>
    <t>AMAZON (AMZN)</t>
  </si>
  <si>
    <t>Kolmogorov-Smirnov (Statistik D)</t>
  </si>
  <si>
    <t>0.0805</t>
  </si>
  <si>
    <t>0.0724</t>
  </si>
  <si>
    <t>Jarak absolut maksimum fungsi kumulatif</t>
  </si>
  <si>
    <t>Tanggal</t>
  </si>
  <si>
    <t>Penutupan</t>
  </si>
  <si>
    <t>Return</t>
  </si>
  <si>
    <t>Closing</t>
  </si>
  <si>
    <t>Kolmogorov-Smirnov (p-value)</t>
  </si>
  <si>
    <t>0.0739</t>
  </si>
  <si>
    <t>0.1383</t>
  </si>
  <si>
    <t>Tidak tolak H0 pada taraf 5% (p-value &gt; 0.05)</t>
  </si>
  <si>
    <t>2025-09-22</t>
  </si>
  <si>
    <t>-</t>
  </si>
  <si>
    <t>Kesimpulan Uji Distribusi</t>
  </si>
  <si>
    <t>Non-Normal (Fat Tails)</t>
  </si>
  <si>
    <t>Data empiris memiliki ekor gemuk finansial</t>
  </si>
  <si>
    <t>2025-09-23</t>
  </si>
  <si>
    <t>2025-09-24</t>
  </si>
  <si>
    <t>KESIMPULAN DAN ANALISIS RISIKO</t>
  </si>
  <si>
    <t>2025-09-25</t>
  </si>
  <si>
    <t>1. Saham Microsoft (MSFT):</t>
  </si>
  <si>
    <t>2025-09-26</t>
  </si>
  <si>
    <t>Pada tingkat kepercayaan 95% dan holding period 1 hari dengan modal $100.000, estimasi rata-rata VaR saham Microsoft dari 5 iterasi simulasi berada di kisaran 3,0% - 3,4% (sekitar $3.000 - $3.400). Artinya, ada keyakinan 95% bahwa potensi kerugian harian saham MSFT tidak akan melampaui batas rata-rata simulasi tersebut.</t>
  </si>
  <si>
    <t>2025-09-29</t>
  </si>
  <si>
    <t>2025-09-30</t>
  </si>
  <si>
    <t>2. Saham Amazon (AMZN):</t>
  </si>
  <si>
    <t>2025-10-01</t>
  </si>
  <si>
    <t>Pada tingkat kepercayaan 95% dan holding period 1 hari dengan modal $100.000, estimasi rata-rata VaR saham Amazon dari 5 iterasi simulasi berada di kisaran 3,3% - 3,6% (sekitar $3.300 - $3.600). Artinya, potensi kerugian maksimum saham AMZN pada tingkat kepercayaan 95% berada di batas rata-rata simulasi tersebut.</t>
  </si>
  <si>
    <t>2025-10-02</t>
  </si>
  <si>
    <t>2025-10-03</t>
  </si>
  <si>
    <t>3. Perbandingan Risiko (AMZN vs MSFT):</t>
  </si>
  <si>
    <t>2025-10-06</t>
  </si>
  <si>
    <t>Saham Amazon menunjukkan potensi risiko kerugian yang lebih tinggi dibandingkan saham Microsoft, sejalan dengan tingkat volatilitas hariannya yang lebih besar (2,17% vs 2,06%). Investor saham Amazon membutuhkan alokasi cadangan modal risiko yang lebih tinggi untuk menutup potensi kerugian.</t>
  </si>
  <si>
    <t>2025-10-07</t>
  </si>
  <si>
    <t>2025-10-08</t>
  </si>
  <si>
    <t>4. Evaluasi Asumsi Normalitas terhadap Simulasi Monte Carlo:</t>
  </si>
  <si>
    <t>2025-10-09</t>
  </si>
  <si>
    <t>Uji Kolmogorov-Smirnov tidak menolak asumsi normalitas pada taraf 5% (p = 0,0739 untuk MSFT dan p = 0,1383 untuk AMZN), sehingga secara formal prosedur simulasi Monte Carlo Normal di sheet ini dapat dijustifikasi. Namun, uji Jarque-Bera dan Shapiro-Wilk mendeteksi excess kurtosis signifikan (MSFT = 13,99; AMZN = 9,95). Sebagai mitigasi risiko kerugian ekstrem di pasar riil, pendekatan Student-t VaR atau Historical Bootstrap direkomendasikan.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</si>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</sst>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0%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1F497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10" fontId="0" fillId="0" borderId="0" xfId="0" applyNumberForma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165" fontId="1" fillId="0" borderId="0" xfId="0" applyNumberFormat="1" applyFont="1"/>
    <xf numFmtId="164" fontId="1" fillId="4" borderId="0" xfId="0" applyNumberFormat="1" applyFont="1" applyFill="1"/>
    <xf numFmtId="10" fontId="1" fillId="0" borderId="0" xfId="0" applyNumberFormat="1" applyFont="1"/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27</xdr:row>
      <xdr:rowOff>0</xdr:rowOff>
    </xdr:from>
    <xdr:ext cx="7143750" cy="5095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9D96986-0327-404E-A187-FD92A678B3D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5450" y="5886450"/>
          <a:ext cx="7143750" cy="5095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1E23-C41A-4463-9A8B-4F276693A9F4}">
  <dimension ref="A2:V265"/>
  <sheetViews>
    <sheetView tabSelected="1" workbookViewId="0"/>
  </sheetViews>
  <sheetFormatPr defaultRowHeight="15"/>
  <cols>
    <col min="1" max="1" width="25" customWidth="1"/>
    <col min="2" max="2" width="13" customWidth="1"/>
    <col min="3" max="3" width="15" customWidth="1"/>
    <col min="4" max="8" width="14" customWidth="1"/>
    <col min="9" max="9" width="4" customWidth="1"/>
    <col min="10" max="10" width="25" customWidth="1"/>
    <col min="11" max="11" width="13" customWidth="1"/>
    <col min="12" max="12" width="15" customWidth="1"/>
    <col min="13" max="17" width="14" customWidth="1"/>
    <col min="18" max="18" width="4" customWidth="1"/>
    <col min="19" max="19" width="28" customWidth="1"/>
    <col min="20" max="21" width="18" customWidth="1"/>
    <col min="22" max="22" width="34" customWidth="1"/>
  </cols>
  <sheetData>
    <row r="2" spans="1:22">
      <c r="A2" t="s">
        <v>0</v>
      </c>
      <c r="C2" s="1">
        <v>100000</v>
      </c>
      <c r="J2" t="s">
        <v>0</v>
      </c>
      <c r="L2" s="1">
        <v>100000</v>
      </c>
      <c r="S2" s="2" t="s">
        <v>1</v>
      </c>
      <c r="T2" s="3"/>
      <c r="U2" s="3"/>
      <c r="V2" s="3"/>
    </row>
    <row r="3" spans="1:22" ht="15.75" thickBot="1">
      <c r="A3" t="s">
        <v>2</v>
      </c>
      <c r="C3">
        <v>1</v>
      </c>
      <c r="J3" t="s">
        <v>2</v>
      </c>
      <c r="L3">
        <v>1</v>
      </c>
      <c r="S3" s="4" t="s">
        <v>3</v>
      </c>
      <c r="T3" s="5" t="s">
        <v>4</v>
      </c>
      <c r="U3" s="5" t="s">
        <v>5</v>
      </c>
      <c r="V3" s="4" t="s">
        <v>6</v>
      </c>
    </row>
    <row r="4" spans="1:22">
      <c r="A4" t="s">
        <v>7</v>
      </c>
      <c r="C4" s="6">
        <v>0.05</v>
      </c>
      <c r="J4" t="s">
        <v>7</v>
      </c>
      <c r="L4" s="6">
        <v>0.05</v>
      </c>
      <c r="S4" s="7" t="s">
        <v>8</v>
      </c>
      <c r="T4" s="8" t="s">
        <v>9</v>
      </c>
      <c r="U4" s="8" t="s">
        <v>9</v>
      </c>
      <c r="V4" s="7" t="s">
        <v>10</v>
      </c>
    </row>
    <row r="5" spans="1:22">
      <c r="A5" t="s">
        <v>11</v>
      </c>
      <c r="C5" s="6">
        <f>1-C4</f>
        <v>0.95</v>
      </c>
      <c r="J5" t="s">
        <v>11</v>
      </c>
      <c r="L5" s="6">
        <f>1-L4</f>
        <v>0.95</v>
      </c>
      <c r="S5" s="7" t="s">
        <v>12</v>
      </c>
      <c r="T5" s="8" t="s">
        <v>13</v>
      </c>
      <c r="U5" s="8" t="s">
        <v>14</v>
      </c>
      <c r="V5" s="7" t="s">
        <v>15</v>
      </c>
    </row>
    <row r="6" spans="1:22">
      <c r="A6" t="s">
        <v>12</v>
      </c>
      <c r="C6" s="9">
        <f>AVERAGE(C16:C265)</f>
        <v>1.0606535175112806E-4</v>
      </c>
      <c r="J6" t="s">
        <v>12</v>
      </c>
      <c r="L6" s="9">
        <f>AVERAGE(L16:L265)</f>
        <v>7.3856936732114335E-4</v>
      </c>
      <c r="S6" s="7" t="s">
        <v>16</v>
      </c>
      <c r="T6" s="8" t="s">
        <v>17</v>
      </c>
      <c r="U6" s="8" t="s">
        <v>18</v>
      </c>
      <c r="V6" s="7" t="s">
        <v>19</v>
      </c>
    </row>
    <row r="7" spans="1:22">
      <c r="A7" t="s">
        <v>16</v>
      </c>
      <c r="C7" s="9">
        <f>_xlfn.STDEV.S(C16:C265)</f>
        <v>2.0553884805612602E-2</v>
      </c>
      <c r="J7" t="s">
        <v>16</v>
      </c>
      <c r="L7" s="9">
        <f>_xlfn.STDEV.S(L16:L265)</f>
        <v>2.1745329439889015E-2</v>
      </c>
      <c r="S7" s="7" t="s">
        <v>20</v>
      </c>
      <c r="T7" s="8" t="s">
        <v>21</v>
      </c>
      <c r="U7" s="8" t="s">
        <v>22</v>
      </c>
      <c r="V7" s="7" t="s">
        <v>23</v>
      </c>
    </row>
    <row r="8" spans="1:22">
      <c r="A8" t="s">
        <v>24</v>
      </c>
      <c r="C8" s="10">
        <f>SQRT(C3)</f>
        <v>1</v>
      </c>
      <c r="D8" s="11" t="s">
        <v>25</v>
      </c>
      <c r="E8" s="11" t="s">
        <v>26</v>
      </c>
      <c r="F8" s="11" t="s">
        <v>27</v>
      </c>
      <c r="G8" s="11" t="s">
        <v>28</v>
      </c>
      <c r="H8" s="11" t="s">
        <v>29</v>
      </c>
      <c r="J8" t="s">
        <v>24</v>
      </c>
      <c r="L8" s="10">
        <f>SQRT(L3)</f>
        <v>1</v>
      </c>
      <c r="M8" s="11" t="s">
        <v>25</v>
      </c>
      <c r="N8" s="11" t="s">
        <v>26</v>
      </c>
      <c r="O8" s="11" t="s">
        <v>27</v>
      </c>
      <c r="P8" s="11" t="s">
        <v>28</v>
      </c>
      <c r="Q8" s="11" t="s">
        <v>29</v>
      </c>
      <c r="S8" s="7" t="s">
        <v>30</v>
      </c>
      <c r="T8" s="8" t="s">
        <v>31</v>
      </c>
      <c r="U8" s="8" t="s">
        <v>32</v>
      </c>
      <c r="V8" s="7" t="s">
        <v>33</v>
      </c>
    </row>
    <row r="9" spans="1:22">
      <c r="A9" t="s">
        <v>34</v>
      </c>
      <c r="C9" s="12">
        <f ca="1">AVERAGE(D9:H9)</f>
        <v>3.3028002673476241E-2</v>
      </c>
      <c r="D9" s="9">
        <f ca="1">ABS(PERCENTILE(D16:D265, $C$4))</f>
        <v>3.2838510796943228E-2</v>
      </c>
      <c r="E9" s="9">
        <f ca="1">ABS(PERCENTILE(E16:E265, $C$4))</f>
        <v>3.4211022647135832E-2</v>
      </c>
      <c r="F9" s="9">
        <f ca="1">ABS(PERCENTILE(F16:F265, $C$4))</f>
        <v>3.4449967859305687E-2</v>
      </c>
      <c r="G9" s="9">
        <f ca="1">ABS(PERCENTILE(G16:G265, $C$4))</f>
        <v>3.2337816095255031E-2</v>
      </c>
      <c r="H9" s="9">
        <f ca="1">ABS(PERCENTILE(H16:H265, $C$4))</f>
        <v>3.1302695968741419E-2</v>
      </c>
      <c r="J9" t="s">
        <v>34</v>
      </c>
      <c r="L9" s="12">
        <f ca="1">AVERAGE(M9:Q9)</f>
        <v>3.5105856079730005E-2</v>
      </c>
      <c r="M9" s="9">
        <f ca="1">ABS(PERCENTILE(M16:M265, $L$4))</f>
        <v>3.5040376066316006E-2</v>
      </c>
      <c r="N9" s="9">
        <f ca="1">ABS(PERCENTILE(N16:N265, $L$4))</f>
        <v>3.7953329149461493E-2</v>
      </c>
      <c r="O9" s="9">
        <f ca="1">ABS(PERCENTILE(O16:O265, $L$4))</f>
        <v>3.0958267301221622E-2</v>
      </c>
      <c r="P9" s="9">
        <f ca="1">ABS(PERCENTILE(P16:P265, $L$4))</f>
        <v>3.1708405193501314E-2</v>
      </c>
      <c r="Q9" s="9">
        <f ca="1">ABS(PERCENTILE(Q16:Q265, $L$4))</f>
        <v>3.9868902688149591E-2</v>
      </c>
      <c r="S9" s="7" t="s">
        <v>35</v>
      </c>
      <c r="T9" s="8" t="s">
        <v>36</v>
      </c>
      <c r="U9" s="8" t="s">
        <v>37</v>
      </c>
      <c r="V9" s="7" t="s">
        <v>38</v>
      </c>
    </row>
    <row r="10" spans="1:22">
      <c r="A10" t="s">
        <v>39</v>
      </c>
      <c r="C10" s="13">
        <f t="shared" ref="C10:H10" ca="1" si="0">$C$2*C9*$C$8</f>
        <v>3302.800267347624</v>
      </c>
      <c r="D10" s="1">
        <f t="shared" ca="1" si="0"/>
        <v>3283.8510796943228</v>
      </c>
      <c r="E10" s="1">
        <f t="shared" ca="1" si="0"/>
        <v>3421.1022647135833</v>
      </c>
      <c r="F10" s="1">
        <f t="shared" ca="1" si="0"/>
        <v>3444.9967859305689</v>
      </c>
      <c r="G10" s="1">
        <f t="shared" ca="1" si="0"/>
        <v>3233.781609525503</v>
      </c>
      <c r="H10" s="1">
        <f t="shared" ca="1" si="0"/>
        <v>3130.2695968741418</v>
      </c>
      <c r="J10" t="s">
        <v>39</v>
      </c>
      <c r="L10" s="13">
        <f t="shared" ref="L10:Q10" ca="1" si="1">$L$2*L9*$L$8</f>
        <v>3510.5856079730006</v>
      </c>
      <c r="M10" s="1">
        <f t="shared" ca="1" si="1"/>
        <v>3504.0376066316007</v>
      </c>
      <c r="N10" s="1">
        <f t="shared" ca="1" si="1"/>
        <v>3795.3329149461492</v>
      </c>
      <c r="O10" s="1">
        <f t="shared" ca="1" si="1"/>
        <v>3095.8267301221622</v>
      </c>
      <c r="P10" s="1">
        <f t="shared" ca="1" si="1"/>
        <v>3170.8405193501312</v>
      </c>
      <c r="Q10" s="1">
        <f t="shared" ca="1" si="1"/>
        <v>3986.8902688149592</v>
      </c>
      <c r="S10" s="7" t="s">
        <v>40</v>
      </c>
      <c r="T10" s="8" t="s">
        <v>41</v>
      </c>
      <c r="U10" s="8" t="s">
        <v>42</v>
      </c>
      <c r="V10" s="7" t="s">
        <v>43</v>
      </c>
    </row>
    <row r="11" spans="1:22">
      <c r="A11" t="s">
        <v>44</v>
      </c>
      <c r="C11" s="14">
        <f t="shared" ref="C11:H11" ca="1" si="2">$C$8*C9</f>
        <v>3.3028002673476241E-2</v>
      </c>
      <c r="D11" s="6">
        <f t="shared" ca="1" si="2"/>
        <v>3.2838510796943228E-2</v>
      </c>
      <c r="E11" s="6">
        <f t="shared" ca="1" si="2"/>
        <v>3.4211022647135832E-2</v>
      </c>
      <c r="F11" s="6">
        <f t="shared" ca="1" si="2"/>
        <v>3.4449967859305687E-2</v>
      </c>
      <c r="G11" s="6">
        <f t="shared" ca="1" si="2"/>
        <v>3.2337816095255031E-2</v>
      </c>
      <c r="H11" s="6">
        <f t="shared" ca="1" si="2"/>
        <v>3.1302695968741419E-2</v>
      </c>
      <c r="J11" t="s">
        <v>44</v>
      </c>
      <c r="L11" s="14">
        <f t="shared" ref="L11:Q11" ca="1" si="3">$L$8*L9</f>
        <v>3.5105856079730005E-2</v>
      </c>
      <c r="M11" s="6">
        <f t="shared" ca="1" si="3"/>
        <v>3.5040376066316006E-2</v>
      </c>
      <c r="N11" s="6">
        <f t="shared" ca="1" si="3"/>
        <v>3.7953329149461493E-2</v>
      </c>
      <c r="O11" s="6">
        <f t="shared" ca="1" si="3"/>
        <v>3.0958267301221622E-2</v>
      </c>
      <c r="P11" s="6">
        <f t="shared" ca="1" si="3"/>
        <v>3.1708405193501314E-2</v>
      </c>
      <c r="Q11" s="6">
        <f t="shared" ca="1" si="3"/>
        <v>3.9868902688149591E-2</v>
      </c>
      <c r="S11" s="7" t="s">
        <v>45</v>
      </c>
      <c r="T11" s="8" t="s">
        <v>46</v>
      </c>
      <c r="U11" s="8" t="s">
        <v>47</v>
      </c>
      <c r="V11" s="7" t="s">
        <v>48</v>
      </c>
    </row>
    <row r="12" spans="1:22">
      <c r="S12" s="7" t="s">
        <v>49</v>
      </c>
      <c r="T12" s="8" t="s">
        <v>50</v>
      </c>
      <c r="U12" s="8" t="s">
        <v>51</v>
      </c>
      <c r="V12" s="7" t="s">
        <v>43</v>
      </c>
    </row>
    <row r="13" spans="1:22">
      <c r="A13" s="2" t="s">
        <v>52</v>
      </c>
      <c r="B13" s="3"/>
      <c r="C13" s="3"/>
      <c r="D13" s="3"/>
      <c r="E13" s="3"/>
      <c r="F13" s="3"/>
      <c r="G13" s="3"/>
      <c r="H13" s="3"/>
      <c r="J13" s="2" t="s">
        <v>53</v>
      </c>
      <c r="K13" s="3"/>
      <c r="L13" s="3"/>
      <c r="M13" s="3"/>
      <c r="N13" s="3"/>
      <c r="O13" s="3"/>
      <c r="P13" s="3"/>
      <c r="Q13" s="3"/>
      <c r="S13" s="7" t="s">
        <v>54</v>
      </c>
      <c r="T13" s="8" t="s">
        <v>55</v>
      </c>
      <c r="U13" s="8" t="s">
        <v>56</v>
      </c>
      <c r="V13" s="7" t="s">
        <v>57</v>
      </c>
    </row>
    <row r="14" spans="1:22" ht="15.75" thickBot="1">
      <c r="A14" s="5" t="s">
        <v>58</v>
      </c>
      <c r="B14" s="5" t="s">
        <v>59</v>
      </c>
      <c r="C14" s="5" t="s">
        <v>60</v>
      </c>
      <c r="D14" s="5" t="s">
        <v>25</v>
      </c>
      <c r="E14" s="5" t="s">
        <v>26</v>
      </c>
      <c r="F14" s="5" t="s">
        <v>27</v>
      </c>
      <c r="G14" s="5" t="s">
        <v>28</v>
      </c>
      <c r="H14" s="5" t="s">
        <v>29</v>
      </c>
      <c r="J14" s="5" t="s">
        <v>58</v>
      </c>
      <c r="K14" s="5" t="s">
        <v>61</v>
      </c>
      <c r="L14" s="5" t="s">
        <v>60</v>
      </c>
      <c r="M14" s="5" t="s">
        <v>25</v>
      </c>
      <c r="N14" s="5" t="s">
        <v>26</v>
      </c>
      <c r="O14" s="5" t="s">
        <v>27</v>
      </c>
      <c r="P14" s="5" t="s">
        <v>28</v>
      </c>
      <c r="Q14" s="5" t="s">
        <v>29</v>
      </c>
      <c r="S14" s="7" t="s">
        <v>62</v>
      </c>
      <c r="T14" s="8" t="s">
        <v>63</v>
      </c>
      <c r="U14" s="8" t="s">
        <v>64</v>
      </c>
      <c r="V14" s="7" t="s">
        <v>65</v>
      </c>
    </row>
    <row r="15" spans="1:22">
      <c r="A15" t="s">
        <v>66</v>
      </c>
      <c r="B15" s="1">
        <v>514.45000000000005</v>
      </c>
      <c r="C15" s="15" t="s">
        <v>67</v>
      </c>
      <c r="D15" s="15" t="s">
        <v>67</v>
      </c>
      <c r="E15" s="15" t="s">
        <v>67</v>
      </c>
      <c r="F15" s="15" t="s">
        <v>67</v>
      </c>
      <c r="G15" s="15" t="s">
        <v>67</v>
      </c>
      <c r="H15" s="15" t="s">
        <v>67</v>
      </c>
      <c r="J15" t="s">
        <v>66</v>
      </c>
      <c r="K15" s="1">
        <v>227.63</v>
      </c>
      <c r="L15" s="15" t="s">
        <v>67</v>
      </c>
      <c r="M15" s="15" t="s">
        <v>67</v>
      </c>
      <c r="N15" s="15" t="s">
        <v>67</v>
      </c>
      <c r="O15" s="15" t="s">
        <v>67</v>
      </c>
      <c r="P15" s="15" t="s">
        <v>67</v>
      </c>
      <c r="Q15" s="15" t="s">
        <v>67</v>
      </c>
      <c r="S15" s="7" t="s">
        <v>68</v>
      </c>
      <c r="T15" s="16" t="s">
        <v>69</v>
      </c>
      <c r="U15" s="16" t="s">
        <v>69</v>
      </c>
      <c r="V15" s="7" t="s">
        <v>70</v>
      </c>
    </row>
    <row r="16" spans="1:22">
      <c r="A16" t="s">
        <v>71</v>
      </c>
      <c r="B16" s="1">
        <v>509.23</v>
      </c>
      <c r="C16" s="9">
        <f t="shared" ref="C16:C79" si="4">(B16-B15)/B15</f>
        <v>-1.0146758674312424E-2</v>
      </c>
      <c r="D16" s="9">
        <f t="shared" ref="D16:H31" ca="1" si="5">NORMINV(RAND(), $C$6, $C$7)</f>
        <v>1.1398725246799572E-2</v>
      </c>
      <c r="E16" s="9">
        <f t="shared" ca="1" si="5"/>
        <v>3.6677650687043208E-3</v>
      </c>
      <c r="F16" s="9">
        <f t="shared" ca="1" si="5"/>
        <v>-7.8639388770280361E-3</v>
      </c>
      <c r="G16" s="9">
        <f t="shared" ca="1" si="5"/>
        <v>1.7125352243378632E-3</v>
      </c>
      <c r="H16" s="9">
        <f t="shared" ca="1" si="5"/>
        <v>-1.2529168814352343E-2</v>
      </c>
      <c r="J16" t="s">
        <v>71</v>
      </c>
      <c r="K16" s="1">
        <v>220.71</v>
      </c>
      <c r="L16" s="9">
        <f t="shared" ref="L16:L79" si="6">(K16-K15)/K15</f>
        <v>-3.0400210868514639E-2</v>
      </c>
      <c r="M16" s="9">
        <f t="shared" ref="M16:Q31" ca="1" si="7">NORMINV(RAND(), $L$6, $L$7)</f>
        <v>9.5129348603586409E-3</v>
      </c>
      <c r="N16" s="9">
        <f t="shared" ca="1" si="7"/>
        <v>-2.1924035461469989E-2</v>
      </c>
      <c r="O16" s="9">
        <f t="shared" ca="1" si="7"/>
        <v>-3.2287255671247686E-3</v>
      </c>
      <c r="P16" s="9">
        <f t="shared" ca="1" si="7"/>
        <v>2.7611700849881167E-3</v>
      </c>
      <c r="Q16" s="9">
        <f t="shared" ca="1" si="7"/>
        <v>-1.3677390519572214E-2</v>
      </c>
    </row>
    <row r="17" spans="1:22">
      <c r="A17" t="s">
        <v>72</v>
      </c>
      <c r="B17" s="1">
        <v>510.15</v>
      </c>
      <c r="C17" s="9">
        <f t="shared" si="4"/>
        <v>1.8066492547571019E-3</v>
      </c>
      <c r="D17" s="9">
        <f t="shared" ca="1" si="5"/>
        <v>3.2464982962805165E-2</v>
      </c>
      <c r="E17" s="9">
        <f t="shared" ca="1" si="5"/>
        <v>-3.5784393542780603E-2</v>
      </c>
      <c r="F17" s="9">
        <f t="shared" ca="1" si="5"/>
        <v>1.6850826064103274E-2</v>
      </c>
      <c r="G17" s="9">
        <f t="shared" ca="1" si="5"/>
        <v>-1.126164246768847E-2</v>
      </c>
      <c r="H17" s="9">
        <f t="shared" ca="1" si="5"/>
        <v>3.5056741556248619E-2</v>
      </c>
      <c r="J17" t="s">
        <v>72</v>
      </c>
      <c r="K17" s="1">
        <v>220.21</v>
      </c>
      <c r="L17" s="9">
        <f t="shared" si="6"/>
        <v>-2.2654161569480311E-3</v>
      </c>
      <c r="M17" s="9">
        <f t="shared" ca="1" si="7"/>
        <v>5.8949688195508521E-3</v>
      </c>
      <c r="N17" s="9">
        <f t="shared" ca="1" si="7"/>
        <v>-3.2370104553671362E-3</v>
      </c>
      <c r="O17" s="9">
        <f t="shared" ca="1" si="7"/>
        <v>-1.5583444960752996E-2</v>
      </c>
      <c r="P17" s="9">
        <f t="shared" ca="1" si="7"/>
        <v>4.4611976617616643E-2</v>
      </c>
      <c r="Q17" s="9">
        <f t="shared" ca="1" si="7"/>
        <v>-4.1070951631892172E-2</v>
      </c>
      <c r="S17" s="2" t="s">
        <v>73</v>
      </c>
      <c r="T17" s="3"/>
      <c r="U17" s="3"/>
      <c r="V17" s="3"/>
    </row>
    <row r="18" spans="1:22">
      <c r="A18" t="s">
        <v>74</v>
      </c>
      <c r="B18" s="1">
        <v>507.03</v>
      </c>
      <c r="C18" s="9">
        <f t="shared" si="4"/>
        <v>-6.1158482799176803E-3</v>
      </c>
      <c r="D18" s="9">
        <f t="shared" ca="1" si="5"/>
        <v>8.3393535768381179E-3</v>
      </c>
      <c r="E18" s="9">
        <f t="shared" ca="1" si="5"/>
        <v>-5.1206181591839737E-3</v>
      </c>
      <c r="F18" s="9">
        <f t="shared" ca="1" si="5"/>
        <v>2.8263106151149731E-3</v>
      </c>
      <c r="G18" s="9">
        <f t="shared" ca="1" si="5"/>
        <v>-3.6931115673880577E-2</v>
      </c>
      <c r="H18" s="9">
        <f t="shared" ca="1" si="5"/>
        <v>-6.2065675102064011E-3</v>
      </c>
      <c r="J18" t="s">
        <v>74</v>
      </c>
      <c r="K18" s="1">
        <v>218.15</v>
      </c>
      <c r="L18" s="9">
        <f t="shared" si="6"/>
        <v>-9.3547068707143279E-3</v>
      </c>
      <c r="M18" s="9">
        <f t="shared" ca="1" si="7"/>
        <v>-9.3809035110767481E-3</v>
      </c>
      <c r="N18" s="9">
        <f t="shared" ca="1" si="7"/>
        <v>2.8484833711807621E-2</v>
      </c>
      <c r="O18" s="9">
        <f t="shared" ca="1" si="7"/>
        <v>-1.1049334639698826E-2</v>
      </c>
      <c r="P18" s="9">
        <f t="shared" ca="1" si="7"/>
        <v>1.8745565467498598E-2</v>
      </c>
      <c r="Q18" s="9">
        <f t="shared" ca="1" si="7"/>
        <v>-1.7260154768571883E-3</v>
      </c>
      <c r="S18" s="17" t="s">
        <v>75</v>
      </c>
    </row>
    <row r="19" spans="1:22" ht="24.95" customHeight="1">
      <c r="A19" t="s">
        <v>76</v>
      </c>
      <c r="B19" s="1">
        <v>511.46</v>
      </c>
      <c r="C19" s="9">
        <f t="shared" si="4"/>
        <v>8.7371555923712735E-3</v>
      </c>
      <c r="D19" s="9">
        <f t="shared" ca="1" si="5"/>
        <v>-2.066803131713486E-2</v>
      </c>
      <c r="E19" s="9">
        <f t="shared" ca="1" si="5"/>
        <v>2.6348861587979829E-2</v>
      </c>
      <c r="F19" s="9">
        <f t="shared" ca="1" si="5"/>
        <v>1.6665863941328993E-2</v>
      </c>
      <c r="G19" s="9">
        <f t="shared" ca="1" si="5"/>
        <v>2.1303241392307971E-2</v>
      </c>
      <c r="H19" s="9">
        <f t="shared" ca="1" si="5"/>
        <v>1.4668428886868139E-2</v>
      </c>
      <c r="J19" t="s">
        <v>76</v>
      </c>
      <c r="K19" s="1">
        <v>219.78</v>
      </c>
      <c r="L19" s="9">
        <f t="shared" si="6"/>
        <v>7.4719229887691748E-3</v>
      </c>
      <c r="M19" s="9">
        <f t="shared" ca="1" si="7"/>
        <v>6.8108810972268745E-3</v>
      </c>
      <c r="N19" s="9">
        <f t="shared" ca="1" si="7"/>
        <v>1.3635155205929243E-3</v>
      </c>
      <c r="O19" s="9">
        <f t="shared" ca="1" si="7"/>
        <v>-1.2081336016451994E-2</v>
      </c>
      <c r="P19" s="9">
        <f t="shared" ca="1" si="7"/>
        <v>1.5851043176350221E-2</v>
      </c>
      <c r="Q19" s="9">
        <f t="shared" ca="1" si="7"/>
        <v>5.1489242912265056E-3</v>
      </c>
      <c r="S19" s="18" t="s">
        <v>77</v>
      </c>
      <c r="T19" s="3"/>
      <c r="U19" s="3"/>
      <c r="V19" s="3"/>
    </row>
    <row r="20" spans="1:22" ht="24.95" customHeight="1">
      <c r="A20" t="s">
        <v>78</v>
      </c>
      <c r="B20" s="1">
        <v>514.6</v>
      </c>
      <c r="C20" s="9">
        <f t="shared" si="4"/>
        <v>6.1392875298166881E-3</v>
      </c>
      <c r="D20" s="9">
        <f t="shared" ca="1" si="5"/>
        <v>-1.3415365484773923E-2</v>
      </c>
      <c r="E20" s="9">
        <f t="shared" ca="1" si="5"/>
        <v>1.7926675877280258E-2</v>
      </c>
      <c r="F20" s="9">
        <f t="shared" ca="1" si="5"/>
        <v>-1.0083580055844893E-2</v>
      </c>
      <c r="G20" s="9">
        <f t="shared" ca="1" si="5"/>
        <v>1.4790196131007986E-2</v>
      </c>
      <c r="H20" s="9">
        <f t="shared" ca="1" si="5"/>
        <v>-1.2750008672064529E-2</v>
      </c>
      <c r="J20" t="s">
        <v>78</v>
      </c>
      <c r="K20" s="1">
        <v>222.17</v>
      </c>
      <c r="L20" s="9">
        <f t="shared" si="6"/>
        <v>1.0874510874510813E-2</v>
      </c>
      <c r="M20" s="9">
        <f t="shared" ca="1" si="7"/>
        <v>2.5929089820807635E-4</v>
      </c>
      <c r="N20" s="9">
        <f t="shared" ca="1" si="7"/>
        <v>-2.0034529157004925E-2</v>
      </c>
      <c r="O20" s="9">
        <f t="shared" ca="1" si="7"/>
        <v>-7.9906871602837305E-3</v>
      </c>
      <c r="P20" s="9">
        <f t="shared" ca="1" si="7"/>
        <v>1.0365567267486362E-2</v>
      </c>
      <c r="Q20" s="9">
        <f t="shared" ca="1" si="7"/>
        <v>4.8445755630661461E-2</v>
      </c>
      <c r="S20" s="3"/>
      <c r="T20" s="3"/>
      <c r="U20" s="3"/>
      <c r="V20" s="3"/>
    </row>
    <row r="21" spans="1:22">
      <c r="A21" t="s">
        <v>79</v>
      </c>
      <c r="B21" s="1">
        <v>517.95000000000005</v>
      </c>
      <c r="C21" s="9">
        <f t="shared" si="4"/>
        <v>6.5099106101827097E-3</v>
      </c>
      <c r="D21" s="9">
        <f t="shared" ca="1" si="5"/>
        <v>-3.0350023174390114E-2</v>
      </c>
      <c r="E21" s="9">
        <f t="shared" ca="1" si="5"/>
        <v>-4.8275102637909101E-2</v>
      </c>
      <c r="F21" s="9">
        <f t="shared" ca="1" si="5"/>
        <v>5.2636011979952831E-3</v>
      </c>
      <c r="G21" s="9">
        <f t="shared" ca="1" si="5"/>
        <v>-3.2457104365606129E-2</v>
      </c>
      <c r="H21" s="9">
        <f t="shared" ca="1" si="5"/>
        <v>-1.5187360847626719E-2</v>
      </c>
      <c r="J21" t="s">
        <v>79</v>
      </c>
      <c r="K21" s="1">
        <v>219.57</v>
      </c>
      <c r="L21" s="9">
        <f t="shared" si="6"/>
        <v>-1.1702750146284352E-2</v>
      </c>
      <c r="M21" s="9">
        <f t="shared" ca="1" si="7"/>
        <v>-5.9248957479165563E-3</v>
      </c>
      <c r="N21" s="9">
        <f t="shared" ca="1" si="7"/>
        <v>1.0224090637422245E-2</v>
      </c>
      <c r="O21" s="9">
        <f t="shared" ca="1" si="7"/>
        <v>3.0943486261737738E-2</v>
      </c>
      <c r="P21" s="9">
        <f t="shared" ca="1" si="7"/>
        <v>7.9220496031358108E-3</v>
      </c>
      <c r="Q21" s="9">
        <f t="shared" ca="1" si="7"/>
        <v>2.4384986640668811E-2</v>
      </c>
      <c r="S21" s="17" t="s">
        <v>80</v>
      </c>
    </row>
    <row r="22" spans="1:22" ht="24.95" customHeight="1">
      <c r="A22" t="s">
        <v>81</v>
      </c>
      <c r="B22" s="1">
        <v>519.71</v>
      </c>
      <c r="C22" s="9">
        <f t="shared" si="4"/>
        <v>3.3980113910608953E-3</v>
      </c>
      <c r="D22" s="9">
        <f t="shared" ca="1" si="5"/>
        <v>-5.5800509428853276E-3</v>
      </c>
      <c r="E22" s="9">
        <f t="shared" ca="1" si="5"/>
        <v>1.3280411617289633E-2</v>
      </c>
      <c r="F22" s="9">
        <f t="shared" ca="1" si="5"/>
        <v>1.1099573112381253E-3</v>
      </c>
      <c r="G22" s="9">
        <f t="shared" ca="1" si="5"/>
        <v>7.0247524357630884E-3</v>
      </c>
      <c r="H22" s="9">
        <f t="shared" ca="1" si="5"/>
        <v>1.0321868637410744E-3</v>
      </c>
      <c r="J22" t="s">
        <v>81</v>
      </c>
      <c r="K22" s="1">
        <v>220.63</v>
      </c>
      <c r="L22" s="9">
        <f t="shared" si="6"/>
        <v>4.8276176162499532E-3</v>
      </c>
      <c r="M22" s="9">
        <f t="shared" ca="1" si="7"/>
        <v>-2.9120566205310793E-2</v>
      </c>
      <c r="N22" s="9">
        <f t="shared" ca="1" si="7"/>
        <v>3.2427499535388538E-2</v>
      </c>
      <c r="O22" s="9">
        <f t="shared" ca="1" si="7"/>
        <v>-2.8796183248862399E-2</v>
      </c>
      <c r="P22" s="9">
        <f t="shared" ca="1" si="7"/>
        <v>-2.502181568353589E-2</v>
      </c>
      <c r="Q22" s="9">
        <f t="shared" ca="1" si="7"/>
        <v>-6.9911269232793777E-3</v>
      </c>
      <c r="S22" s="18" t="s">
        <v>82</v>
      </c>
      <c r="T22" s="3"/>
      <c r="U22" s="3"/>
      <c r="V22" s="3"/>
    </row>
    <row r="23" spans="1:22" ht="24.95" customHeight="1">
      <c r="A23" t="s">
        <v>83</v>
      </c>
      <c r="B23" s="1">
        <v>515.74</v>
      </c>
      <c r="C23" s="9">
        <f t="shared" si="4"/>
        <v>-7.6388755267361164E-3</v>
      </c>
      <c r="D23" s="9">
        <f t="shared" ca="1" si="5"/>
        <v>6.4190567360991576E-3</v>
      </c>
      <c r="E23" s="9">
        <f t="shared" ca="1" si="5"/>
        <v>3.1052549762265586E-2</v>
      </c>
      <c r="F23" s="9">
        <f t="shared" ca="1" si="5"/>
        <v>-1.4523034480054197E-2</v>
      </c>
      <c r="G23" s="9">
        <f t="shared" ca="1" si="5"/>
        <v>-2.0926000950894953E-2</v>
      </c>
      <c r="H23" s="9">
        <f t="shared" ca="1" si="5"/>
        <v>1.7978156382018357E-2</v>
      </c>
      <c r="J23" t="s">
        <v>83</v>
      </c>
      <c r="K23" s="1">
        <v>222.41</v>
      </c>
      <c r="L23" s="9">
        <f t="shared" si="6"/>
        <v>8.0678058287630937E-3</v>
      </c>
      <c r="M23" s="9">
        <f t="shared" ca="1" si="7"/>
        <v>6.1243587786744599E-3</v>
      </c>
      <c r="N23" s="9">
        <f t="shared" ca="1" si="7"/>
        <v>-7.3521821818979139E-3</v>
      </c>
      <c r="O23" s="9">
        <f t="shared" ca="1" si="7"/>
        <v>-2.3749507316901734E-2</v>
      </c>
      <c r="P23" s="9">
        <f t="shared" ca="1" si="7"/>
        <v>7.7618883873810099E-3</v>
      </c>
      <c r="Q23" s="9">
        <f t="shared" ca="1" si="7"/>
        <v>-1.2469236257141731E-2</v>
      </c>
      <c r="S23" s="3"/>
      <c r="T23" s="3"/>
      <c r="U23" s="3"/>
      <c r="V23" s="3"/>
    </row>
    <row r="24" spans="1:22">
      <c r="A24" t="s">
        <v>84</v>
      </c>
      <c r="B24" s="1">
        <v>517.35</v>
      </c>
      <c r="C24" s="9">
        <f t="shared" si="4"/>
        <v>3.1217280024818969E-3</v>
      </c>
      <c r="D24" s="9">
        <f t="shared" ca="1" si="5"/>
        <v>-2.8707279444869617E-3</v>
      </c>
      <c r="E24" s="9">
        <f t="shared" ca="1" si="5"/>
        <v>-1.3437632559541281E-2</v>
      </c>
      <c r="F24" s="9">
        <f t="shared" ca="1" si="5"/>
        <v>-2.3408595675955587E-2</v>
      </c>
      <c r="G24" s="9">
        <f t="shared" ca="1" si="5"/>
        <v>2.3498687090377612E-2</v>
      </c>
      <c r="H24" s="9">
        <f t="shared" ca="1" si="5"/>
        <v>6.3640137003825436E-3</v>
      </c>
      <c r="J24" t="s">
        <v>84</v>
      </c>
      <c r="K24" s="1">
        <v>219.51</v>
      </c>
      <c r="L24" s="9">
        <f t="shared" si="6"/>
        <v>-1.3038982060159191E-2</v>
      </c>
      <c r="M24" s="9">
        <f t="shared" ca="1" si="7"/>
        <v>3.4079289729486151E-2</v>
      </c>
      <c r="N24" s="9">
        <f t="shared" ca="1" si="7"/>
        <v>-1.6933778803782037E-2</v>
      </c>
      <c r="O24" s="9">
        <f t="shared" ca="1" si="7"/>
        <v>-8.7325619131963413E-3</v>
      </c>
      <c r="P24" s="9">
        <f t="shared" ca="1" si="7"/>
        <v>1.4911919882401327E-2</v>
      </c>
      <c r="Q24" s="9">
        <f t="shared" ca="1" si="7"/>
        <v>-4.3932206851427215E-2</v>
      </c>
      <c r="S24" s="17" t="s">
        <v>85</v>
      </c>
    </row>
    <row r="25" spans="1:22" ht="24.95" customHeight="1">
      <c r="A25" t="s">
        <v>86</v>
      </c>
      <c r="B25" s="1">
        <v>528.57000000000005</v>
      </c>
      <c r="C25" s="9">
        <f t="shared" si="4"/>
        <v>2.1687445636416405E-2</v>
      </c>
      <c r="D25" s="9">
        <f t="shared" ca="1" si="5"/>
        <v>4.1579870493878845E-3</v>
      </c>
      <c r="E25" s="9">
        <f t="shared" ca="1" si="5"/>
        <v>-1.1470125644467163E-2</v>
      </c>
      <c r="F25" s="9">
        <f t="shared" ca="1" si="5"/>
        <v>2.3993425092247174E-2</v>
      </c>
      <c r="G25" s="9">
        <f t="shared" ca="1" si="5"/>
        <v>4.2012578026307645E-2</v>
      </c>
      <c r="H25" s="9">
        <f t="shared" ca="1" si="5"/>
        <v>6.6669088637545193E-3</v>
      </c>
      <c r="J25" t="s">
        <v>86</v>
      </c>
      <c r="K25" s="1">
        <v>220.9</v>
      </c>
      <c r="L25" s="9">
        <f t="shared" si="6"/>
        <v>6.3322855450777408E-3</v>
      </c>
      <c r="M25" s="9">
        <f t="shared" ca="1" si="7"/>
        <v>5.0226303324937393E-3</v>
      </c>
      <c r="N25" s="9">
        <f t="shared" ca="1" si="7"/>
        <v>-3.6173305505879501E-2</v>
      </c>
      <c r="O25" s="9">
        <f t="shared" ca="1" si="7"/>
        <v>4.2237122697630653E-3</v>
      </c>
      <c r="P25" s="9">
        <f t="shared" ca="1" si="7"/>
        <v>4.2638712113526184E-2</v>
      </c>
      <c r="Q25" s="9">
        <f t="shared" ca="1" si="7"/>
        <v>5.530074215769961E-2</v>
      </c>
      <c r="S25" s="18" t="s">
        <v>87</v>
      </c>
      <c r="T25" s="3"/>
      <c r="U25" s="3"/>
      <c r="V25" s="3"/>
    </row>
    <row r="26" spans="1:22" ht="24.95" customHeight="1">
      <c r="A26" t="s">
        <v>88</v>
      </c>
      <c r="B26" s="1">
        <v>523.98</v>
      </c>
      <c r="C26" s="9">
        <f t="shared" si="4"/>
        <v>-8.6838072535331771E-3</v>
      </c>
      <c r="D26" s="9">
        <f t="shared" ca="1" si="5"/>
        <v>-4.8308214733070445E-3</v>
      </c>
      <c r="E26" s="9">
        <f t="shared" ca="1" si="5"/>
        <v>-3.2006745259092043E-2</v>
      </c>
      <c r="F26" s="9">
        <f t="shared" ca="1" si="5"/>
        <v>-1.1472609524737044E-2</v>
      </c>
      <c r="G26" s="9">
        <f t="shared" ca="1" si="5"/>
        <v>-3.3606441986611096E-3</v>
      </c>
      <c r="H26" s="9">
        <f t="shared" ca="1" si="5"/>
        <v>2.8978725728724383E-2</v>
      </c>
      <c r="J26" t="s">
        <v>88</v>
      </c>
      <c r="K26" s="1">
        <v>221.78</v>
      </c>
      <c r="L26" s="9">
        <f t="shared" si="6"/>
        <v>3.983703033046607E-3</v>
      </c>
      <c r="M26" s="9">
        <f t="shared" ca="1" si="7"/>
        <v>-1.2164663365004883E-2</v>
      </c>
      <c r="N26" s="9">
        <f t="shared" ca="1" si="7"/>
        <v>-4.346464918334134E-3</v>
      </c>
      <c r="O26" s="9">
        <f t="shared" ca="1" si="7"/>
        <v>-5.1298245202981456E-3</v>
      </c>
      <c r="P26" s="9">
        <f t="shared" ca="1" si="7"/>
        <v>1.2099476851661084E-4</v>
      </c>
      <c r="Q26" s="9">
        <f t="shared" ca="1" si="7"/>
        <v>-2.4429804015288516E-2</v>
      </c>
      <c r="S26" s="3"/>
      <c r="T26" s="3"/>
      <c r="U26" s="3"/>
      <c r="V26" s="3"/>
    </row>
    <row r="27" spans="1:22">
      <c r="A27" t="s">
        <v>89</v>
      </c>
      <c r="B27" s="1">
        <v>524.85</v>
      </c>
      <c r="C27" s="9">
        <f t="shared" si="4"/>
        <v>1.6603687163632287E-3</v>
      </c>
      <c r="D27" s="9">
        <f t="shared" ca="1" si="5"/>
        <v>6.0679526022202187E-3</v>
      </c>
      <c r="E27" s="9">
        <f t="shared" ca="1" si="5"/>
        <v>-6.5219562553480983E-3</v>
      </c>
      <c r="F27" s="9">
        <f t="shared" ca="1" si="5"/>
        <v>-3.9457358324459686E-2</v>
      </c>
      <c r="G27" s="9">
        <f t="shared" ca="1" si="5"/>
        <v>1.2015123205765208E-2</v>
      </c>
      <c r="H27" s="9">
        <f t="shared" ca="1" si="5"/>
        <v>-3.3535806123895354E-2</v>
      </c>
      <c r="J27" t="s">
        <v>89</v>
      </c>
      <c r="K27" s="1">
        <v>225.22</v>
      </c>
      <c r="L27" s="9">
        <f t="shared" si="6"/>
        <v>1.551086662458291E-2</v>
      </c>
      <c r="M27" s="9">
        <f t="shared" ca="1" si="7"/>
        <v>-1.4551211741402215E-3</v>
      </c>
      <c r="N27" s="9">
        <f t="shared" ca="1" si="7"/>
        <v>2.2744852698251331E-2</v>
      </c>
      <c r="O27" s="9">
        <f t="shared" ca="1" si="7"/>
        <v>-2.6587987076316821E-2</v>
      </c>
      <c r="P27" s="9">
        <f t="shared" ca="1" si="7"/>
        <v>2.1533570646831063E-2</v>
      </c>
      <c r="Q27" s="9">
        <f t="shared" ca="1" si="7"/>
        <v>-2.9102513059633694E-2</v>
      </c>
      <c r="S27" s="17" t="s">
        <v>90</v>
      </c>
    </row>
    <row r="28" spans="1:22" ht="24.95" customHeight="1">
      <c r="A28" t="s">
        <v>91</v>
      </c>
      <c r="B28" s="1">
        <v>522.4</v>
      </c>
      <c r="C28" s="9">
        <f t="shared" si="4"/>
        <v>-4.6680003810613416E-3</v>
      </c>
      <c r="D28" s="9">
        <f t="shared" ca="1" si="5"/>
        <v>-1.9048214958441147E-2</v>
      </c>
      <c r="E28" s="9">
        <f t="shared" ca="1" si="5"/>
        <v>3.4666541111931681E-2</v>
      </c>
      <c r="F28" s="9">
        <f t="shared" ca="1" si="5"/>
        <v>-3.1767505633056185E-2</v>
      </c>
      <c r="G28" s="9">
        <f t="shared" ca="1" si="5"/>
        <v>2.9568629753774205E-3</v>
      </c>
      <c r="H28" s="9">
        <f t="shared" ca="1" si="5"/>
        <v>-1.4247513376268339E-2</v>
      </c>
      <c r="J28" t="s">
        <v>91</v>
      </c>
      <c r="K28" s="1">
        <v>227.74</v>
      </c>
      <c r="L28" s="9">
        <f t="shared" si="6"/>
        <v>1.1189059586182444E-2</v>
      </c>
      <c r="M28" s="9">
        <f t="shared" ca="1" si="7"/>
        <v>-4.0108286002297859E-4</v>
      </c>
      <c r="N28" s="9">
        <f t="shared" ca="1" si="7"/>
        <v>-7.3439659225057428E-3</v>
      </c>
      <c r="O28" s="9">
        <f t="shared" ca="1" si="7"/>
        <v>-3.2441197375763016E-2</v>
      </c>
      <c r="P28" s="9">
        <f t="shared" ca="1" si="7"/>
        <v>-9.580953923621127E-4</v>
      </c>
      <c r="Q28" s="9">
        <f t="shared" ca="1" si="7"/>
        <v>6.0800624211949875E-3</v>
      </c>
      <c r="S28" s="18" t="s">
        <v>92</v>
      </c>
      <c r="T28" s="3"/>
      <c r="U28" s="3"/>
      <c r="V28" s="3"/>
    </row>
    <row r="29" spans="1:22" ht="24.95" customHeight="1">
      <c r="A29" t="s">
        <v>93</v>
      </c>
      <c r="B29" s="1">
        <v>510.96</v>
      </c>
      <c r="C29" s="9">
        <f t="shared" si="4"/>
        <v>-2.1898928024502294E-2</v>
      </c>
      <c r="D29" s="9">
        <f t="shared" ca="1" si="5"/>
        <v>2.6206394480430276E-2</v>
      </c>
      <c r="E29" s="9">
        <f t="shared" ca="1" si="5"/>
        <v>-3.5413301316590644E-2</v>
      </c>
      <c r="F29" s="9">
        <f t="shared" ca="1" si="5"/>
        <v>-4.76317243201511E-2</v>
      </c>
      <c r="G29" s="9">
        <f t="shared" ca="1" si="5"/>
        <v>-1.0005601357785918E-2</v>
      </c>
      <c r="H29" s="9">
        <f t="shared" ca="1" si="5"/>
        <v>-6.9759569523643507E-3</v>
      </c>
      <c r="J29" t="s">
        <v>93</v>
      </c>
      <c r="K29" s="1">
        <v>216.37</v>
      </c>
      <c r="L29" s="9">
        <f t="shared" si="6"/>
        <v>-4.9925353473259E-2</v>
      </c>
      <c r="M29" s="9">
        <f t="shared" ca="1" si="7"/>
        <v>-4.7046941526658281E-2</v>
      </c>
      <c r="N29" s="9">
        <f t="shared" ca="1" si="7"/>
        <v>-1.4965250657493479E-2</v>
      </c>
      <c r="O29" s="9">
        <f t="shared" ca="1" si="7"/>
        <v>-1.2950016863916447E-2</v>
      </c>
      <c r="P29" s="9">
        <f t="shared" ca="1" si="7"/>
        <v>2.1203653464758051E-2</v>
      </c>
      <c r="Q29" s="9">
        <f t="shared" ca="1" si="7"/>
        <v>-2.9939344738329467E-2</v>
      </c>
      <c r="S29" s="3"/>
      <c r="T29" s="3"/>
      <c r="U29" s="3"/>
      <c r="V29" s="3"/>
    </row>
    <row r="30" spans="1:22">
      <c r="A30" t="s">
        <v>94</v>
      </c>
      <c r="B30" s="1">
        <v>514.04999999999995</v>
      </c>
      <c r="C30" s="9">
        <f t="shared" si="4"/>
        <v>6.0474401127289324E-3</v>
      </c>
      <c r="D30" s="9">
        <f t="shared" ca="1" si="5"/>
        <v>-3.2498673022174483E-2</v>
      </c>
      <c r="E30" s="9">
        <f t="shared" ca="1" si="5"/>
        <v>2.2688728864823926E-2</v>
      </c>
      <c r="F30" s="9">
        <f t="shared" ca="1" si="5"/>
        <v>-2.9105212949598207E-2</v>
      </c>
      <c r="G30" s="9">
        <f t="shared" ca="1" si="5"/>
        <v>-4.1742202566941765E-3</v>
      </c>
      <c r="H30" s="9">
        <f t="shared" ca="1" si="5"/>
        <v>-1.341362834115091E-2</v>
      </c>
      <c r="J30" t="s">
        <v>94</v>
      </c>
      <c r="K30" s="1">
        <v>220.07</v>
      </c>
      <c r="L30" s="9">
        <f t="shared" si="6"/>
        <v>1.7100337385034841E-2</v>
      </c>
      <c r="M30" s="9">
        <f t="shared" ca="1" si="7"/>
        <v>-7.9984180906991602E-3</v>
      </c>
      <c r="N30" s="9">
        <f t="shared" ca="1" si="7"/>
        <v>3.6816064750761358E-2</v>
      </c>
      <c r="O30" s="9">
        <f t="shared" ca="1" si="7"/>
        <v>3.803707246166909E-2</v>
      </c>
      <c r="P30" s="9">
        <f t="shared" ca="1" si="7"/>
        <v>1.5552707253981059E-2</v>
      </c>
      <c r="Q30" s="9">
        <f t="shared" ca="1" si="7"/>
        <v>3.364763839640994E-2</v>
      </c>
    </row>
    <row r="31" spans="1:22">
      <c r="A31" t="s">
        <v>95</v>
      </c>
      <c r="B31" s="1">
        <v>513.57000000000005</v>
      </c>
      <c r="C31" s="9">
        <f t="shared" si="4"/>
        <v>-9.3376130726564453E-4</v>
      </c>
      <c r="D31" s="9">
        <f t="shared" ca="1" si="5"/>
        <v>-2.6972881871126696E-2</v>
      </c>
      <c r="E31" s="9">
        <f t="shared" ca="1" si="5"/>
        <v>-5.6193965812175416E-5</v>
      </c>
      <c r="F31" s="9">
        <f t="shared" ca="1" si="5"/>
        <v>-1.0974746119308933E-2</v>
      </c>
      <c r="G31" s="9">
        <f t="shared" ca="1" si="5"/>
        <v>-2.0105448785086733E-2</v>
      </c>
      <c r="H31" s="9">
        <f t="shared" ca="1" si="5"/>
        <v>4.859291022465813E-3</v>
      </c>
      <c r="J31" t="s">
        <v>95</v>
      </c>
      <c r="K31" s="1">
        <v>216.39</v>
      </c>
      <c r="L31" s="9">
        <f t="shared" si="6"/>
        <v>-1.6721952106148075E-2</v>
      </c>
      <c r="M31" s="9">
        <f t="shared" ca="1" si="7"/>
        <v>3.4741483715945105E-2</v>
      </c>
      <c r="N31" s="9">
        <f t="shared" ca="1" si="7"/>
        <v>3.2708658278900474E-2</v>
      </c>
      <c r="O31" s="9">
        <f t="shared" ca="1" si="7"/>
        <v>3.9140584210927858E-2</v>
      </c>
      <c r="P31" s="9">
        <f t="shared" ca="1" si="7"/>
        <v>-1.1928188233671448E-2</v>
      </c>
      <c r="Q31" s="9">
        <f t="shared" ca="1" si="7"/>
        <v>4.0569462682784239E-2</v>
      </c>
    </row>
    <row r="32" spans="1:22">
      <c r="A32" t="s">
        <v>96</v>
      </c>
      <c r="B32" s="1">
        <v>513.42999999999995</v>
      </c>
      <c r="C32" s="9">
        <f t="shared" si="4"/>
        <v>-2.7260159277235825E-4</v>
      </c>
      <c r="D32" s="9">
        <f t="shared" ref="D32:H47" ca="1" si="8">NORMINV(RAND(), $C$6, $C$7)</f>
        <v>1.8930426149982402E-2</v>
      </c>
      <c r="E32" s="9">
        <f t="shared" ca="1" si="8"/>
        <v>-5.2981289979138436E-3</v>
      </c>
      <c r="F32" s="9">
        <f t="shared" ca="1" si="8"/>
        <v>-1.301624982090119E-3</v>
      </c>
      <c r="G32" s="9">
        <f t="shared" ca="1" si="8"/>
        <v>-1.8358644710983276E-2</v>
      </c>
      <c r="H32" s="9">
        <f t="shared" ca="1" si="8"/>
        <v>-2.8813470690016631E-3</v>
      </c>
      <c r="J32" t="s">
        <v>96</v>
      </c>
      <c r="K32" s="1">
        <v>215.57</v>
      </c>
      <c r="L32" s="9">
        <f t="shared" si="6"/>
        <v>-3.789454226165688E-3</v>
      </c>
      <c r="M32" s="9">
        <f t="shared" ref="M32:Q47" ca="1" si="9">NORMINV(RAND(), $L$6, $L$7)</f>
        <v>2.0794602342297471E-3</v>
      </c>
      <c r="N32" s="9">
        <f t="shared" ca="1" si="9"/>
        <v>-2.1842229972962122E-2</v>
      </c>
      <c r="O32" s="9">
        <f t="shared" ca="1" si="9"/>
        <v>-1.3139009711460535E-2</v>
      </c>
      <c r="P32" s="9">
        <f t="shared" ca="1" si="9"/>
        <v>1.309899545563974E-3</v>
      </c>
      <c r="Q32" s="9">
        <f t="shared" ca="1" si="9"/>
        <v>2.1407758374939679E-2</v>
      </c>
    </row>
    <row r="33" spans="1:17">
      <c r="A33" t="s">
        <v>97</v>
      </c>
      <c r="B33" s="1">
        <v>511.61</v>
      </c>
      <c r="C33" s="9">
        <f t="shared" si="4"/>
        <v>-3.5447870206258623E-3</v>
      </c>
      <c r="D33" s="9">
        <f t="shared" ca="1" si="8"/>
        <v>-1.1129206242883391E-2</v>
      </c>
      <c r="E33" s="9">
        <f t="shared" ca="1" si="8"/>
        <v>2.973555740814279E-2</v>
      </c>
      <c r="F33" s="9">
        <f t="shared" ca="1" si="8"/>
        <v>6.1123238501334413E-3</v>
      </c>
      <c r="G33" s="9">
        <f t="shared" ca="1" si="8"/>
        <v>5.1025022822462386E-3</v>
      </c>
      <c r="H33" s="9">
        <f t="shared" ca="1" si="8"/>
        <v>-1.5030061173280275E-2</v>
      </c>
      <c r="J33" t="s">
        <v>97</v>
      </c>
      <c r="K33" s="1">
        <v>214.47</v>
      </c>
      <c r="L33" s="9">
        <f t="shared" si="6"/>
        <v>-5.1027508465927279E-3</v>
      </c>
      <c r="M33" s="9">
        <f t="shared" ca="1" si="9"/>
        <v>-1.9987517879607702E-2</v>
      </c>
      <c r="N33" s="9">
        <f t="shared" ca="1" si="9"/>
        <v>-1.7514295692373581E-2</v>
      </c>
      <c r="O33" s="9">
        <f t="shared" ca="1" si="9"/>
        <v>-4.5332036086136972E-3</v>
      </c>
      <c r="P33" s="9">
        <f t="shared" ca="1" si="9"/>
        <v>-2.951706145813713E-2</v>
      </c>
      <c r="Q33" s="9">
        <f t="shared" ca="1" si="9"/>
        <v>2.9131013186891177E-2</v>
      </c>
    </row>
    <row r="34" spans="1:17">
      <c r="A34" t="s">
        <v>98</v>
      </c>
      <c r="B34" s="1">
        <v>513.58000000000004</v>
      </c>
      <c r="C34" s="9">
        <f t="shared" si="4"/>
        <v>3.8505893160806614E-3</v>
      </c>
      <c r="D34" s="9">
        <f t="shared" ca="1" si="8"/>
        <v>1.0406293013571252E-2</v>
      </c>
      <c r="E34" s="9">
        <f t="shared" ca="1" si="8"/>
        <v>6.0011388007679958E-3</v>
      </c>
      <c r="F34" s="9">
        <f t="shared" ca="1" si="8"/>
        <v>-3.6424612775782812E-3</v>
      </c>
      <c r="G34" s="9">
        <f t="shared" ca="1" si="8"/>
        <v>4.7622220926618669E-3</v>
      </c>
      <c r="H34" s="9">
        <f t="shared" ca="1" si="8"/>
        <v>1.876363464207292E-2</v>
      </c>
      <c r="J34" t="s">
        <v>98</v>
      </c>
      <c r="K34" s="1">
        <v>213.04</v>
      </c>
      <c r="L34" s="9">
        <f t="shared" si="6"/>
        <v>-6.6675991980230656E-3</v>
      </c>
      <c r="M34" s="9">
        <f t="shared" ca="1" si="9"/>
        <v>1.1601808960994138E-2</v>
      </c>
      <c r="N34" s="9">
        <f t="shared" ca="1" si="9"/>
        <v>1.9607177624558138E-2</v>
      </c>
      <c r="O34" s="9">
        <f t="shared" ca="1" si="9"/>
        <v>2.1293454318631253E-2</v>
      </c>
      <c r="P34" s="9">
        <f t="shared" ca="1" si="9"/>
        <v>4.7971138458052939E-2</v>
      </c>
      <c r="Q34" s="9">
        <f t="shared" ca="1" si="9"/>
        <v>1.6254142844752885E-2</v>
      </c>
    </row>
    <row r="35" spans="1:17">
      <c r="A35" t="s">
        <v>99</v>
      </c>
      <c r="B35" s="1">
        <v>516.79</v>
      </c>
      <c r="C35" s="9">
        <f t="shared" si="4"/>
        <v>6.2502433895399402E-3</v>
      </c>
      <c r="D35" s="9">
        <f t="shared" ca="1" si="8"/>
        <v>-3.0246281250794855E-3</v>
      </c>
      <c r="E35" s="9">
        <f t="shared" ca="1" si="8"/>
        <v>1.5570524549737856E-2</v>
      </c>
      <c r="F35" s="9">
        <f t="shared" ca="1" si="8"/>
        <v>1.094956738379381E-2</v>
      </c>
      <c r="G35" s="9">
        <f t="shared" ca="1" si="8"/>
        <v>1.4761978348513243E-2</v>
      </c>
      <c r="H35" s="9">
        <f t="shared" ca="1" si="8"/>
        <v>1.3441584571229544E-2</v>
      </c>
      <c r="J35" t="s">
        <v>99</v>
      </c>
      <c r="K35" s="1">
        <v>216.48</v>
      </c>
      <c r="L35" s="9">
        <f t="shared" si="6"/>
        <v>1.6147202403304535E-2</v>
      </c>
      <c r="M35" s="9">
        <f t="shared" ca="1" si="9"/>
        <v>1.4511277466051744E-3</v>
      </c>
      <c r="N35" s="9">
        <f t="shared" ca="1" si="9"/>
        <v>-1.6658970771616845E-2</v>
      </c>
      <c r="O35" s="9">
        <f t="shared" ca="1" si="9"/>
        <v>-1.6012166627454891E-2</v>
      </c>
      <c r="P35" s="9">
        <f t="shared" ca="1" si="9"/>
        <v>-6.4560288722918576E-3</v>
      </c>
      <c r="Q35" s="9">
        <f t="shared" ca="1" si="9"/>
        <v>-2.2323735881881663E-3</v>
      </c>
    </row>
    <row r="36" spans="1:17">
      <c r="A36" t="s">
        <v>100</v>
      </c>
      <c r="B36" s="1">
        <v>517.66</v>
      </c>
      <c r="C36" s="9">
        <f t="shared" si="4"/>
        <v>1.6834691073743776E-3</v>
      </c>
      <c r="D36" s="9">
        <f t="shared" ca="1" si="8"/>
        <v>-6.1151463436237368E-4</v>
      </c>
      <c r="E36" s="9">
        <f t="shared" ca="1" si="8"/>
        <v>1.9401634370907011E-2</v>
      </c>
      <c r="F36" s="9">
        <f t="shared" ca="1" si="8"/>
        <v>1.5752467627008097E-2</v>
      </c>
      <c r="G36" s="9">
        <f t="shared" ca="1" si="8"/>
        <v>-9.7853534258933502E-3</v>
      </c>
      <c r="H36" s="9">
        <f t="shared" ca="1" si="8"/>
        <v>1.8920182555929452E-2</v>
      </c>
      <c r="J36" t="s">
        <v>100</v>
      </c>
      <c r="K36" s="1">
        <v>222.03</v>
      </c>
      <c r="L36" s="9">
        <f t="shared" si="6"/>
        <v>2.56374722838138E-2</v>
      </c>
      <c r="M36" s="9">
        <f t="shared" ca="1" si="9"/>
        <v>2.249041441393671E-3</v>
      </c>
      <c r="N36" s="9">
        <f t="shared" ca="1" si="9"/>
        <v>-1.0726232350356055E-2</v>
      </c>
      <c r="O36" s="9">
        <f t="shared" ca="1" si="9"/>
        <v>-9.4187197265848174E-3</v>
      </c>
      <c r="P36" s="9">
        <f t="shared" ca="1" si="9"/>
        <v>-1.341185105020124E-2</v>
      </c>
      <c r="Q36" s="9">
        <f t="shared" ca="1" si="9"/>
        <v>-2.2372799303121971E-2</v>
      </c>
    </row>
    <row r="37" spans="1:17">
      <c r="A37" t="s">
        <v>101</v>
      </c>
      <c r="B37" s="1">
        <v>520.54</v>
      </c>
      <c r="C37" s="9">
        <f t="shared" si="4"/>
        <v>5.5634972762044496E-3</v>
      </c>
      <c r="D37" s="9">
        <f t="shared" ca="1" si="8"/>
        <v>-2.2531975008561869E-2</v>
      </c>
      <c r="E37" s="9">
        <f t="shared" ca="1" si="8"/>
        <v>9.5597978121256116E-3</v>
      </c>
      <c r="F37" s="9">
        <f t="shared" ca="1" si="8"/>
        <v>-1.6506425185991665E-2</v>
      </c>
      <c r="G37" s="9">
        <f t="shared" ca="1" si="8"/>
        <v>1.2885675266290914E-2</v>
      </c>
      <c r="H37" s="9">
        <f t="shared" ca="1" si="8"/>
        <v>-1.8043731626229579E-2</v>
      </c>
      <c r="J37" t="s">
        <v>101</v>
      </c>
      <c r="K37" s="1">
        <v>217.95</v>
      </c>
      <c r="L37" s="9">
        <f t="shared" si="6"/>
        <v>-1.8375895149304204E-2</v>
      </c>
      <c r="M37" s="9">
        <f t="shared" ca="1" si="9"/>
        <v>1.5178750481667252E-2</v>
      </c>
      <c r="N37" s="9">
        <f t="shared" ca="1" si="9"/>
        <v>4.0669140096855967E-2</v>
      </c>
      <c r="O37" s="9">
        <f t="shared" ca="1" si="9"/>
        <v>-6.4671336947357593E-3</v>
      </c>
      <c r="P37" s="9">
        <f t="shared" ca="1" si="9"/>
        <v>-5.7104731675639885E-3</v>
      </c>
      <c r="Q37" s="9">
        <f t="shared" ca="1" si="9"/>
        <v>-4.6703164281155132E-2</v>
      </c>
    </row>
    <row r="38" spans="1:17">
      <c r="A38" t="s">
        <v>102</v>
      </c>
      <c r="B38" s="1">
        <v>520.55999999999995</v>
      </c>
      <c r="C38" s="9">
        <f t="shared" si="4"/>
        <v>3.8421639067087664E-5</v>
      </c>
      <c r="D38" s="9">
        <f t="shared" ca="1" si="8"/>
        <v>4.6938028616735159E-3</v>
      </c>
      <c r="E38" s="9">
        <f t="shared" ca="1" si="8"/>
        <v>4.7805320594361388E-3</v>
      </c>
      <c r="F38" s="9">
        <f t="shared" ca="1" si="8"/>
        <v>-7.1906405742786887E-3</v>
      </c>
      <c r="G38" s="9">
        <f t="shared" ca="1" si="8"/>
        <v>-1.9241499844067322E-2</v>
      </c>
      <c r="H38" s="9">
        <f t="shared" ca="1" si="8"/>
        <v>-1.8217713177214861E-2</v>
      </c>
      <c r="J38" t="s">
        <v>102</v>
      </c>
      <c r="K38" s="1">
        <v>221.09</v>
      </c>
      <c r="L38" s="9">
        <f t="shared" si="6"/>
        <v>1.4406974076623147E-2</v>
      </c>
      <c r="M38" s="9">
        <f t="shared" ca="1" si="9"/>
        <v>4.7259387600988795E-3</v>
      </c>
      <c r="N38" s="9">
        <f t="shared" ca="1" si="9"/>
        <v>-9.4015591127857324E-3</v>
      </c>
      <c r="O38" s="9">
        <f t="shared" ca="1" si="9"/>
        <v>-2.9589945559837433E-2</v>
      </c>
      <c r="P38" s="9">
        <f t="shared" ca="1" si="9"/>
        <v>4.5268660643979441E-2</v>
      </c>
      <c r="Q38" s="9">
        <f t="shared" ca="1" si="9"/>
        <v>7.7308075061527448E-3</v>
      </c>
    </row>
    <row r="39" spans="1:17">
      <c r="A39" t="s">
        <v>103</v>
      </c>
      <c r="B39" s="1">
        <v>523.61</v>
      </c>
      <c r="C39" s="9">
        <f t="shared" si="4"/>
        <v>5.8590748424774634E-3</v>
      </c>
      <c r="D39" s="9">
        <f t="shared" ca="1" si="8"/>
        <v>-7.9082434541925331E-3</v>
      </c>
      <c r="E39" s="9">
        <f t="shared" ca="1" si="8"/>
        <v>5.4060642197835641E-3</v>
      </c>
      <c r="F39" s="9">
        <f t="shared" ca="1" si="8"/>
        <v>-2.9071620753655218E-2</v>
      </c>
      <c r="G39" s="9">
        <f t="shared" ca="1" si="8"/>
        <v>-6.2477401747413621E-4</v>
      </c>
      <c r="H39" s="9">
        <f t="shared" ca="1" si="8"/>
        <v>-8.3666871357030437E-3</v>
      </c>
      <c r="J39" t="s">
        <v>103</v>
      </c>
      <c r="K39" s="1">
        <v>224.21</v>
      </c>
      <c r="L39" s="9">
        <f t="shared" si="6"/>
        <v>1.4111900131168323E-2</v>
      </c>
      <c r="M39" s="9">
        <f t="shared" ca="1" si="9"/>
        <v>7.7086265486890964E-3</v>
      </c>
      <c r="N39" s="9">
        <f t="shared" ca="1" si="9"/>
        <v>1.0367758520336869E-3</v>
      </c>
      <c r="O39" s="9">
        <f t="shared" ca="1" si="9"/>
        <v>1.99751977225823E-2</v>
      </c>
      <c r="P39" s="9">
        <f t="shared" ca="1" si="9"/>
        <v>1.4523299617307946E-2</v>
      </c>
      <c r="Q39" s="9">
        <f t="shared" ca="1" si="9"/>
        <v>-3.015282004255539E-2</v>
      </c>
    </row>
    <row r="40" spans="1:17">
      <c r="A40" t="s">
        <v>104</v>
      </c>
      <c r="B40" s="1">
        <v>531.52</v>
      </c>
      <c r="C40" s="9">
        <f t="shared" si="4"/>
        <v>1.5106663356314753E-2</v>
      </c>
      <c r="D40" s="9">
        <f t="shared" ca="1" si="8"/>
        <v>-2.3114976805399447E-2</v>
      </c>
      <c r="E40" s="9">
        <f t="shared" ca="1" si="8"/>
        <v>-4.4301588656440521E-3</v>
      </c>
      <c r="F40" s="9">
        <f t="shared" ca="1" si="8"/>
        <v>1.0768666431677787E-2</v>
      </c>
      <c r="G40" s="9">
        <f t="shared" ca="1" si="8"/>
        <v>2.3728696593857387E-2</v>
      </c>
      <c r="H40" s="9">
        <f t="shared" ca="1" si="8"/>
        <v>-1.306376158161757E-2</v>
      </c>
      <c r="J40" t="s">
        <v>104</v>
      </c>
      <c r="K40" s="1">
        <v>226.97</v>
      </c>
      <c r="L40" s="9">
        <f t="shared" si="6"/>
        <v>1.2309888051380362E-2</v>
      </c>
      <c r="M40" s="9">
        <f t="shared" ca="1" si="9"/>
        <v>7.1832505323784774E-4</v>
      </c>
      <c r="N40" s="9">
        <f t="shared" ca="1" si="9"/>
        <v>-8.615585042548066E-3</v>
      </c>
      <c r="O40" s="9">
        <f t="shared" ca="1" si="9"/>
        <v>-1.0571837241119209E-2</v>
      </c>
      <c r="P40" s="9">
        <f t="shared" ca="1" si="9"/>
        <v>-5.0812142131449002E-2</v>
      </c>
      <c r="Q40" s="9">
        <f t="shared" ca="1" si="9"/>
        <v>-7.4623909946565977E-3</v>
      </c>
    </row>
    <row r="41" spans="1:17">
      <c r="A41" t="s">
        <v>105</v>
      </c>
      <c r="B41" s="1">
        <v>542.07000000000005</v>
      </c>
      <c r="C41" s="9">
        <f t="shared" si="4"/>
        <v>1.9848735701384838E-2</v>
      </c>
      <c r="D41" s="9">
        <f t="shared" ca="1" si="8"/>
        <v>-6.3262754887196395E-3</v>
      </c>
      <c r="E41" s="9">
        <f t="shared" ca="1" si="8"/>
        <v>8.2984679430050459E-3</v>
      </c>
      <c r="F41" s="9">
        <f t="shared" ca="1" si="8"/>
        <v>5.9137403583568787E-3</v>
      </c>
      <c r="G41" s="9">
        <f t="shared" ca="1" si="8"/>
        <v>1.00682068826701E-2</v>
      </c>
      <c r="H41" s="9">
        <f t="shared" ca="1" si="8"/>
        <v>-4.4693552239363776E-3</v>
      </c>
      <c r="J41" t="s">
        <v>105</v>
      </c>
      <c r="K41" s="1">
        <v>229.25</v>
      </c>
      <c r="L41" s="9">
        <f t="shared" si="6"/>
        <v>1.0045380446755082E-2</v>
      </c>
      <c r="M41" s="9">
        <f t="shared" ca="1" si="9"/>
        <v>-1.2196915393039456E-2</v>
      </c>
      <c r="N41" s="9">
        <f t="shared" ca="1" si="9"/>
        <v>1.4061894496215546E-2</v>
      </c>
      <c r="O41" s="9">
        <f t="shared" ca="1" si="9"/>
        <v>-2.3944127653617857E-2</v>
      </c>
      <c r="P41" s="9">
        <f t="shared" ca="1" si="9"/>
        <v>-3.9080996138303653E-2</v>
      </c>
      <c r="Q41" s="9">
        <f t="shared" ca="1" si="9"/>
        <v>1.1956860184506205E-2</v>
      </c>
    </row>
    <row r="42" spans="1:17">
      <c r="A42" t="s">
        <v>106</v>
      </c>
      <c r="B42" s="1">
        <v>541.54999999999995</v>
      </c>
      <c r="C42" s="9">
        <f t="shared" si="4"/>
        <v>-9.5928570110888898E-4</v>
      </c>
      <c r="D42" s="9">
        <f t="shared" ca="1" si="8"/>
        <v>2.1181691165156795E-3</v>
      </c>
      <c r="E42" s="9">
        <f t="shared" ca="1" si="8"/>
        <v>9.9714174604610736E-3</v>
      </c>
      <c r="F42" s="9">
        <f t="shared" ca="1" si="8"/>
        <v>2.5103920084632827E-2</v>
      </c>
      <c r="G42" s="9">
        <f t="shared" ca="1" si="8"/>
        <v>3.6519894680055648E-2</v>
      </c>
      <c r="H42" s="9">
        <f t="shared" ca="1" si="8"/>
        <v>-1.2117473036445899E-2</v>
      </c>
      <c r="J42" t="s">
        <v>106</v>
      </c>
      <c r="K42" s="1">
        <v>230.3</v>
      </c>
      <c r="L42" s="9">
        <f t="shared" si="6"/>
        <v>4.5801526717557748E-3</v>
      </c>
      <c r="M42" s="9">
        <f t="shared" ca="1" si="9"/>
        <v>2.2194322098808558E-2</v>
      </c>
      <c r="N42" s="9">
        <f t="shared" ca="1" si="9"/>
        <v>2.5452707019490029E-2</v>
      </c>
      <c r="O42" s="9">
        <f t="shared" ca="1" si="9"/>
        <v>-4.1451572996747024E-2</v>
      </c>
      <c r="P42" s="9">
        <f t="shared" ca="1" si="9"/>
        <v>1.5626224618592616E-2</v>
      </c>
      <c r="Q42" s="9">
        <f t="shared" ca="1" si="9"/>
        <v>-1.4990270762982014E-2</v>
      </c>
    </row>
    <row r="43" spans="1:17">
      <c r="A43" t="s">
        <v>107</v>
      </c>
      <c r="B43" s="1">
        <v>525.76</v>
      </c>
      <c r="C43" s="9">
        <f t="shared" si="4"/>
        <v>-2.915704921059914E-2</v>
      </c>
      <c r="D43" s="9">
        <f t="shared" ca="1" si="8"/>
        <v>-8.9640310623706511E-3</v>
      </c>
      <c r="E43" s="9">
        <f t="shared" ca="1" si="8"/>
        <v>-4.8326362042724535E-3</v>
      </c>
      <c r="F43" s="9">
        <f t="shared" ca="1" si="8"/>
        <v>-1.2396233512479515E-2</v>
      </c>
      <c r="G43" s="9">
        <f t="shared" ca="1" si="8"/>
        <v>1.7388461213226555E-2</v>
      </c>
      <c r="H43" s="9">
        <f t="shared" ca="1" si="8"/>
        <v>-2.1159774797785302E-4</v>
      </c>
      <c r="J43" t="s">
        <v>107</v>
      </c>
      <c r="K43" s="1">
        <v>222.86</v>
      </c>
      <c r="L43" s="9">
        <f t="shared" si="6"/>
        <v>-3.2305688232739896E-2</v>
      </c>
      <c r="M43" s="9">
        <f t="shared" ca="1" si="9"/>
        <v>-7.8253797296782331E-3</v>
      </c>
      <c r="N43" s="9">
        <f t="shared" ca="1" si="9"/>
        <v>-1.7471751866063482E-2</v>
      </c>
      <c r="O43" s="9">
        <f t="shared" ca="1" si="9"/>
        <v>-1.9027839707819287E-2</v>
      </c>
      <c r="P43" s="9">
        <f t="shared" ca="1" si="9"/>
        <v>-1.8689394200544381E-2</v>
      </c>
      <c r="Q43" s="9">
        <f t="shared" ca="1" si="9"/>
        <v>-1.6756020431177784E-2</v>
      </c>
    </row>
    <row r="44" spans="1:17">
      <c r="A44" t="s">
        <v>108</v>
      </c>
      <c r="B44" s="1">
        <v>517.80999999999995</v>
      </c>
      <c r="C44" s="9">
        <f t="shared" si="4"/>
        <v>-1.5120967741935571E-2</v>
      </c>
      <c r="D44" s="9">
        <f t="shared" ca="1" si="8"/>
        <v>-3.5926747676512175E-2</v>
      </c>
      <c r="E44" s="9">
        <f t="shared" ca="1" si="8"/>
        <v>4.6802150882903223E-2</v>
      </c>
      <c r="F44" s="9">
        <f t="shared" ca="1" si="8"/>
        <v>2.4000991361478187E-2</v>
      </c>
      <c r="G44" s="9">
        <f t="shared" ca="1" si="8"/>
        <v>1.7361521958806109E-2</v>
      </c>
      <c r="H44" s="9">
        <f t="shared" ca="1" si="8"/>
        <v>3.1264060673423626E-3</v>
      </c>
      <c r="J44" t="s">
        <v>108</v>
      </c>
      <c r="K44" s="1">
        <v>244.22</v>
      </c>
      <c r="L44" s="9">
        <f t="shared" si="6"/>
        <v>9.5844925065063202E-2</v>
      </c>
      <c r="M44" s="9">
        <f t="shared" ca="1" si="9"/>
        <v>-2.6698460132325373E-2</v>
      </c>
      <c r="N44" s="9">
        <f t="shared" ca="1" si="9"/>
        <v>-4.3380969295555252E-2</v>
      </c>
      <c r="O44" s="9">
        <f t="shared" ca="1" si="9"/>
        <v>-1.2039681875649015E-2</v>
      </c>
      <c r="P44" s="9">
        <f t="shared" ca="1" si="9"/>
        <v>-2.3841956866034533E-2</v>
      </c>
      <c r="Q44" s="9">
        <f t="shared" ca="1" si="9"/>
        <v>-8.8103551548227646E-3</v>
      </c>
    </row>
    <row r="45" spans="1:17">
      <c r="A45" t="s">
        <v>109</v>
      </c>
      <c r="B45" s="1">
        <v>517.03</v>
      </c>
      <c r="C45" s="9">
        <f t="shared" si="4"/>
        <v>-1.5063440258009169E-3</v>
      </c>
      <c r="D45" s="9">
        <f t="shared" ca="1" si="8"/>
        <v>3.7921119219451016E-2</v>
      </c>
      <c r="E45" s="9">
        <f t="shared" ca="1" si="8"/>
        <v>-2.0567024533227852E-3</v>
      </c>
      <c r="F45" s="9">
        <f t="shared" ca="1" si="8"/>
        <v>9.7937697181950459E-3</v>
      </c>
      <c r="G45" s="9">
        <f t="shared" ca="1" si="8"/>
        <v>-1.1018025641924799E-2</v>
      </c>
      <c r="H45" s="9">
        <f t="shared" ca="1" si="8"/>
        <v>-1.062777004251496E-2</v>
      </c>
      <c r="J45" t="s">
        <v>109</v>
      </c>
      <c r="K45" s="1">
        <v>254</v>
      </c>
      <c r="L45" s="9">
        <f t="shared" si="6"/>
        <v>4.0045860289902549E-2</v>
      </c>
      <c r="M45" s="9">
        <f t="shared" ca="1" si="9"/>
        <v>-3.9035927022868552E-4</v>
      </c>
      <c r="N45" s="9">
        <f t="shared" ca="1" si="9"/>
        <v>3.2541140264291456E-3</v>
      </c>
      <c r="O45" s="9">
        <f t="shared" ca="1" si="9"/>
        <v>1.3528537418898767E-2</v>
      </c>
      <c r="P45" s="9">
        <f t="shared" ca="1" si="9"/>
        <v>-7.0926719418672023E-3</v>
      </c>
      <c r="Q45" s="9">
        <f t="shared" ca="1" si="9"/>
        <v>-1.483937833869217E-2</v>
      </c>
    </row>
    <row r="46" spans="1:17">
      <c r="A46" t="s">
        <v>110</v>
      </c>
      <c r="B46" s="1">
        <v>514.33000000000004</v>
      </c>
      <c r="C46" s="9">
        <f t="shared" si="4"/>
        <v>-5.2221341121403628E-3</v>
      </c>
      <c r="D46" s="9">
        <f t="shared" ca="1" si="8"/>
        <v>-1.7095051402912963E-2</v>
      </c>
      <c r="E46" s="9">
        <f t="shared" ca="1" si="8"/>
        <v>6.8594041576605308E-3</v>
      </c>
      <c r="F46" s="9">
        <f t="shared" ca="1" si="8"/>
        <v>-3.5414267750968322E-2</v>
      </c>
      <c r="G46" s="9">
        <f t="shared" ca="1" si="8"/>
        <v>8.2031751752933511E-3</v>
      </c>
      <c r="H46" s="9">
        <f t="shared" ca="1" si="8"/>
        <v>1.2980295856863885E-2</v>
      </c>
      <c r="J46" t="s">
        <v>110</v>
      </c>
      <c r="K46" s="1">
        <v>249.32</v>
      </c>
      <c r="L46" s="9">
        <f t="shared" si="6"/>
        <v>-1.8425196850393729E-2</v>
      </c>
      <c r="M46" s="9">
        <f t="shared" ca="1" si="9"/>
        <v>5.2948886434022379E-3</v>
      </c>
      <c r="N46" s="9">
        <f t="shared" ca="1" si="9"/>
        <v>-1.0524225162653774E-2</v>
      </c>
      <c r="O46" s="9">
        <f t="shared" ca="1" si="9"/>
        <v>-1.0646050408959501E-2</v>
      </c>
      <c r="P46" s="9">
        <f t="shared" ca="1" si="9"/>
        <v>-2.1911351441509651E-2</v>
      </c>
      <c r="Q46" s="9">
        <f t="shared" ca="1" si="9"/>
        <v>-4.7276089405643824E-2</v>
      </c>
    </row>
    <row r="47" spans="1:17">
      <c r="A47" t="s">
        <v>111</v>
      </c>
      <c r="B47" s="1">
        <v>507.16</v>
      </c>
      <c r="C47" s="9">
        <f t="shared" si="4"/>
        <v>-1.3940466237629567E-2</v>
      </c>
      <c r="D47" s="9">
        <f t="shared" ca="1" si="8"/>
        <v>6.7000981690974277E-3</v>
      </c>
      <c r="E47" s="9">
        <f t="shared" ca="1" si="8"/>
        <v>2.1955530235989344E-2</v>
      </c>
      <c r="F47" s="9">
        <f t="shared" ca="1" si="8"/>
        <v>-4.8578778492387375E-3</v>
      </c>
      <c r="G47" s="9">
        <f t="shared" ca="1" si="8"/>
        <v>9.1153394314618663E-3</v>
      </c>
      <c r="H47" s="9">
        <f t="shared" ca="1" si="8"/>
        <v>2.5425628784632576E-2</v>
      </c>
      <c r="J47" t="s">
        <v>111</v>
      </c>
      <c r="K47" s="1">
        <v>250.2</v>
      </c>
      <c r="L47" s="9">
        <f t="shared" si="6"/>
        <v>3.5296005133964204E-3</v>
      </c>
      <c r="M47" s="9">
        <f t="shared" ca="1" si="9"/>
        <v>-8.1311801316880511E-3</v>
      </c>
      <c r="N47" s="9">
        <f t="shared" ca="1" si="9"/>
        <v>-1.5243144886678248E-2</v>
      </c>
      <c r="O47" s="9">
        <f t="shared" ca="1" si="9"/>
        <v>-1.6601340557534507E-2</v>
      </c>
      <c r="P47" s="9">
        <f t="shared" ca="1" si="9"/>
        <v>9.0096130719317571E-3</v>
      </c>
      <c r="Q47" s="9">
        <f t="shared" ca="1" si="9"/>
        <v>2.4610250426261326E-3</v>
      </c>
    </row>
    <row r="48" spans="1:17">
      <c r="A48" t="s">
        <v>112</v>
      </c>
      <c r="B48" s="1">
        <v>497.1</v>
      </c>
      <c r="C48" s="9">
        <f t="shared" si="4"/>
        <v>-1.9835949207350739E-2</v>
      </c>
      <c r="D48" s="9">
        <f t="shared" ref="D48:H63" ca="1" si="10">NORMINV(RAND(), $C$6, $C$7)</f>
        <v>6.5541195959538832E-3</v>
      </c>
      <c r="E48" s="9">
        <f t="shared" ca="1" si="10"/>
        <v>2.4080804066121855E-2</v>
      </c>
      <c r="F48" s="9">
        <f t="shared" ca="1" si="10"/>
        <v>-1.8789282144484554E-2</v>
      </c>
      <c r="G48" s="9">
        <f t="shared" ca="1" si="10"/>
        <v>2.8417738051414307E-3</v>
      </c>
      <c r="H48" s="9">
        <f t="shared" ca="1" si="10"/>
        <v>-1.771116274988014E-2</v>
      </c>
      <c r="J48" t="s">
        <v>112</v>
      </c>
      <c r="K48" s="1">
        <v>243.04</v>
      </c>
      <c r="L48" s="9">
        <f t="shared" si="6"/>
        <v>-2.8617106314948029E-2</v>
      </c>
      <c r="M48" s="9">
        <f t="shared" ref="M48:Q63" ca="1" si="11">NORMINV(RAND(), $L$6, $L$7)</f>
        <v>-9.5325375221772344E-3</v>
      </c>
      <c r="N48" s="9">
        <f t="shared" ca="1" si="11"/>
        <v>1.4710958453353433E-2</v>
      </c>
      <c r="O48" s="9">
        <f t="shared" ca="1" si="11"/>
        <v>8.2776144038367427E-3</v>
      </c>
      <c r="P48" s="9">
        <f t="shared" ca="1" si="11"/>
        <v>-2.0885365017977733E-2</v>
      </c>
      <c r="Q48" s="9">
        <f t="shared" ca="1" si="11"/>
        <v>3.2304675388090268E-3</v>
      </c>
    </row>
    <row r="49" spans="1:17">
      <c r="A49" t="s">
        <v>113</v>
      </c>
      <c r="B49" s="1">
        <v>496.82</v>
      </c>
      <c r="C49" s="9">
        <f t="shared" si="4"/>
        <v>-5.6326694830020028E-4</v>
      </c>
      <c r="D49" s="9">
        <f t="shared" ca="1" si="10"/>
        <v>-3.8368367376301324E-2</v>
      </c>
      <c r="E49" s="9">
        <f t="shared" ca="1" si="10"/>
        <v>-1.3656227670378033E-2</v>
      </c>
      <c r="F49" s="9">
        <f t="shared" ca="1" si="10"/>
        <v>2.5878511984531432E-2</v>
      </c>
      <c r="G49" s="9">
        <f t="shared" ca="1" si="10"/>
        <v>-1.2473946799035669E-2</v>
      </c>
      <c r="H49" s="9">
        <f t="shared" ca="1" si="10"/>
        <v>2.6566563624360502E-2</v>
      </c>
      <c r="J49" t="s">
        <v>113</v>
      </c>
      <c r="K49" s="1">
        <v>244.41</v>
      </c>
      <c r="L49" s="9">
        <f t="shared" si="6"/>
        <v>5.6369321922317504E-3</v>
      </c>
      <c r="M49" s="9">
        <f t="shared" ca="1" si="11"/>
        <v>5.1995393207418892E-3</v>
      </c>
      <c r="N49" s="9">
        <f t="shared" ca="1" si="11"/>
        <v>-6.028210922915161E-3</v>
      </c>
      <c r="O49" s="9">
        <f t="shared" ca="1" si="11"/>
        <v>-2.124622343520801E-2</v>
      </c>
      <c r="P49" s="9">
        <f t="shared" ca="1" si="11"/>
        <v>2.1016306326242955E-2</v>
      </c>
      <c r="Q49" s="9">
        <f t="shared" ca="1" si="11"/>
        <v>3.830557119203707E-2</v>
      </c>
    </row>
    <row r="50" spans="1:17">
      <c r="A50" t="s">
        <v>114</v>
      </c>
      <c r="B50" s="1">
        <v>506</v>
      </c>
      <c r="C50" s="9">
        <f t="shared" si="4"/>
        <v>1.8477517008171986E-2</v>
      </c>
      <c r="D50" s="9">
        <f t="shared" ca="1" si="10"/>
        <v>1.0735236695444985E-2</v>
      </c>
      <c r="E50" s="9">
        <f t="shared" ca="1" si="10"/>
        <v>-1.5652270893259799E-2</v>
      </c>
      <c r="F50" s="9">
        <f t="shared" ca="1" si="10"/>
        <v>9.0546604322490256E-3</v>
      </c>
      <c r="G50" s="9">
        <f t="shared" ca="1" si="10"/>
        <v>7.9804537378089391E-3</v>
      </c>
      <c r="H50" s="9">
        <f t="shared" ca="1" si="10"/>
        <v>-2.3617789667124498E-2</v>
      </c>
      <c r="J50" t="s">
        <v>114</v>
      </c>
      <c r="K50" s="1">
        <v>248.4</v>
      </c>
      <c r="L50" s="9">
        <f t="shared" si="6"/>
        <v>1.6325027617527962E-2</v>
      </c>
      <c r="M50" s="9">
        <f t="shared" ca="1" si="11"/>
        <v>-2.085749442313053E-3</v>
      </c>
      <c r="N50" s="9">
        <f t="shared" ca="1" si="11"/>
        <v>1.515715625846705E-2</v>
      </c>
      <c r="O50" s="9">
        <f t="shared" ca="1" si="11"/>
        <v>5.0145516937889888E-3</v>
      </c>
      <c r="P50" s="9">
        <f t="shared" ca="1" si="11"/>
        <v>-4.6266556194160618E-2</v>
      </c>
      <c r="Q50" s="9">
        <f t="shared" ca="1" si="11"/>
        <v>2.4485522650610908E-2</v>
      </c>
    </row>
    <row r="51" spans="1:17">
      <c r="A51" t="s">
        <v>115</v>
      </c>
      <c r="B51" s="1">
        <v>508.68</v>
      </c>
      <c r="C51" s="9">
        <f t="shared" si="4"/>
        <v>5.2964426877470487E-3</v>
      </c>
      <c r="D51" s="9">
        <f t="shared" ca="1" si="10"/>
        <v>9.6010956525318433E-3</v>
      </c>
      <c r="E51" s="9">
        <f t="shared" ca="1" si="10"/>
        <v>1.2429883709829399E-2</v>
      </c>
      <c r="F51" s="9">
        <f t="shared" ca="1" si="10"/>
        <v>6.9435381738359933E-3</v>
      </c>
      <c r="G51" s="9">
        <f t="shared" ca="1" si="10"/>
        <v>1.2149244272414483E-2</v>
      </c>
      <c r="H51" s="9">
        <f t="shared" ca="1" si="10"/>
        <v>1.1583684075274072E-2</v>
      </c>
      <c r="J51" t="s">
        <v>115</v>
      </c>
      <c r="K51" s="1">
        <v>249.1</v>
      </c>
      <c r="L51" s="9">
        <f t="shared" si="6"/>
        <v>2.8180354267310329E-3</v>
      </c>
      <c r="M51" s="9">
        <f t="shared" ca="1" si="11"/>
        <v>-1.1467703396999904E-2</v>
      </c>
      <c r="N51" s="9">
        <f t="shared" ca="1" si="11"/>
        <v>5.7575327033241412E-2</v>
      </c>
      <c r="O51" s="9">
        <f t="shared" ca="1" si="11"/>
        <v>3.3379635232156404E-4</v>
      </c>
      <c r="P51" s="9">
        <f t="shared" ca="1" si="11"/>
        <v>-1.0637832837059592E-2</v>
      </c>
      <c r="Q51" s="9">
        <f t="shared" ca="1" si="11"/>
        <v>-3.8754335459993731E-2</v>
      </c>
    </row>
    <row r="52" spans="1:17">
      <c r="A52" t="s">
        <v>116</v>
      </c>
      <c r="B52" s="1">
        <v>511.14</v>
      </c>
      <c r="C52" s="9">
        <f t="shared" si="4"/>
        <v>4.8360462373200821E-3</v>
      </c>
      <c r="D52" s="9">
        <f t="shared" ca="1" si="10"/>
        <v>1.4908870300396818E-2</v>
      </c>
      <c r="E52" s="9">
        <f t="shared" ca="1" si="10"/>
        <v>-8.3659672624156311E-3</v>
      </c>
      <c r="F52" s="9">
        <f t="shared" ca="1" si="10"/>
        <v>-3.396958045325775E-2</v>
      </c>
      <c r="G52" s="9">
        <f t="shared" ca="1" si="10"/>
        <v>-1.1623117601003762E-3</v>
      </c>
      <c r="H52" s="9">
        <f t="shared" ca="1" si="10"/>
        <v>1.701695005924625E-2</v>
      </c>
      <c r="J52" t="s">
        <v>116</v>
      </c>
      <c r="K52" s="1">
        <v>244.2</v>
      </c>
      <c r="L52" s="9">
        <f t="shared" si="6"/>
        <v>-1.9670814933761566E-2</v>
      </c>
      <c r="M52" s="9">
        <f t="shared" ca="1" si="11"/>
        <v>3.3920095261117292E-2</v>
      </c>
      <c r="N52" s="9">
        <f t="shared" ca="1" si="11"/>
        <v>1.8275374007566791E-2</v>
      </c>
      <c r="O52" s="9">
        <f t="shared" ca="1" si="11"/>
        <v>-3.2319245641893216E-2</v>
      </c>
      <c r="P52" s="9">
        <f t="shared" ca="1" si="11"/>
        <v>8.419667599789328E-3</v>
      </c>
      <c r="Q52" s="9">
        <f t="shared" ca="1" si="11"/>
        <v>3.9024652970145152E-2</v>
      </c>
    </row>
    <row r="53" spans="1:17">
      <c r="A53" t="s">
        <v>117</v>
      </c>
      <c r="B53" s="1">
        <v>503.29</v>
      </c>
      <c r="C53" s="9">
        <f t="shared" si="4"/>
        <v>-1.535782760104857E-2</v>
      </c>
      <c r="D53" s="9">
        <f t="shared" ca="1" si="10"/>
        <v>1.2087539800191449E-2</v>
      </c>
      <c r="E53" s="9">
        <f t="shared" ca="1" si="10"/>
        <v>-2.2787545544463345E-2</v>
      </c>
      <c r="F53" s="9">
        <f t="shared" ca="1" si="10"/>
        <v>-1.571195449906254E-3</v>
      </c>
      <c r="G53" s="9">
        <f t="shared" ca="1" si="10"/>
        <v>2.2315548993518237E-2</v>
      </c>
      <c r="H53" s="9">
        <f t="shared" ca="1" si="10"/>
        <v>-2.9234927474281532E-2</v>
      </c>
      <c r="J53" t="s">
        <v>117</v>
      </c>
      <c r="K53" s="1">
        <v>237.58</v>
      </c>
      <c r="L53" s="9">
        <f t="shared" si="6"/>
        <v>-2.7108927108927011E-2</v>
      </c>
      <c r="M53" s="9">
        <f t="shared" ca="1" si="11"/>
        <v>-5.1985019867209189E-3</v>
      </c>
      <c r="N53" s="9">
        <f t="shared" ca="1" si="11"/>
        <v>-6.3725120255141311E-3</v>
      </c>
      <c r="O53" s="9">
        <f t="shared" ca="1" si="11"/>
        <v>-1.1757961237357955E-2</v>
      </c>
      <c r="P53" s="9">
        <f t="shared" ca="1" si="11"/>
        <v>-1.4107600637963104E-2</v>
      </c>
      <c r="Q53" s="9">
        <f t="shared" ca="1" si="11"/>
        <v>-3.2371994472816849E-2</v>
      </c>
    </row>
    <row r="54" spans="1:17">
      <c r="A54" t="s">
        <v>118</v>
      </c>
      <c r="B54" s="1">
        <v>510.18</v>
      </c>
      <c r="C54" s="9">
        <f t="shared" si="4"/>
        <v>1.3689920324266299E-2</v>
      </c>
      <c r="D54" s="9">
        <f t="shared" ca="1" si="10"/>
        <v>-7.6725480814563264E-3</v>
      </c>
      <c r="E54" s="9">
        <f t="shared" ca="1" si="10"/>
        <v>-8.6574314336572682E-3</v>
      </c>
      <c r="F54" s="9">
        <f t="shared" ca="1" si="10"/>
        <v>2.9503514529221179E-2</v>
      </c>
      <c r="G54" s="9">
        <f t="shared" ca="1" si="10"/>
        <v>1.2122424256111848E-2</v>
      </c>
      <c r="H54" s="9">
        <f t="shared" ca="1" si="10"/>
        <v>-2.4759044471451594E-2</v>
      </c>
      <c r="J54" t="s">
        <v>118</v>
      </c>
      <c r="K54" s="1">
        <v>234.69</v>
      </c>
      <c r="L54" s="9">
        <f t="shared" si="6"/>
        <v>-1.2164323596262374E-2</v>
      </c>
      <c r="M54" s="9">
        <f t="shared" ca="1" si="11"/>
        <v>-2.2348556260003059E-2</v>
      </c>
      <c r="N54" s="9">
        <f t="shared" ca="1" si="11"/>
        <v>3.3108305212894616E-2</v>
      </c>
      <c r="O54" s="9">
        <f t="shared" ca="1" si="11"/>
        <v>1.1745196802232089E-2</v>
      </c>
      <c r="P54" s="9">
        <f t="shared" ca="1" si="11"/>
        <v>-8.0732272382838203E-3</v>
      </c>
      <c r="Q54" s="9">
        <f t="shared" ca="1" si="11"/>
        <v>3.1696388869859862E-3</v>
      </c>
    </row>
    <row r="55" spans="1:17">
      <c r="A55" t="s">
        <v>119</v>
      </c>
      <c r="B55" s="1">
        <v>507.49</v>
      </c>
      <c r="C55" s="9">
        <f t="shared" si="4"/>
        <v>-5.2726488690266133E-3</v>
      </c>
      <c r="D55" s="9">
        <f t="shared" ca="1" si="10"/>
        <v>3.1832159953880813E-2</v>
      </c>
      <c r="E55" s="9">
        <f t="shared" ca="1" si="10"/>
        <v>-1.4936450101576315E-3</v>
      </c>
      <c r="F55" s="9">
        <f t="shared" ca="1" si="10"/>
        <v>3.8902727193756595E-3</v>
      </c>
      <c r="G55" s="9">
        <f t="shared" ca="1" si="10"/>
        <v>-2.8541081819473263E-3</v>
      </c>
      <c r="H55" s="9">
        <f t="shared" ca="1" si="10"/>
        <v>3.0161984627079259E-2</v>
      </c>
      <c r="J55" t="s">
        <v>119</v>
      </c>
      <c r="K55" s="1">
        <v>232.87</v>
      </c>
      <c r="L55" s="9">
        <f t="shared" si="6"/>
        <v>-7.7549107333077386E-3</v>
      </c>
      <c r="M55" s="9">
        <f t="shared" ca="1" si="11"/>
        <v>2.8352208146771335E-2</v>
      </c>
      <c r="N55" s="9">
        <f t="shared" ca="1" si="11"/>
        <v>-2.5630037341260866E-3</v>
      </c>
      <c r="O55" s="9">
        <f t="shared" ca="1" si="11"/>
        <v>-2.0200273613360725E-2</v>
      </c>
      <c r="P55" s="9">
        <f t="shared" ca="1" si="11"/>
        <v>-2.2968461716584516E-2</v>
      </c>
      <c r="Q55" s="9">
        <f t="shared" ca="1" si="11"/>
        <v>5.7467942567895655E-2</v>
      </c>
    </row>
    <row r="56" spans="1:17">
      <c r="A56" t="s">
        <v>120</v>
      </c>
      <c r="B56" s="1">
        <v>493.79</v>
      </c>
      <c r="C56" s="9">
        <f t="shared" si="4"/>
        <v>-2.6995605824745292E-2</v>
      </c>
      <c r="D56" s="9">
        <f t="shared" ca="1" si="10"/>
        <v>-5.7639135610028144E-3</v>
      </c>
      <c r="E56" s="9">
        <f t="shared" ca="1" si="10"/>
        <v>-1.3923806781045895E-2</v>
      </c>
      <c r="F56" s="9">
        <f t="shared" ca="1" si="10"/>
        <v>-2.416492667945018E-2</v>
      </c>
      <c r="G56" s="9">
        <f t="shared" ca="1" si="10"/>
        <v>3.6029853715021688E-2</v>
      </c>
      <c r="H56" s="9">
        <f t="shared" ca="1" si="10"/>
        <v>-1.9825027871410101E-3</v>
      </c>
      <c r="J56" t="s">
        <v>120</v>
      </c>
      <c r="K56" s="1">
        <v>222.55</v>
      </c>
      <c r="L56" s="9">
        <f t="shared" si="6"/>
        <v>-4.4316571477648441E-2</v>
      </c>
      <c r="M56" s="9">
        <f t="shared" ca="1" si="11"/>
        <v>8.1045942837253398E-3</v>
      </c>
      <c r="N56" s="9">
        <f t="shared" ca="1" si="11"/>
        <v>8.3689726846197347E-3</v>
      </c>
      <c r="O56" s="9">
        <f t="shared" ca="1" si="11"/>
        <v>1.2487224155667697E-3</v>
      </c>
      <c r="P56" s="9">
        <f t="shared" ca="1" si="11"/>
        <v>-1.2279924175684964E-2</v>
      </c>
      <c r="Q56" s="9">
        <f t="shared" ca="1" si="11"/>
        <v>1.2234824933030932E-2</v>
      </c>
    </row>
    <row r="57" spans="1:17">
      <c r="A57" t="s">
        <v>121</v>
      </c>
      <c r="B57" s="1">
        <v>487.12</v>
      </c>
      <c r="C57" s="9">
        <f t="shared" si="4"/>
        <v>-1.3507766459426104E-2</v>
      </c>
      <c r="D57" s="9">
        <f t="shared" ca="1" si="10"/>
        <v>5.2111822778040454E-2</v>
      </c>
      <c r="E57" s="9">
        <f t="shared" ca="1" si="10"/>
        <v>-9.5276260768237531E-3</v>
      </c>
      <c r="F57" s="9">
        <f t="shared" ca="1" si="10"/>
        <v>1.1464774598599478E-2</v>
      </c>
      <c r="G57" s="9">
        <f t="shared" ca="1" si="10"/>
        <v>3.1696892653526917E-2</v>
      </c>
      <c r="H57" s="9">
        <f t="shared" ca="1" si="10"/>
        <v>2.0040838096866555E-2</v>
      </c>
      <c r="J57" t="s">
        <v>121</v>
      </c>
      <c r="K57" s="1">
        <v>222.69</v>
      </c>
      <c r="L57" s="9">
        <f t="shared" si="6"/>
        <v>6.2907211862496678E-4</v>
      </c>
      <c r="M57" s="9">
        <f t="shared" ca="1" si="11"/>
        <v>4.163014710679442E-3</v>
      </c>
      <c r="N57" s="9">
        <f t="shared" ca="1" si="11"/>
        <v>-1.9959080858955432E-2</v>
      </c>
      <c r="O57" s="9">
        <f t="shared" ca="1" si="11"/>
        <v>-2.2576143482288296E-2</v>
      </c>
      <c r="P57" s="9">
        <f t="shared" ca="1" si="11"/>
        <v>4.5060559999703887E-3</v>
      </c>
      <c r="Q57" s="9">
        <f t="shared" ca="1" si="11"/>
        <v>3.5210943812874443E-2</v>
      </c>
    </row>
    <row r="58" spans="1:17">
      <c r="A58" t="s">
        <v>122</v>
      </c>
      <c r="B58" s="1">
        <v>478.43</v>
      </c>
      <c r="C58" s="9">
        <f t="shared" si="4"/>
        <v>-1.7839546723599928E-2</v>
      </c>
      <c r="D58" s="9">
        <f t="shared" ca="1" si="10"/>
        <v>4.0209508177196391E-3</v>
      </c>
      <c r="E58" s="9">
        <f t="shared" ca="1" si="10"/>
        <v>3.8363076778100322E-3</v>
      </c>
      <c r="F58" s="9">
        <f t="shared" ca="1" si="10"/>
        <v>2.8531616896515906E-2</v>
      </c>
      <c r="G58" s="9">
        <f t="shared" ca="1" si="10"/>
        <v>-1.5343164376663871E-2</v>
      </c>
      <c r="H58" s="9">
        <f t="shared" ca="1" si="10"/>
        <v>3.4970337200145259E-2</v>
      </c>
      <c r="J58" t="s">
        <v>122</v>
      </c>
      <c r="K58" s="1">
        <v>217.14</v>
      </c>
      <c r="L58" s="9">
        <f t="shared" si="6"/>
        <v>-2.4922538057389247E-2</v>
      </c>
      <c r="M58" s="9">
        <f t="shared" ca="1" si="11"/>
        <v>6.9100150017375366E-3</v>
      </c>
      <c r="N58" s="9">
        <f t="shared" ca="1" si="11"/>
        <v>-3.1062457744334585E-2</v>
      </c>
      <c r="O58" s="9">
        <f t="shared" ca="1" si="11"/>
        <v>1.2362674446999213E-2</v>
      </c>
      <c r="P58" s="9">
        <f t="shared" ca="1" si="11"/>
        <v>1.4901764092552972E-2</v>
      </c>
      <c r="Q58" s="9">
        <f t="shared" ca="1" si="11"/>
        <v>-9.107521191528448E-3</v>
      </c>
    </row>
    <row r="59" spans="1:17">
      <c r="A59" t="s">
        <v>123</v>
      </c>
      <c r="B59" s="1">
        <v>472.12</v>
      </c>
      <c r="C59" s="9">
        <f t="shared" si="4"/>
        <v>-1.3188972263445023E-2</v>
      </c>
      <c r="D59" s="9">
        <f t="shared" ca="1" si="10"/>
        <v>-3.4960677171781383E-2</v>
      </c>
      <c r="E59" s="9">
        <f t="shared" ca="1" si="10"/>
        <v>-4.5320292373077116E-3</v>
      </c>
      <c r="F59" s="9">
        <f t="shared" ca="1" si="10"/>
        <v>-7.0648675629828399E-3</v>
      </c>
      <c r="G59" s="9">
        <f t="shared" ca="1" si="10"/>
        <v>-2.4855520706823824E-2</v>
      </c>
      <c r="H59" s="9">
        <f t="shared" ca="1" si="10"/>
        <v>-2.3990034971242091E-2</v>
      </c>
      <c r="J59" t="s">
        <v>123</v>
      </c>
      <c r="K59" s="1">
        <v>220.69</v>
      </c>
      <c r="L59" s="9">
        <f t="shared" si="6"/>
        <v>1.6348899327622787E-2</v>
      </c>
      <c r="M59" s="9">
        <f t="shared" ca="1" si="11"/>
        <v>1.0073874366400462E-2</v>
      </c>
      <c r="N59" s="9">
        <f t="shared" ca="1" si="11"/>
        <v>2.5527987988840404E-2</v>
      </c>
      <c r="O59" s="9">
        <f t="shared" ca="1" si="11"/>
        <v>-3.0233041883159867E-2</v>
      </c>
      <c r="P59" s="9">
        <f t="shared" ca="1" si="11"/>
        <v>2.2802118175467095E-2</v>
      </c>
      <c r="Q59" s="9">
        <f t="shared" ca="1" si="11"/>
        <v>-8.6805492542245399E-3</v>
      </c>
    </row>
    <row r="60" spans="1:17">
      <c r="A60" t="s">
        <v>124</v>
      </c>
      <c r="B60" s="1">
        <v>474</v>
      </c>
      <c r="C60" s="9">
        <f t="shared" si="4"/>
        <v>3.9820384647970761E-3</v>
      </c>
      <c r="D60" s="9">
        <f t="shared" ca="1" si="10"/>
        <v>7.6322726028498237E-4</v>
      </c>
      <c r="E60" s="9">
        <f t="shared" ca="1" si="10"/>
        <v>1.5271923652496569E-2</v>
      </c>
      <c r="F60" s="9">
        <f t="shared" ca="1" si="10"/>
        <v>3.1938728808076362E-2</v>
      </c>
      <c r="G60" s="9">
        <f t="shared" ca="1" si="10"/>
        <v>1.7989618444727871E-2</v>
      </c>
      <c r="H60" s="9">
        <f t="shared" ca="1" si="10"/>
        <v>-2.9292339544581117E-2</v>
      </c>
      <c r="J60" t="s">
        <v>124</v>
      </c>
      <c r="K60" s="1">
        <v>226.28</v>
      </c>
      <c r="L60" s="9">
        <f t="shared" si="6"/>
        <v>2.5329647922425137E-2</v>
      </c>
      <c r="M60" s="9">
        <f t="shared" ca="1" si="11"/>
        <v>-2.5600429003887959E-3</v>
      </c>
      <c r="N60" s="9">
        <f t="shared" ca="1" si="11"/>
        <v>7.5330591114029953E-3</v>
      </c>
      <c r="O60" s="9">
        <f t="shared" ca="1" si="11"/>
        <v>-1.5431181605174767E-2</v>
      </c>
      <c r="P60" s="9">
        <f t="shared" ca="1" si="11"/>
        <v>-2.4402426683326223E-3</v>
      </c>
      <c r="Q60" s="9">
        <f t="shared" ca="1" si="11"/>
        <v>2.7236467679766323E-2</v>
      </c>
    </row>
    <row r="61" spans="1:17">
      <c r="A61" t="s">
        <v>125</v>
      </c>
      <c r="B61" s="1">
        <v>476.99</v>
      </c>
      <c r="C61" s="9">
        <f t="shared" si="4"/>
        <v>6.3080168776371501E-3</v>
      </c>
      <c r="D61" s="9">
        <f t="shared" ca="1" si="10"/>
        <v>-8.0218239722922146E-3</v>
      </c>
      <c r="E61" s="9">
        <f t="shared" ca="1" si="10"/>
        <v>-5.7637656518149611E-3</v>
      </c>
      <c r="F61" s="9">
        <f t="shared" ca="1" si="10"/>
        <v>-2.8549597352122053E-2</v>
      </c>
      <c r="G61" s="9">
        <f t="shared" ca="1" si="10"/>
        <v>-2.7336662861731729E-3</v>
      </c>
      <c r="H61" s="9">
        <f t="shared" ca="1" si="10"/>
        <v>-1.1291632001272117E-2</v>
      </c>
      <c r="J61" t="s">
        <v>125</v>
      </c>
      <c r="K61" s="1">
        <v>229.67</v>
      </c>
      <c r="L61" s="9">
        <f t="shared" si="6"/>
        <v>1.4981438925225325E-2</v>
      </c>
      <c r="M61" s="9">
        <f t="shared" ca="1" si="11"/>
        <v>-1.3869911750020052E-2</v>
      </c>
      <c r="N61" s="9">
        <f t="shared" ca="1" si="11"/>
        <v>5.2947483692017639E-3</v>
      </c>
      <c r="O61" s="9">
        <f t="shared" ca="1" si="11"/>
        <v>6.6811969057733993E-3</v>
      </c>
      <c r="P61" s="9">
        <f t="shared" ca="1" si="11"/>
        <v>2.0214869480201431E-2</v>
      </c>
      <c r="Q61" s="9">
        <f t="shared" ca="1" si="11"/>
        <v>-7.3731729636473276E-3</v>
      </c>
    </row>
    <row r="62" spans="1:17">
      <c r="A62" t="s">
        <v>126</v>
      </c>
      <c r="B62" s="1">
        <v>485.5</v>
      </c>
      <c r="C62" s="9">
        <f t="shared" si="4"/>
        <v>1.7841044885636995E-2</v>
      </c>
      <c r="D62" s="9">
        <f t="shared" ca="1" si="10"/>
        <v>-2.2296431720510301E-4</v>
      </c>
      <c r="E62" s="9">
        <f t="shared" ca="1" si="10"/>
        <v>-1.0733409876092516E-2</v>
      </c>
      <c r="F62" s="9">
        <f t="shared" ca="1" si="10"/>
        <v>-2.3810041074359498E-2</v>
      </c>
      <c r="G62" s="9">
        <f t="shared" ca="1" si="10"/>
        <v>-8.9286945066800495E-3</v>
      </c>
      <c r="H62" s="9">
        <f t="shared" ca="1" si="10"/>
        <v>8.4715052012727613E-3</v>
      </c>
      <c r="J62" t="s">
        <v>126</v>
      </c>
      <c r="K62" s="1">
        <v>229.16</v>
      </c>
      <c r="L62" s="9">
        <f t="shared" si="6"/>
        <v>-2.2205773501109893E-3</v>
      </c>
      <c r="M62" s="9">
        <f t="shared" ca="1" si="11"/>
        <v>-5.1158874947008102E-3</v>
      </c>
      <c r="N62" s="9">
        <f t="shared" ca="1" si="11"/>
        <v>8.4450634864221396E-3</v>
      </c>
      <c r="O62" s="9">
        <f t="shared" ca="1" si="11"/>
        <v>2.5486079235327464E-2</v>
      </c>
      <c r="P62" s="9">
        <f t="shared" ca="1" si="11"/>
        <v>-4.192875231743152E-3</v>
      </c>
      <c r="Q62" s="9">
        <f t="shared" ca="1" si="11"/>
        <v>7.0889702725194835E-3</v>
      </c>
    </row>
    <row r="63" spans="1:17">
      <c r="A63" t="s">
        <v>127</v>
      </c>
      <c r="B63" s="1">
        <v>492.01</v>
      </c>
      <c r="C63" s="9">
        <f t="shared" si="4"/>
        <v>1.3408856848609662E-2</v>
      </c>
      <c r="D63" s="9">
        <f t="shared" ca="1" si="10"/>
        <v>-8.5659151747751097E-3</v>
      </c>
      <c r="E63" s="9">
        <f t="shared" ca="1" si="10"/>
        <v>-1.5789294542296044E-2</v>
      </c>
      <c r="F63" s="9">
        <f t="shared" ca="1" si="10"/>
        <v>9.4742852823054124E-3</v>
      </c>
      <c r="G63" s="9">
        <f t="shared" ca="1" si="10"/>
        <v>-3.1383879774401019E-2</v>
      </c>
      <c r="H63" s="9">
        <f t="shared" ca="1" si="10"/>
        <v>9.4968822731503514E-4</v>
      </c>
      <c r="J63" t="s">
        <v>127</v>
      </c>
      <c r="K63" s="1">
        <v>233.22</v>
      </c>
      <c r="L63" s="9">
        <f t="shared" si="6"/>
        <v>1.7716879036481073E-2</v>
      </c>
      <c r="M63" s="9">
        <f t="shared" ca="1" si="11"/>
        <v>3.7341319979892129E-4</v>
      </c>
      <c r="N63" s="9">
        <f t="shared" ca="1" si="11"/>
        <v>1.7755833670828466E-3</v>
      </c>
      <c r="O63" s="9">
        <f t="shared" ca="1" si="11"/>
        <v>-6.0325548475730583E-4</v>
      </c>
      <c r="P63" s="9">
        <f t="shared" ca="1" si="11"/>
        <v>2.1315432135399761E-3</v>
      </c>
      <c r="Q63" s="9">
        <f t="shared" ca="1" si="11"/>
        <v>3.1499141162708001E-2</v>
      </c>
    </row>
    <row r="64" spans="1:17">
      <c r="A64" t="s">
        <v>128</v>
      </c>
      <c r="B64" s="1">
        <v>486.74</v>
      </c>
      <c r="C64" s="9">
        <f t="shared" si="4"/>
        <v>-1.0711164407227459E-2</v>
      </c>
      <c r="D64" s="9">
        <f t="shared" ref="D64:H79" ca="1" si="12">NORMINV(RAND(), $C$6, $C$7)</f>
        <v>-1.1576563442900312E-2</v>
      </c>
      <c r="E64" s="9">
        <f t="shared" ca="1" si="12"/>
        <v>4.3402497608627237E-2</v>
      </c>
      <c r="F64" s="9">
        <f t="shared" ca="1" si="12"/>
        <v>-2.3336978995020529E-2</v>
      </c>
      <c r="G64" s="9">
        <f t="shared" ca="1" si="12"/>
        <v>2.6978735839541131E-2</v>
      </c>
      <c r="H64" s="9">
        <f t="shared" ca="1" si="12"/>
        <v>2.1935320736255221E-2</v>
      </c>
      <c r="J64" t="s">
        <v>128</v>
      </c>
      <c r="K64" s="1">
        <v>233.88</v>
      </c>
      <c r="L64" s="9">
        <f t="shared" si="6"/>
        <v>2.8299459737586683E-3</v>
      </c>
      <c r="M64" s="9">
        <f t="shared" ref="M64:Q79" ca="1" si="13">NORMINV(RAND(), $L$6, $L$7)</f>
        <v>-2.9622600465661997E-2</v>
      </c>
      <c r="N64" s="9">
        <f t="shared" ca="1" si="13"/>
        <v>-1.2870219547186736E-2</v>
      </c>
      <c r="O64" s="9">
        <f t="shared" ca="1" si="13"/>
        <v>-2.7901320360481235E-2</v>
      </c>
      <c r="P64" s="9">
        <f t="shared" ca="1" si="13"/>
        <v>4.2714373125848297E-2</v>
      </c>
      <c r="Q64" s="9">
        <f t="shared" ca="1" si="13"/>
        <v>6.7985177574672109E-3</v>
      </c>
    </row>
    <row r="65" spans="1:17">
      <c r="A65" t="s">
        <v>129</v>
      </c>
      <c r="B65" s="1">
        <v>490</v>
      </c>
      <c r="C65" s="9">
        <f t="shared" si="4"/>
        <v>6.6976209064387371E-3</v>
      </c>
      <c r="D65" s="9">
        <f t="shared" ca="1" si="12"/>
        <v>1.1733567398852245E-2</v>
      </c>
      <c r="E65" s="9">
        <f t="shared" ca="1" si="12"/>
        <v>1.052859051436867E-2</v>
      </c>
      <c r="F65" s="9">
        <f t="shared" ca="1" si="12"/>
        <v>-2.8567155344769366E-2</v>
      </c>
      <c r="G65" s="9">
        <f t="shared" ca="1" si="12"/>
        <v>1.4673204411105966E-2</v>
      </c>
      <c r="H65" s="9">
        <f t="shared" ca="1" si="12"/>
        <v>8.5123787803434645E-3</v>
      </c>
      <c r="J65" t="s">
        <v>129</v>
      </c>
      <c r="K65" s="1">
        <v>234.42</v>
      </c>
      <c r="L65" s="9">
        <f t="shared" si="6"/>
        <v>2.3088763468445015E-3</v>
      </c>
      <c r="M65" s="9">
        <f t="shared" ca="1" si="13"/>
        <v>-2.3806077098693132E-2</v>
      </c>
      <c r="N65" s="9">
        <f t="shared" ca="1" si="13"/>
        <v>1.683264281647643E-2</v>
      </c>
      <c r="O65" s="9">
        <f t="shared" ca="1" si="13"/>
        <v>8.4857410689321722E-3</v>
      </c>
      <c r="P65" s="9">
        <f t="shared" ca="1" si="13"/>
        <v>-2.8526051351912426E-2</v>
      </c>
      <c r="Q65" s="9">
        <f t="shared" ca="1" si="13"/>
        <v>1.9872829891671228E-2</v>
      </c>
    </row>
    <row r="66" spans="1:17">
      <c r="A66" t="s">
        <v>130</v>
      </c>
      <c r="B66" s="1">
        <v>477.73</v>
      </c>
      <c r="C66" s="9">
        <f t="shared" si="4"/>
        <v>-2.5040816326530574E-2</v>
      </c>
      <c r="D66" s="9">
        <f t="shared" ca="1" si="12"/>
        <v>2.249597289206922E-2</v>
      </c>
      <c r="E66" s="9">
        <f t="shared" ca="1" si="12"/>
        <v>-1.101203612142756E-2</v>
      </c>
      <c r="F66" s="9">
        <f t="shared" ca="1" si="12"/>
        <v>-3.4558586119391125E-4</v>
      </c>
      <c r="G66" s="9">
        <f t="shared" ca="1" si="12"/>
        <v>-3.7306465506509127E-3</v>
      </c>
      <c r="H66" s="9">
        <f t="shared" ca="1" si="12"/>
        <v>-3.6654156531872928E-2</v>
      </c>
      <c r="J66" t="s">
        <v>130</v>
      </c>
      <c r="K66" s="1">
        <v>232.38</v>
      </c>
      <c r="L66" s="9">
        <f t="shared" si="6"/>
        <v>-8.7023291528026282E-3</v>
      </c>
      <c r="M66" s="9">
        <f t="shared" ca="1" si="13"/>
        <v>-1.6085954857285551E-2</v>
      </c>
      <c r="N66" s="9">
        <f t="shared" ca="1" si="13"/>
        <v>5.2202434046667964E-5</v>
      </c>
      <c r="O66" s="9">
        <f t="shared" ca="1" si="13"/>
        <v>2.3381267774120269E-2</v>
      </c>
      <c r="P66" s="9">
        <f t="shared" ca="1" si="13"/>
        <v>7.1227094640522563E-3</v>
      </c>
      <c r="Q66" s="9">
        <f t="shared" ca="1" si="13"/>
        <v>-3.4105155552276215E-3</v>
      </c>
    </row>
    <row r="67" spans="1:17">
      <c r="A67" t="s">
        <v>131</v>
      </c>
      <c r="B67" s="1">
        <v>480.84</v>
      </c>
      <c r="C67" s="9">
        <f t="shared" si="4"/>
        <v>6.5099533209133963E-3</v>
      </c>
      <c r="D67" s="9">
        <f t="shared" ca="1" si="12"/>
        <v>1.263366343729925E-2</v>
      </c>
      <c r="E67" s="9">
        <f t="shared" ca="1" si="12"/>
        <v>2.1965800382674545E-2</v>
      </c>
      <c r="F67" s="9">
        <f t="shared" ca="1" si="12"/>
        <v>2.599474740032616E-3</v>
      </c>
      <c r="G67" s="9">
        <f t="shared" ca="1" si="12"/>
        <v>-1.6940294388821078E-3</v>
      </c>
      <c r="H67" s="9">
        <f t="shared" ca="1" si="12"/>
        <v>3.9465188063187877E-2</v>
      </c>
      <c r="J67" t="s">
        <v>131</v>
      </c>
      <c r="K67" s="1">
        <v>229.11</v>
      </c>
      <c r="L67" s="9">
        <f t="shared" si="6"/>
        <v>-1.4071778982700671E-2</v>
      </c>
      <c r="M67" s="9">
        <f t="shared" ca="1" si="13"/>
        <v>3.3860826196772331E-2</v>
      </c>
      <c r="N67" s="9">
        <f t="shared" ca="1" si="13"/>
        <v>-1.2886932005416961E-2</v>
      </c>
      <c r="O67" s="9">
        <f t="shared" ca="1" si="13"/>
        <v>-3.0695780525792766E-2</v>
      </c>
      <c r="P67" s="9">
        <f t="shared" ca="1" si="13"/>
        <v>3.8168600919568194E-3</v>
      </c>
      <c r="Q67" s="9">
        <f t="shared" ca="1" si="13"/>
        <v>3.0373993637987335E-2</v>
      </c>
    </row>
    <row r="68" spans="1:17">
      <c r="A68" t="s">
        <v>132</v>
      </c>
      <c r="B68" s="1">
        <v>483.16</v>
      </c>
      <c r="C68" s="9">
        <f t="shared" si="4"/>
        <v>4.8248897762250441E-3</v>
      </c>
      <c r="D68" s="9">
        <f t="shared" ca="1" si="12"/>
        <v>-2.6679012026744039E-2</v>
      </c>
      <c r="E68" s="9">
        <f t="shared" ca="1" si="12"/>
        <v>2.2308222191289893E-2</v>
      </c>
      <c r="F68" s="9">
        <f t="shared" ca="1" si="12"/>
        <v>-9.6949343164161646E-3</v>
      </c>
      <c r="G68" s="9">
        <f t="shared" ca="1" si="12"/>
        <v>-5.0401668660858719E-2</v>
      </c>
      <c r="H68" s="9">
        <f t="shared" ca="1" si="12"/>
        <v>2.8017171656469012E-2</v>
      </c>
      <c r="J68" t="s">
        <v>132</v>
      </c>
      <c r="K68" s="1">
        <v>229.53</v>
      </c>
      <c r="L68" s="9">
        <f t="shared" si="6"/>
        <v>1.8331805682859214E-3</v>
      </c>
      <c r="M68" s="9">
        <f t="shared" ca="1" si="13"/>
        <v>-3.7594434988329255E-2</v>
      </c>
      <c r="N68" s="9">
        <f t="shared" ca="1" si="13"/>
        <v>4.8690489919537309E-3</v>
      </c>
      <c r="O68" s="9">
        <f t="shared" ca="1" si="13"/>
        <v>-5.9959863317058824E-3</v>
      </c>
      <c r="P68" s="9">
        <f t="shared" ca="1" si="13"/>
        <v>-2.6346359841383838E-3</v>
      </c>
      <c r="Q68" s="9">
        <f t="shared" ca="1" si="13"/>
        <v>3.5789371016649772E-2</v>
      </c>
    </row>
    <row r="69" spans="1:17">
      <c r="A69" t="s">
        <v>133</v>
      </c>
      <c r="B69" s="1">
        <v>491.02</v>
      </c>
      <c r="C69" s="9">
        <f t="shared" si="4"/>
        <v>1.6267902972100248E-2</v>
      </c>
      <c r="D69" s="9">
        <f t="shared" ca="1" si="12"/>
        <v>-3.549125712078828E-2</v>
      </c>
      <c r="E69" s="9">
        <f t="shared" ca="1" si="12"/>
        <v>4.9329588643792525E-3</v>
      </c>
      <c r="F69" s="9">
        <f t="shared" ca="1" si="12"/>
        <v>3.7110551680449846E-3</v>
      </c>
      <c r="G69" s="9">
        <f t="shared" ca="1" si="12"/>
        <v>4.5280612830999808E-2</v>
      </c>
      <c r="H69" s="9">
        <f t="shared" ca="1" si="12"/>
        <v>-1.9727829393932837E-2</v>
      </c>
      <c r="J69" t="s">
        <v>133</v>
      </c>
      <c r="K69" s="1">
        <v>226.89</v>
      </c>
      <c r="L69" s="9">
        <f t="shared" si="6"/>
        <v>-1.150176447523206E-2</v>
      </c>
      <c r="M69" s="9">
        <f t="shared" ca="1" si="13"/>
        <v>-4.0279776512177436E-2</v>
      </c>
      <c r="N69" s="9">
        <f t="shared" ca="1" si="13"/>
        <v>-7.8344556882328706E-3</v>
      </c>
      <c r="O69" s="9">
        <f t="shared" ca="1" si="13"/>
        <v>-3.0536794415061987E-2</v>
      </c>
      <c r="P69" s="9">
        <f t="shared" ca="1" si="13"/>
        <v>1.6897262585439263E-2</v>
      </c>
      <c r="Q69" s="9">
        <f t="shared" ca="1" si="13"/>
        <v>1.5225457974739752E-2</v>
      </c>
    </row>
    <row r="70" spans="1:17">
      <c r="A70" t="s">
        <v>134</v>
      </c>
      <c r="B70" s="1">
        <v>492.02</v>
      </c>
      <c r="C70" s="9">
        <f t="shared" si="4"/>
        <v>2.0365769215103255E-3</v>
      </c>
      <c r="D70" s="9">
        <f t="shared" ca="1" si="12"/>
        <v>2.3487761186068382E-2</v>
      </c>
      <c r="E70" s="9">
        <f t="shared" ca="1" si="12"/>
        <v>-1.1857003762136449E-2</v>
      </c>
      <c r="F70" s="9">
        <f t="shared" ca="1" si="12"/>
        <v>2.6835268906744984E-2</v>
      </c>
      <c r="G70" s="9">
        <f t="shared" ca="1" si="12"/>
        <v>-2.5102374655815458E-2</v>
      </c>
      <c r="H70" s="9">
        <f t="shared" ca="1" si="12"/>
        <v>2.3510847431308216E-2</v>
      </c>
      <c r="J70" t="s">
        <v>134</v>
      </c>
      <c r="K70" s="1">
        <v>227.92</v>
      </c>
      <c r="L70" s="9">
        <f t="shared" si="6"/>
        <v>4.5396447617788412E-3</v>
      </c>
      <c r="M70" s="9">
        <f t="shared" ca="1" si="13"/>
        <v>4.5242280616493866E-2</v>
      </c>
      <c r="N70" s="9">
        <f t="shared" ca="1" si="13"/>
        <v>-6.3886066254716916E-3</v>
      </c>
      <c r="O70" s="9">
        <f t="shared" ca="1" si="13"/>
        <v>-1.4705536365260558E-2</v>
      </c>
      <c r="P70" s="9">
        <f t="shared" ca="1" si="13"/>
        <v>1.6463855954231455E-3</v>
      </c>
      <c r="Q70" s="9">
        <f t="shared" ca="1" si="13"/>
        <v>-1.7881393786361246E-2</v>
      </c>
    </row>
    <row r="71" spans="1:17">
      <c r="A71" t="s">
        <v>135</v>
      </c>
      <c r="B71" s="1">
        <v>478.56</v>
      </c>
      <c r="C71" s="9">
        <f t="shared" si="4"/>
        <v>-2.7356611519856876E-2</v>
      </c>
      <c r="D71" s="9">
        <f t="shared" ca="1" si="12"/>
        <v>-1.3217345489638271E-2</v>
      </c>
      <c r="E71" s="9">
        <f t="shared" ca="1" si="12"/>
        <v>4.4236896106287456E-2</v>
      </c>
      <c r="F71" s="9">
        <f t="shared" ca="1" si="12"/>
        <v>7.3524844976715336E-3</v>
      </c>
      <c r="G71" s="9">
        <f t="shared" ca="1" si="12"/>
        <v>4.1883552410302734E-2</v>
      </c>
      <c r="H71" s="9">
        <f t="shared" ca="1" si="12"/>
        <v>2.0455308781791335E-2</v>
      </c>
      <c r="J71" t="s">
        <v>135</v>
      </c>
      <c r="K71" s="1">
        <v>231.78</v>
      </c>
      <c r="L71" s="9">
        <f t="shared" si="6"/>
        <v>1.6935766935766997E-2</v>
      </c>
      <c r="M71" s="9">
        <f t="shared" ca="1" si="13"/>
        <v>1.4964678541012843E-2</v>
      </c>
      <c r="N71" s="9">
        <f t="shared" ca="1" si="13"/>
        <v>-3.9590379525620188E-2</v>
      </c>
      <c r="O71" s="9">
        <f t="shared" ca="1" si="13"/>
        <v>3.3963397720471231E-2</v>
      </c>
      <c r="P71" s="9">
        <f t="shared" ca="1" si="13"/>
        <v>4.4114520837327878E-3</v>
      </c>
      <c r="Q71" s="9">
        <f t="shared" ca="1" si="13"/>
        <v>4.7015499401795571E-2</v>
      </c>
    </row>
    <row r="72" spans="1:17">
      <c r="A72" t="s">
        <v>136</v>
      </c>
      <c r="B72" s="1">
        <v>483.47</v>
      </c>
      <c r="C72" s="9">
        <f t="shared" si="4"/>
        <v>1.0259946506185275E-2</v>
      </c>
      <c r="D72" s="9">
        <f t="shared" ca="1" si="12"/>
        <v>-3.886771545262061E-3</v>
      </c>
      <c r="E72" s="9">
        <f t="shared" ca="1" si="12"/>
        <v>3.6499749570527526E-2</v>
      </c>
      <c r="F72" s="9">
        <f t="shared" ca="1" si="12"/>
        <v>1.4305750775287719E-3</v>
      </c>
      <c r="G72" s="9">
        <f t="shared" ca="1" si="12"/>
        <v>-3.4350559717065354E-2</v>
      </c>
      <c r="H72" s="9">
        <f t="shared" ca="1" si="12"/>
        <v>1.0847091582215269E-2</v>
      </c>
      <c r="J72" t="s">
        <v>136</v>
      </c>
      <c r="K72" s="1">
        <v>230.28</v>
      </c>
      <c r="L72" s="9">
        <f t="shared" si="6"/>
        <v>-6.4716541548019675E-3</v>
      </c>
      <c r="M72" s="9">
        <f t="shared" ca="1" si="13"/>
        <v>2.5340699720035869E-2</v>
      </c>
      <c r="N72" s="9">
        <f t="shared" ca="1" si="13"/>
        <v>-3.1839485482409668E-2</v>
      </c>
      <c r="O72" s="9">
        <f t="shared" ca="1" si="13"/>
        <v>-5.6714438605326226E-3</v>
      </c>
      <c r="P72" s="9">
        <f t="shared" ca="1" si="13"/>
        <v>4.8564357173411015E-3</v>
      </c>
      <c r="Q72" s="9">
        <f t="shared" ca="1" si="13"/>
        <v>-1.4225959337334827E-2</v>
      </c>
    </row>
    <row r="73" spans="1:17">
      <c r="A73" t="s">
        <v>137</v>
      </c>
      <c r="B73" s="1">
        <v>478.53</v>
      </c>
      <c r="C73" s="9">
        <f t="shared" si="4"/>
        <v>-1.0217800484001187E-2</v>
      </c>
      <c r="D73" s="9">
        <f t="shared" ca="1" si="12"/>
        <v>-3.1037111773967077E-2</v>
      </c>
      <c r="E73" s="9">
        <f t="shared" ca="1" si="12"/>
        <v>-3.2618050248351807E-2</v>
      </c>
      <c r="F73" s="9">
        <f t="shared" ca="1" si="12"/>
        <v>1.3195500744143647E-2</v>
      </c>
      <c r="G73" s="9">
        <f t="shared" ca="1" si="12"/>
        <v>6.0764527485993435E-3</v>
      </c>
      <c r="H73" s="9">
        <f t="shared" ca="1" si="12"/>
        <v>-6.7864751468553275E-3</v>
      </c>
      <c r="J73" t="s">
        <v>137</v>
      </c>
      <c r="K73" s="1">
        <v>226.19</v>
      </c>
      <c r="L73" s="9">
        <f t="shared" si="6"/>
        <v>-1.7760986624978301E-2</v>
      </c>
      <c r="M73" s="9">
        <f t="shared" ca="1" si="13"/>
        <v>-2.0368771189682704E-2</v>
      </c>
      <c r="N73" s="9">
        <f t="shared" ca="1" si="13"/>
        <v>-4.9652540841000408E-3</v>
      </c>
      <c r="O73" s="9">
        <f t="shared" ca="1" si="13"/>
        <v>-2.8525314784440637E-2</v>
      </c>
      <c r="P73" s="9">
        <f t="shared" ca="1" si="13"/>
        <v>-1.4545484741268877E-2</v>
      </c>
      <c r="Q73" s="9">
        <f t="shared" ca="1" si="13"/>
        <v>-1.7316040076808634E-2</v>
      </c>
    </row>
    <row r="74" spans="1:17">
      <c r="A74" t="s">
        <v>138</v>
      </c>
      <c r="B74" s="1">
        <v>474.82</v>
      </c>
      <c r="C74" s="9">
        <f t="shared" si="4"/>
        <v>-7.752909953398909E-3</v>
      </c>
      <c r="D74" s="9">
        <f t="shared" ca="1" si="12"/>
        <v>-7.5222297310894035E-3</v>
      </c>
      <c r="E74" s="9">
        <f t="shared" ca="1" si="12"/>
        <v>2.8221301564173022E-2</v>
      </c>
      <c r="F74" s="9">
        <f t="shared" ca="1" si="12"/>
        <v>-1.2573253279897113E-4</v>
      </c>
      <c r="G74" s="9">
        <f t="shared" ca="1" si="12"/>
        <v>3.221159505595432E-2</v>
      </c>
      <c r="H74" s="9">
        <f t="shared" ca="1" si="12"/>
        <v>-1.2301819348600823E-3</v>
      </c>
      <c r="J74" t="s">
        <v>138</v>
      </c>
      <c r="K74" s="1">
        <v>222.54</v>
      </c>
      <c r="L74" s="9">
        <f t="shared" si="6"/>
        <v>-1.6136876077633873E-2</v>
      </c>
      <c r="M74" s="9">
        <f t="shared" ca="1" si="13"/>
        <v>4.6532664841422669E-2</v>
      </c>
      <c r="N74" s="9">
        <f t="shared" ca="1" si="13"/>
        <v>1.608502863742604E-2</v>
      </c>
      <c r="O74" s="9">
        <f t="shared" ca="1" si="13"/>
        <v>-9.9253036385078004E-3</v>
      </c>
      <c r="P74" s="9">
        <f t="shared" ca="1" si="13"/>
        <v>2.5700078395336067E-2</v>
      </c>
      <c r="Q74" s="9">
        <f t="shared" ca="1" si="13"/>
        <v>-6.4989007908803492E-3</v>
      </c>
    </row>
    <row r="75" spans="1:17">
      <c r="A75" t="s">
        <v>139</v>
      </c>
      <c r="B75" s="1">
        <v>476.39</v>
      </c>
      <c r="C75" s="9">
        <f t="shared" si="4"/>
        <v>3.306516153489729E-3</v>
      </c>
      <c r="D75" s="9">
        <f t="shared" ca="1" si="12"/>
        <v>-2.6701646504080988E-2</v>
      </c>
      <c r="E75" s="9">
        <f t="shared" ca="1" si="12"/>
        <v>2.9033802404498068E-2</v>
      </c>
      <c r="F75" s="9">
        <f t="shared" ca="1" si="12"/>
        <v>-8.1053537801773316E-3</v>
      </c>
      <c r="G75" s="9">
        <f t="shared" ca="1" si="12"/>
        <v>-2.9264443532881702E-2</v>
      </c>
      <c r="H75" s="9">
        <f t="shared" ca="1" si="12"/>
        <v>2.8889971517845645E-2</v>
      </c>
      <c r="J75" t="s">
        <v>139</v>
      </c>
      <c r="K75" s="1">
        <v>222.56</v>
      </c>
      <c r="L75" s="9">
        <f t="shared" si="6"/>
        <v>8.9871483778243154E-5</v>
      </c>
      <c r="M75" s="9">
        <f t="shared" ca="1" si="13"/>
        <v>7.9277920308752875E-4</v>
      </c>
      <c r="N75" s="9">
        <f t="shared" ca="1" si="13"/>
        <v>9.27191426680757E-3</v>
      </c>
      <c r="O75" s="9">
        <f t="shared" ca="1" si="13"/>
        <v>5.3621363318994766E-2</v>
      </c>
      <c r="P75" s="9">
        <f t="shared" ca="1" si="13"/>
        <v>-1.0856905670869053E-2</v>
      </c>
      <c r="Q75" s="9">
        <f t="shared" ca="1" si="13"/>
        <v>1.504118358550767E-2</v>
      </c>
    </row>
    <row r="76" spans="1:17">
      <c r="A76" t="s">
        <v>140</v>
      </c>
      <c r="B76" s="1">
        <v>476.12</v>
      </c>
      <c r="C76" s="9">
        <f t="shared" si="4"/>
        <v>-5.6676252650135776E-4</v>
      </c>
      <c r="D76" s="9">
        <f t="shared" ca="1" si="12"/>
        <v>7.3002680376424737E-3</v>
      </c>
      <c r="E76" s="9">
        <f t="shared" ca="1" si="12"/>
        <v>-1.5142843928472297E-2</v>
      </c>
      <c r="F76" s="9">
        <f t="shared" ca="1" si="12"/>
        <v>-2.9197238957625889E-2</v>
      </c>
      <c r="G76" s="9">
        <f t="shared" ca="1" si="12"/>
        <v>3.1537094118742975E-2</v>
      </c>
      <c r="H76" s="9">
        <f t="shared" ca="1" si="12"/>
        <v>-1.4145103105885603E-2</v>
      </c>
      <c r="J76" t="s">
        <v>140</v>
      </c>
      <c r="K76" s="1">
        <v>221.27</v>
      </c>
      <c r="L76" s="9">
        <f t="shared" si="6"/>
        <v>-5.7961897915168583E-3</v>
      </c>
      <c r="M76" s="9">
        <f t="shared" ca="1" si="13"/>
        <v>-4.1135066253903028E-2</v>
      </c>
      <c r="N76" s="9">
        <f t="shared" ca="1" si="13"/>
        <v>-2.3823974009756707E-2</v>
      </c>
      <c r="O76" s="9">
        <f t="shared" ca="1" si="13"/>
        <v>-2.2789166773136211E-2</v>
      </c>
      <c r="P76" s="9">
        <f t="shared" ca="1" si="13"/>
        <v>-6.1819960829412853E-3</v>
      </c>
      <c r="Q76" s="9">
        <f t="shared" ca="1" si="13"/>
        <v>-7.2901542886313626E-4</v>
      </c>
    </row>
    <row r="77" spans="1:17">
      <c r="A77" t="s">
        <v>141</v>
      </c>
      <c r="B77" s="1">
        <v>483.98</v>
      </c>
      <c r="C77" s="9">
        <f t="shared" si="4"/>
        <v>1.6508443249600969E-2</v>
      </c>
      <c r="D77" s="9">
        <f t="shared" ca="1" si="12"/>
        <v>-6.1201137220114393E-3</v>
      </c>
      <c r="E77" s="9">
        <f t="shared" ca="1" si="12"/>
        <v>-1.4542144177737162E-2</v>
      </c>
      <c r="F77" s="9">
        <f t="shared" ca="1" si="12"/>
        <v>-5.6017882270975261E-2</v>
      </c>
      <c r="G77" s="9">
        <f t="shared" ca="1" si="12"/>
        <v>2.5946498030043081E-3</v>
      </c>
      <c r="H77" s="9">
        <f t="shared" ca="1" si="12"/>
        <v>3.1687320948697584E-2</v>
      </c>
      <c r="J77" t="s">
        <v>141</v>
      </c>
      <c r="K77" s="1">
        <v>226.76</v>
      </c>
      <c r="L77" s="9">
        <f t="shared" si="6"/>
        <v>2.4811316491164553E-2</v>
      </c>
      <c r="M77" s="9">
        <f t="shared" ca="1" si="13"/>
        <v>-1.7268483936990986E-2</v>
      </c>
      <c r="N77" s="9">
        <f t="shared" ca="1" si="13"/>
        <v>1.4594766004813161E-2</v>
      </c>
      <c r="O77" s="9">
        <f t="shared" ca="1" si="13"/>
        <v>1.2014328670996459E-2</v>
      </c>
      <c r="P77" s="9">
        <f t="shared" ca="1" si="13"/>
        <v>1.6228219898351643E-3</v>
      </c>
      <c r="Q77" s="9">
        <f t="shared" ca="1" si="13"/>
        <v>-5.8737168694308214E-2</v>
      </c>
    </row>
    <row r="78" spans="1:17">
      <c r="A78" t="s">
        <v>142</v>
      </c>
      <c r="B78" s="1">
        <v>485.92</v>
      </c>
      <c r="C78" s="9">
        <f t="shared" si="4"/>
        <v>4.0084301004173675E-3</v>
      </c>
      <c r="D78" s="9">
        <f t="shared" ca="1" si="12"/>
        <v>1.6030066060819786E-2</v>
      </c>
      <c r="E78" s="9">
        <f t="shared" ca="1" si="12"/>
        <v>-2.706462639763953E-2</v>
      </c>
      <c r="F78" s="9">
        <f t="shared" ca="1" si="12"/>
        <v>1.4385825392731165E-2</v>
      </c>
      <c r="G78" s="9">
        <f t="shared" ca="1" si="12"/>
        <v>-1.5890587680908591E-2</v>
      </c>
      <c r="H78" s="9">
        <f t="shared" ca="1" si="12"/>
        <v>-1.4939857395822216E-3</v>
      </c>
      <c r="J78" t="s">
        <v>142</v>
      </c>
      <c r="K78" s="1">
        <v>227.35</v>
      </c>
      <c r="L78" s="9">
        <f t="shared" si="6"/>
        <v>2.6018698183101229E-3</v>
      </c>
      <c r="M78" s="9">
        <f t="shared" ca="1" si="13"/>
        <v>-1.5728423634508597E-2</v>
      </c>
      <c r="N78" s="9">
        <f t="shared" ca="1" si="13"/>
        <v>6.5303907792521659E-3</v>
      </c>
      <c r="O78" s="9">
        <f t="shared" ca="1" si="13"/>
        <v>1.2125863011344778E-2</v>
      </c>
      <c r="P78" s="9">
        <f t="shared" ca="1" si="13"/>
        <v>-4.1892290519879487E-3</v>
      </c>
      <c r="Q78" s="9">
        <f t="shared" ca="1" si="13"/>
        <v>-1.837893760875442E-2</v>
      </c>
    </row>
    <row r="79" spans="1:17">
      <c r="A79" t="s">
        <v>143</v>
      </c>
      <c r="B79" s="1">
        <v>484.92</v>
      </c>
      <c r="C79" s="9">
        <f t="shared" si="4"/>
        <v>-2.057951926243003E-3</v>
      </c>
      <c r="D79" s="9">
        <f t="shared" ca="1" si="12"/>
        <v>4.2151185746958655E-2</v>
      </c>
      <c r="E79" s="9">
        <f t="shared" ca="1" si="12"/>
        <v>-4.065287667458066E-2</v>
      </c>
      <c r="F79" s="9">
        <f t="shared" ca="1" si="12"/>
        <v>2.2878575433942946E-2</v>
      </c>
      <c r="G79" s="9">
        <f t="shared" ca="1" si="12"/>
        <v>-2.0979180762583066E-2</v>
      </c>
      <c r="H79" s="9">
        <f t="shared" ca="1" si="12"/>
        <v>1.682998410990115E-3</v>
      </c>
      <c r="J79" t="s">
        <v>143</v>
      </c>
      <c r="K79" s="1">
        <v>228.43</v>
      </c>
      <c r="L79" s="9">
        <f t="shared" si="6"/>
        <v>4.7503848691445461E-3</v>
      </c>
      <c r="M79" s="9">
        <f t="shared" ca="1" si="13"/>
        <v>1.931247627121296E-3</v>
      </c>
      <c r="N79" s="9">
        <f t="shared" ca="1" si="13"/>
        <v>-2.0493076202363313E-2</v>
      </c>
      <c r="O79" s="9">
        <f t="shared" ca="1" si="13"/>
        <v>3.2857937192671046E-3</v>
      </c>
      <c r="P79" s="9">
        <f t="shared" ca="1" si="13"/>
        <v>1.9400129471393999E-2</v>
      </c>
      <c r="Q79" s="9">
        <f t="shared" ca="1" si="13"/>
        <v>8.7079197553257392E-3</v>
      </c>
    </row>
    <row r="80" spans="1:17">
      <c r="A80" t="s">
        <v>144</v>
      </c>
      <c r="B80" s="1">
        <v>486.85</v>
      </c>
      <c r="C80" s="9">
        <f t="shared" ref="C80:C143" si="14">(B80-B79)/B79</f>
        <v>3.9800379444032141E-3</v>
      </c>
      <c r="D80" s="9">
        <f t="shared" ref="D80:H95" ca="1" si="15">NORMINV(RAND(), $C$6, $C$7)</f>
        <v>2.3603485209681724E-2</v>
      </c>
      <c r="E80" s="9">
        <f t="shared" ca="1" si="15"/>
        <v>-1.3222607533152119E-2</v>
      </c>
      <c r="F80" s="9">
        <f t="shared" ca="1" si="15"/>
        <v>1.880969144025893E-2</v>
      </c>
      <c r="G80" s="9">
        <f t="shared" ca="1" si="15"/>
        <v>1.1876800927981032E-2</v>
      </c>
      <c r="H80" s="9">
        <f t="shared" ca="1" si="15"/>
        <v>1.0757084233482206E-2</v>
      </c>
      <c r="J80" t="s">
        <v>144</v>
      </c>
      <c r="K80" s="1">
        <v>232.14</v>
      </c>
      <c r="L80" s="9">
        <f t="shared" ref="L80:L143" si="16">(K80-K79)/K79</f>
        <v>1.6241299303944225E-2</v>
      </c>
      <c r="M80" s="9">
        <f t="shared" ref="M80:Q95" ca="1" si="17">NORMINV(RAND(), $L$6, $L$7)</f>
        <v>6.6776893902018471E-3</v>
      </c>
      <c r="N80" s="9">
        <f t="shared" ca="1" si="17"/>
        <v>-2.5588916394312919E-2</v>
      </c>
      <c r="O80" s="9">
        <f t="shared" ca="1" si="17"/>
        <v>-1.4114696464653539E-2</v>
      </c>
      <c r="P80" s="9">
        <f t="shared" ca="1" si="17"/>
        <v>2.4500274492975527E-2</v>
      </c>
      <c r="Q80" s="9">
        <f t="shared" ca="1" si="17"/>
        <v>-6.3397657836722658E-3</v>
      </c>
    </row>
    <row r="81" spans="1:17">
      <c r="A81" t="s">
        <v>145</v>
      </c>
      <c r="B81" s="1">
        <v>488.02</v>
      </c>
      <c r="C81" s="9">
        <f t="shared" si="14"/>
        <v>2.4032042723630665E-3</v>
      </c>
      <c r="D81" s="9">
        <f t="shared" ca="1" si="15"/>
        <v>4.0983690275075965E-2</v>
      </c>
      <c r="E81" s="9">
        <f t="shared" ca="1" si="15"/>
        <v>-4.2028535570687933E-2</v>
      </c>
      <c r="F81" s="9">
        <f t="shared" ca="1" si="15"/>
        <v>2.8002737792168039E-2</v>
      </c>
      <c r="G81" s="9">
        <f t="shared" ca="1" si="15"/>
        <v>-1.8154852025729036E-2</v>
      </c>
      <c r="H81" s="9">
        <f t="shared" ca="1" si="15"/>
        <v>1.1748124882553748E-2</v>
      </c>
      <c r="J81" t="s">
        <v>145</v>
      </c>
      <c r="K81" s="1">
        <v>232.38</v>
      </c>
      <c r="L81" s="9">
        <f t="shared" si="16"/>
        <v>1.0338588782631563E-3</v>
      </c>
      <c r="M81" s="9">
        <f t="shared" ca="1" si="17"/>
        <v>-1.9982472245302987E-2</v>
      </c>
      <c r="N81" s="9">
        <f t="shared" ca="1" si="17"/>
        <v>5.8482771863728163E-3</v>
      </c>
      <c r="O81" s="9">
        <f t="shared" ca="1" si="17"/>
        <v>-1.4447757731165618E-2</v>
      </c>
      <c r="P81" s="9">
        <f t="shared" ca="1" si="17"/>
        <v>-1.511495892118575E-2</v>
      </c>
      <c r="Q81" s="9">
        <f t="shared" ca="1" si="17"/>
        <v>-1.3464272313095027E-2</v>
      </c>
    </row>
    <row r="82" spans="1:17">
      <c r="A82" t="s">
        <v>146</v>
      </c>
      <c r="B82" s="1">
        <v>487.71</v>
      </c>
      <c r="C82" s="9">
        <f t="shared" si="14"/>
        <v>-6.3521986803819982E-4</v>
      </c>
      <c r="D82" s="9">
        <f t="shared" ca="1" si="15"/>
        <v>-2.8334199429977149E-2</v>
      </c>
      <c r="E82" s="9">
        <f t="shared" ca="1" si="15"/>
        <v>-2.3846321733102426E-2</v>
      </c>
      <c r="F82" s="9">
        <f t="shared" ca="1" si="15"/>
        <v>-1.7187614041737419E-2</v>
      </c>
      <c r="G82" s="9">
        <f t="shared" ca="1" si="15"/>
        <v>-1.5329048524956876E-3</v>
      </c>
      <c r="H82" s="9">
        <f t="shared" ca="1" si="15"/>
        <v>8.6138766408134105E-3</v>
      </c>
      <c r="J82" t="s">
        <v>146</v>
      </c>
      <c r="K82" s="1">
        <v>232.52</v>
      </c>
      <c r="L82" s="9">
        <f t="shared" si="16"/>
        <v>6.0246148549795498E-4</v>
      </c>
      <c r="M82" s="9">
        <f t="shared" ca="1" si="17"/>
        <v>2.7885328256315296E-2</v>
      </c>
      <c r="N82" s="9">
        <f t="shared" ca="1" si="17"/>
        <v>-3.0215204852052334E-3</v>
      </c>
      <c r="O82" s="9">
        <f t="shared" ca="1" si="17"/>
        <v>4.7081069120995335E-2</v>
      </c>
      <c r="P82" s="9">
        <f t="shared" ca="1" si="17"/>
        <v>-1.3779618178860649E-2</v>
      </c>
      <c r="Q82" s="9">
        <f t="shared" ca="1" si="17"/>
        <v>-9.7170619994067418E-5</v>
      </c>
    </row>
    <row r="83" spans="1:17">
      <c r="A83" t="s">
        <v>147</v>
      </c>
      <c r="B83" s="1">
        <v>487.1</v>
      </c>
      <c r="C83" s="9">
        <f t="shared" si="14"/>
        <v>-1.250743269565842E-3</v>
      </c>
      <c r="D83" s="9">
        <f t="shared" ca="1" si="15"/>
        <v>-2.8507201079748241E-3</v>
      </c>
      <c r="E83" s="9">
        <f t="shared" ca="1" si="15"/>
        <v>-1.5257677986011551E-2</v>
      </c>
      <c r="F83" s="9">
        <f t="shared" ca="1" si="15"/>
        <v>-3.2213214177737155E-2</v>
      </c>
      <c r="G83" s="9">
        <f t="shared" ca="1" si="15"/>
        <v>-3.7591933763883083E-2</v>
      </c>
      <c r="H83" s="9">
        <f t="shared" ca="1" si="15"/>
        <v>-1.6844478028510373E-3</v>
      </c>
      <c r="J83" t="s">
        <v>147</v>
      </c>
      <c r="K83" s="1">
        <v>232.07</v>
      </c>
      <c r="L83" s="9">
        <f t="shared" si="16"/>
        <v>-1.9353173920523699E-3</v>
      </c>
      <c r="M83" s="9">
        <f t="shared" ca="1" si="17"/>
        <v>5.5288015946652743E-3</v>
      </c>
      <c r="N83" s="9">
        <f t="shared" ca="1" si="17"/>
        <v>2.9908546867883929E-3</v>
      </c>
      <c r="O83" s="9">
        <f t="shared" ca="1" si="17"/>
        <v>2.4483421706367393E-2</v>
      </c>
      <c r="P83" s="9">
        <f t="shared" ca="1" si="17"/>
        <v>1.0651958007039809E-2</v>
      </c>
      <c r="Q83" s="9">
        <f t="shared" ca="1" si="17"/>
        <v>2.7050016645084548E-2</v>
      </c>
    </row>
    <row r="84" spans="1:17">
      <c r="A84" t="s">
        <v>148</v>
      </c>
      <c r="B84" s="1">
        <v>487.48</v>
      </c>
      <c r="C84" s="9">
        <f t="shared" si="14"/>
        <v>7.8012728392526267E-4</v>
      </c>
      <c r="D84" s="9">
        <f t="shared" ca="1" si="15"/>
        <v>2.3790336669687806E-3</v>
      </c>
      <c r="E84" s="9">
        <f t="shared" ca="1" si="15"/>
        <v>7.5249150290432982E-3</v>
      </c>
      <c r="F84" s="9">
        <f t="shared" ca="1" si="15"/>
        <v>-1.2183918171390768E-2</v>
      </c>
      <c r="G84" s="9">
        <f t="shared" ca="1" si="15"/>
        <v>6.7464143094497758E-3</v>
      </c>
      <c r="H84" s="9">
        <f t="shared" ca="1" si="15"/>
        <v>1.4080111294669123E-2</v>
      </c>
      <c r="J84" t="s">
        <v>148</v>
      </c>
      <c r="K84" s="1">
        <v>232.53</v>
      </c>
      <c r="L84" s="9">
        <f t="shared" si="16"/>
        <v>1.9821605550049896E-3</v>
      </c>
      <c r="M84" s="9">
        <f t="shared" ca="1" si="17"/>
        <v>1.3428182914708332E-2</v>
      </c>
      <c r="N84" s="9">
        <f t="shared" ca="1" si="17"/>
        <v>1.7092485959248928E-2</v>
      </c>
      <c r="O84" s="9">
        <f t="shared" ca="1" si="17"/>
        <v>9.5269287438312228E-3</v>
      </c>
      <c r="P84" s="9">
        <f t="shared" ca="1" si="17"/>
        <v>-1.9713953570969305E-3</v>
      </c>
      <c r="Q84" s="9">
        <f t="shared" ca="1" si="17"/>
        <v>-6.6628015159808825E-3</v>
      </c>
    </row>
    <row r="85" spans="1:17">
      <c r="A85" t="s">
        <v>149</v>
      </c>
      <c r="B85" s="1">
        <v>483.62</v>
      </c>
      <c r="C85" s="9">
        <f t="shared" si="14"/>
        <v>-7.9182735701977796E-3</v>
      </c>
      <c r="D85" s="9">
        <f t="shared" ca="1" si="15"/>
        <v>4.0701161878625387E-2</v>
      </c>
      <c r="E85" s="9">
        <f t="shared" ca="1" si="15"/>
        <v>-2.1186464635370605E-2</v>
      </c>
      <c r="F85" s="9">
        <f t="shared" ca="1" si="15"/>
        <v>1.0042188313058753E-2</v>
      </c>
      <c r="G85" s="9">
        <f t="shared" ca="1" si="15"/>
        <v>-9.0297735030422637E-3</v>
      </c>
      <c r="H85" s="9">
        <f t="shared" ca="1" si="15"/>
        <v>9.6561018188053103E-3</v>
      </c>
      <c r="J85" t="s">
        <v>149</v>
      </c>
      <c r="K85" s="1">
        <v>230.82</v>
      </c>
      <c r="L85" s="9">
        <f t="shared" si="16"/>
        <v>-7.3538898206683351E-3</v>
      </c>
      <c r="M85" s="9">
        <f t="shared" ca="1" si="17"/>
        <v>7.0050134659994934E-3</v>
      </c>
      <c r="N85" s="9">
        <f t="shared" ca="1" si="17"/>
        <v>2.7620336697843157E-2</v>
      </c>
      <c r="O85" s="9">
        <f t="shared" ca="1" si="17"/>
        <v>4.2464424686461916E-2</v>
      </c>
      <c r="P85" s="9">
        <f t="shared" ca="1" si="17"/>
        <v>2.9416291582134602E-2</v>
      </c>
      <c r="Q85" s="9">
        <f t="shared" ca="1" si="17"/>
        <v>1.3410006121841534E-2</v>
      </c>
    </row>
    <row r="86" spans="1:17">
      <c r="A86" t="s">
        <v>150</v>
      </c>
      <c r="B86" s="1">
        <v>472.94</v>
      </c>
      <c r="C86" s="9">
        <f t="shared" si="14"/>
        <v>-2.2083453951449498E-2</v>
      </c>
      <c r="D86" s="9">
        <f t="shared" ca="1" si="15"/>
        <v>4.2160885581607813E-2</v>
      </c>
      <c r="E86" s="9">
        <f t="shared" ca="1" si="15"/>
        <v>-2.2381632517906713E-2</v>
      </c>
      <c r="F86" s="9">
        <f t="shared" ca="1" si="15"/>
        <v>-5.7919392492899379E-3</v>
      </c>
      <c r="G86" s="9">
        <f t="shared" ca="1" si="15"/>
        <v>1.2229931669040827E-2</v>
      </c>
      <c r="H86" s="9">
        <f t="shared" ca="1" si="15"/>
        <v>2.0240604341204685E-2</v>
      </c>
      <c r="J86" t="s">
        <v>150</v>
      </c>
      <c r="K86" s="1">
        <v>226.5</v>
      </c>
      <c r="L86" s="9">
        <f t="shared" si="16"/>
        <v>-1.8715882505848686E-2</v>
      </c>
      <c r="M86" s="9">
        <f t="shared" ca="1" si="17"/>
        <v>3.1796095073777939E-2</v>
      </c>
      <c r="N86" s="9">
        <f t="shared" ca="1" si="17"/>
        <v>1.4285983450854661E-2</v>
      </c>
      <c r="O86" s="9">
        <f t="shared" ca="1" si="17"/>
        <v>2.4432797000307011E-2</v>
      </c>
      <c r="P86" s="9">
        <f t="shared" ca="1" si="17"/>
        <v>1.5617365194417757E-2</v>
      </c>
      <c r="Q86" s="9">
        <f t="shared" ca="1" si="17"/>
        <v>-9.0545118771413035E-3</v>
      </c>
    </row>
    <row r="87" spans="1:17">
      <c r="A87" t="s">
        <v>151</v>
      </c>
      <c r="B87" s="1">
        <v>472.85</v>
      </c>
      <c r="C87" s="9">
        <f t="shared" si="14"/>
        <v>-1.9029898084318305E-4</v>
      </c>
      <c r="D87" s="9">
        <f t="shared" ca="1" si="15"/>
        <v>1.1711241135525083E-2</v>
      </c>
      <c r="E87" s="9">
        <f t="shared" ca="1" si="15"/>
        <v>1.4961931879624003E-2</v>
      </c>
      <c r="F87" s="9">
        <f t="shared" ca="1" si="15"/>
        <v>-4.5865596166991809E-3</v>
      </c>
      <c r="G87" s="9">
        <f t="shared" ca="1" si="15"/>
        <v>4.9665227132235281E-3</v>
      </c>
      <c r="H87" s="9">
        <f t="shared" ca="1" si="15"/>
        <v>-4.6819555026298759E-3</v>
      </c>
      <c r="J87" t="s">
        <v>151</v>
      </c>
      <c r="K87" s="1">
        <v>233.06</v>
      </c>
      <c r="L87" s="9">
        <f t="shared" si="16"/>
        <v>2.8962472406181026E-2</v>
      </c>
      <c r="M87" s="9">
        <f t="shared" ca="1" si="17"/>
        <v>-1.7192931958865995E-2</v>
      </c>
      <c r="N87" s="9">
        <f t="shared" ca="1" si="17"/>
        <v>4.8734785932156134E-3</v>
      </c>
      <c r="O87" s="9">
        <f t="shared" ca="1" si="17"/>
        <v>2.3889294891837139E-4</v>
      </c>
      <c r="P87" s="9">
        <f t="shared" ca="1" si="17"/>
        <v>1.4395196993757731E-2</v>
      </c>
      <c r="Q87" s="9">
        <f t="shared" ca="1" si="17"/>
        <v>1.5939690308289678E-2</v>
      </c>
    </row>
    <row r="88" spans="1:17">
      <c r="A88" t="s">
        <v>152</v>
      </c>
      <c r="B88" s="1">
        <v>478.51</v>
      </c>
      <c r="C88" s="9">
        <f t="shared" si="14"/>
        <v>1.1969969334884145E-2</v>
      </c>
      <c r="D88" s="9">
        <f t="shared" ca="1" si="15"/>
        <v>3.716694716562741E-3</v>
      </c>
      <c r="E88" s="9">
        <f t="shared" ca="1" si="15"/>
        <v>2.1753371145611222E-2</v>
      </c>
      <c r="F88" s="9">
        <f t="shared" ca="1" si="15"/>
        <v>-2.6769755580524402E-2</v>
      </c>
      <c r="G88" s="9">
        <f t="shared" ca="1" si="15"/>
        <v>2.5671148767424871E-2</v>
      </c>
      <c r="H88" s="9">
        <f t="shared" ca="1" si="15"/>
        <v>-4.2158881160875182E-3</v>
      </c>
      <c r="J88" t="s">
        <v>152</v>
      </c>
      <c r="K88" s="1">
        <v>240.93</v>
      </c>
      <c r="L88" s="9">
        <f t="shared" si="16"/>
        <v>3.3768128378958227E-2</v>
      </c>
      <c r="M88" s="9">
        <f t="shared" ca="1" si="17"/>
        <v>1.4222198281415627E-2</v>
      </c>
      <c r="N88" s="9">
        <f t="shared" ca="1" si="17"/>
        <v>4.7442046069600015E-2</v>
      </c>
      <c r="O88" s="9">
        <f t="shared" ca="1" si="17"/>
        <v>-3.1833195173472231E-2</v>
      </c>
      <c r="P88" s="9">
        <f t="shared" ca="1" si="17"/>
        <v>-1.0849029235802962E-2</v>
      </c>
      <c r="Q88" s="9">
        <f t="shared" ca="1" si="17"/>
        <v>6.7130375981996398E-3</v>
      </c>
    </row>
    <row r="89" spans="1:17">
      <c r="A89" t="s">
        <v>153</v>
      </c>
      <c r="B89" s="1">
        <v>483.47</v>
      </c>
      <c r="C89" s="9">
        <f t="shared" si="14"/>
        <v>1.0365509602725202E-2</v>
      </c>
      <c r="D89" s="9">
        <f t="shared" ca="1" si="15"/>
        <v>3.3230949526034943E-3</v>
      </c>
      <c r="E89" s="9">
        <f t="shared" ca="1" si="15"/>
        <v>1.1103008073252419E-2</v>
      </c>
      <c r="F89" s="9">
        <f t="shared" ca="1" si="15"/>
        <v>1.7909955638821036E-2</v>
      </c>
      <c r="G89" s="9">
        <f t="shared" ca="1" si="15"/>
        <v>3.3647007818585255E-2</v>
      </c>
      <c r="H89" s="9">
        <f t="shared" ca="1" si="15"/>
        <v>1.355268815202256E-2</v>
      </c>
      <c r="J89" t="s">
        <v>153</v>
      </c>
      <c r="K89" s="1">
        <v>241.56</v>
      </c>
      <c r="L89" s="9">
        <f t="shared" si="16"/>
        <v>2.6148673888681168E-3</v>
      </c>
      <c r="M89" s="9">
        <f t="shared" ca="1" si="17"/>
        <v>-1.1085301329324927E-2</v>
      </c>
      <c r="N89" s="9">
        <f t="shared" ca="1" si="17"/>
        <v>1.2667498420984755E-2</v>
      </c>
      <c r="O89" s="9">
        <f t="shared" ca="1" si="17"/>
        <v>-8.7383945898561362E-3</v>
      </c>
      <c r="P89" s="9">
        <f t="shared" ca="1" si="17"/>
        <v>-6.1993155061310931E-3</v>
      </c>
      <c r="Q89" s="9">
        <f t="shared" ca="1" si="17"/>
        <v>6.0635150092470625E-3</v>
      </c>
    </row>
    <row r="90" spans="1:17">
      <c r="A90" t="s">
        <v>154</v>
      </c>
      <c r="B90" s="1">
        <v>478.11</v>
      </c>
      <c r="C90" s="9">
        <f t="shared" si="14"/>
        <v>-1.1086520363207673E-2</v>
      </c>
      <c r="D90" s="9">
        <f t="shared" ca="1" si="15"/>
        <v>-1.6082483500913791E-2</v>
      </c>
      <c r="E90" s="9">
        <f t="shared" ca="1" si="15"/>
        <v>2.1869551024867141E-2</v>
      </c>
      <c r="F90" s="9">
        <f t="shared" ca="1" si="15"/>
        <v>-1.0070589851126355E-4</v>
      </c>
      <c r="G90" s="9">
        <f t="shared" ca="1" si="15"/>
        <v>1.9522982950014873E-3</v>
      </c>
      <c r="H90" s="9">
        <f t="shared" ca="1" si="15"/>
        <v>-3.152125759543635E-2</v>
      </c>
      <c r="J90" t="s">
        <v>154</v>
      </c>
      <c r="K90" s="1">
        <v>246.29</v>
      </c>
      <c r="L90" s="9">
        <f t="shared" si="16"/>
        <v>1.9581056466302326E-2</v>
      </c>
      <c r="M90" s="9">
        <f t="shared" ca="1" si="17"/>
        <v>-4.9660261542948513E-3</v>
      </c>
      <c r="N90" s="9">
        <f t="shared" ca="1" si="17"/>
        <v>5.9736383723385167E-3</v>
      </c>
      <c r="O90" s="9">
        <f t="shared" ca="1" si="17"/>
        <v>-2.8489488103654086E-2</v>
      </c>
      <c r="P90" s="9">
        <f t="shared" ca="1" si="17"/>
        <v>-1.5910319666308313E-2</v>
      </c>
      <c r="Q90" s="9">
        <f t="shared" ca="1" si="17"/>
        <v>-2.668029519226461E-2</v>
      </c>
    </row>
    <row r="91" spans="1:17">
      <c r="A91" t="s">
        <v>155</v>
      </c>
      <c r="B91" s="1">
        <v>479.28</v>
      </c>
      <c r="C91" s="9">
        <f t="shared" si="14"/>
        <v>2.4471355964107823E-3</v>
      </c>
      <c r="D91" s="9">
        <f t="shared" ca="1" si="15"/>
        <v>-2.9121533628851986E-2</v>
      </c>
      <c r="E91" s="9">
        <f t="shared" ca="1" si="15"/>
        <v>-2.9916869754125767E-2</v>
      </c>
      <c r="F91" s="9">
        <f t="shared" ca="1" si="15"/>
        <v>4.8531672144859414E-3</v>
      </c>
      <c r="G91" s="9">
        <f t="shared" ca="1" si="15"/>
        <v>1.1394393755796964E-2</v>
      </c>
      <c r="H91" s="9">
        <f t="shared" ca="1" si="15"/>
        <v>4.7523902434502836E-2</v>
      </c>
      <c r="J91" t="s">
        <v>155</v>
      </c>
      <c r="K91" s="1">
        <v>247.38</v>
      </c>
      <c r="L91" s="9">
        <f t="shared" si="16"/>
        <v>4.4256770473831801E-3</v>
      </c>
      <c r="M91" s="9">
        <f t="shared" ca="1" si="17"/>
        <v>-3.1553948654821064E-2</v>
      </c>
      <c r="N91" s="9">
        <f t="shared" ca="1" si="17"/>
        <v>6.6854453641760122E-3</v>
      </c>
      <c r="O91" s="9">
        <f t="shared" ca="1" si="17"/>
        <v>-2.5049834228505465E-2</v>
      </c>
      <c r="P91" s="9">
        <f t="shared" ca="1" si="17"/>
        <v>-2.7946122433251255E-2</v>
      </c>
      <c r="Q91" s="9">
        <f t="shared" ca="1" si="17"/>
        <v>-3.4452923491892572E-2</v>
      </c>
    </row>
    <row r="92" spans="1:17">
      <c r="A92" t="s">
        <v>156</v>
      </c>
      <c r="B92" s="1">
        <v>477.18</v>
      </c>
      <c r="C92" s="9">
        <f t="shared" si="14"/>
        <v>-4.3815723585377362E-3</v>
      </c>
      <c r="D92" s="9">
        <f t="shared" ca="1" si="15"/>
        <v>1.4020151629811311E-2</v>
      </c>
      <c r="E92" s="9">
        <f t="shared" ca="1" si="15"/>
        <v>1.5466913959599685E-2</v>
      </c>
      <c r="F92" s="9">
        <f t="shared" ca="1" si="15"/>
        <v>-5.9522623812755387E-3</v>
      </c>
      <c r="G92" s="9">
        <f t="shared" ca="1" si="15"/>
        <v>7.624732514418372E-3</v>
      </c>
      <c r="H92" s="9">
        <f t="shared" ca="1" si="15"/>
        <v>3.0641196771828343E-2</v>
      </c>
      <c r="J92" t="s">
        <v>156</v>
      </c>
      <c r="K92" s="1">
        <v>246.47</v>
      </c>
      <c r="L92" s="9">
        <f t="shared" si="16"/>
        <v>-3.6785512167515425E-3</v>
      </c>
      <c r="M92" s="9">
        <f t="shared" ca="1" si="17"/>
        <v>1.2759197344823843E-2</v>
      </c>
      <c r="N92" s="9">
        <f t="shared" ca="1" si="17"/>
        <v>2.0043305192152305E-2</v>
      </c>
      <c r="O92" s="9">
        <f t="shared" ca="1" si="17"/>
        <v>-3.1383520528974374E-3</v>
      </c>
      <c r="P92" s="9">
        <f t="shared" ca="1" si="17"/>
        <v>3.3924141374100616E-2</v>
      </c>
      <c r="Q92" s="9">
        <f t="shared" ca="1" si="17"/>
        <v>-7.3918867939291259E-3</v>
      </c>
    </row>
    <row r="93" spans="1:17">
      <c r="A93" t="s">
        <v>157</v>
      </c>
      <c r="B93" s="1">
        <v>470.67</v>
      </c>
      <c r="C93" s="9">
        <f t="shared" si="14"/>
        <v>-1.3642650572111134E-2</v>
      </c>
      <c r="D93" s="9">
        <f t="shared" ca="1" si="15"/>
        <v>-2.4663566418420776E-3</v>
      </c>
      <c r="E93" s="9">
        <f t="shared" ca="1" si="15"/>
        <v>3.1970283652268165E-2</v>
      </c>
      <c r="F93" s="9">
        <f t="shared" ca="1" si="15"/>
        <v>-3.4265958378045594E-2</v>
      </c>
      <c r="G93" s="9">
        <f t="shared" ca="1" si="15"/>
        <v>1.7933803449257404E-2</v>
      </c>
      <c r="H93" s="9">
        <f t="shared" ca="1" si="15"/>
        <v>2.5694876259527381E-3</v>
      </c>
      <c r="J93" t="s">
        <v>157</v>
      </c>
      <c r="K93" s="1">
        <v>242.6</v>
      </c>
      <c r="L93" s="9">
        <f t="shared" si="16"/>
        <v>-1.5701708118635145E-2</v>
      </c>
      <c r="M93" s="9">
        <f t="shared" ca="1" si="17"/>
        <v>1.796414838507366E-2</v>
      </c>
      <c r="N93" s="9">
        <f t="shared" ca="1" si="17"/>
        <v>9.2033710227745671E-3</v>
      </c>
      <c r="O93" s="9">
        <f t="shared" ca="1" si="17"/>
        <v>1.8369382658978653E-2</v>
      </c>
      <c r="P93" s="9">
        <f t="shared" ca="1" si="17"/>
        <v>3.0535348694471342E-2</v>
      </c>
      <c r="Q93" s="9">
        <f t="shared" ca="1" si="17"/>
        <v>6.1341038211773684E-3</v>
      </c>
    </row>
    <row r="94" spans="1:17">
      <c r="A94" t="s">
        <v>158</v>
      </c>
      <c r="B94" s="1">
        <v>459.38</v>
      </c>
      <c r="C94" s="9">
        <f t="shared" si="14"/>
        <v>-2.3987082244460067E-2</v>
      </c>
      <c r="D94" s="9">
        <f t="shared" ca="1" si="15"/>
        <v>1.845084275284117E-2</v>
      </c>
      <c r="E94" s="9">
        <f t="shared" ca="1" si="15"/>
        <v>-3.7014360784841736E-2</v>
      </c>
      <c r="F94" s="9">
        <f t="shared" ca="1" si="15"/>
        <v>1.2633514557043387E-2</v>
      </c>
      <c r="G94" s="9">
        <f t="shared" ca="1" si="15"/>
        <v>1.1601261459839697E-2</v>
      </c>
      <c r="H94" s="9">
        <f t="shared" ca="1" si="15"/>
        <v>-4.0511547145578386E-4</v>
      </c>
      <c r="J94" t="s">
        <v>158</v>
      </c>
      <c r="K94" s="1">
        <v>236.65</v>
      </c>
      <c r="L94" s="9">
        <f t="shared" si="16"/>
        <v>-2.4525968672712239E-2</v>
      </c>
      <c r="M94" s="9">
        <f t="shared" ca="1" si="17"/>
        <v>-2.1527437313159897E-2</v>
      </c>
      <c r="N94" s="9">
        <f t="shared" ca="1" si="17"/>
        <v>2.0814118455118498E-2</v>
      </c>
      <c r="O94" s="9">
        <f t="shared" ca="1" si="17"/>
        <v>1.7863671542113425E-2</v>
      </c>
      <c r="P94" s="9">
        <f t="shared" ca="1" si="17"/>
        <v>5.3188584507504232E-3</v>
      </c>
      <c r="Q94" s="9">
        <f t="shared" ca="1" si="17"/>
        <v>2.9397199293305771E-2</v>
      </c>
    </row>
    <row r="95" spans="1:17">
      <c r="A95" t="s">
        <v>159</v>
      </c>
      <c r="B95" s="1">
        <v>456.66</v>
      </c>
      <c r="C95" s="9">
        <f t="shared" si="14"/>
        <v>-5.9210239888544784E-3</v>
      </c>
      <c r="D95" s="9">
        <f t="shared" ca="1" si="15"/>
        <v>-8.5193103517704066E-3</v>
      </c>
      <c r="E95" s="9">
        <f t="shared" ca="1" si="15"/>
        <v>2.932366958517349E-2</v>
      </c>
      <c r="F95" s="9">
        <f t="shared" ca="1" si="15"/>
        <v>4.9992649522326007E-3</v>
      </c>
      <c r="G95" s="9">
        <f t="shared" ca="1" si="15"/>
        <v>1.0548797853338895E-2</v>
      </c>
      <c r="H95" s="9">
        <f t="shared" ca="1" si="15"/>
        <v>2.7589780304167925E-2</v>
      </c>
      <c r="J95" t="s">
        <v>159</v>
      </c>
      <c r="K95" s="1">
        <v>238.18</v>
      </c>
      <c r="L95" s="9">
        <f t="shared" si="16"/>
        <v>6.4652440312698125E-3</v>
      </c>
      <c r="M95" s="9">
        <f t="shared" ca="1" si="17"/>
        <v>-2.1775463794906476E-2</v>
      </c>
      <c r="N95" s="9">
        <f t="shared" ca="1" si="17"/>
        <v>3.0093543235381125E-2</v>
      </c>
      <c r="O95" s="9">
        <f t="shared" ca="1" si="17"/>
        <v>-4.8570840268336461E-2</v>
      </c>
      <c r="P95" s="9">
        <f t="shared" ca="1" si="17"/>
        <v>1.0152600117838598E-2</v>
      </c>
      <c r="Q95" s="9">
        <f t="shared" ca="1" si="17"/>
        <v>-3.9880136081718053E-2</v>
      </c>
    </row>
    <row r="96" spans="1:17">
      <c r="A96" t="s">
        <v>160</v>
      </c>
      <c r="B96" s="1">
        <v>459.86</v>
      </c>
      <c r="C96" s="9">
        <f t="shared" si="14"/>
        <v>7.0074015679060754E-3</v>
      </c>
      <c r="D96" s="9">
        <f t="shared" ref="D96:H111" ca="1" si="18">NORMINV(RAND(), $C$6, $C$7)</f>
        <v>-4.6919144777492006E-3</v>
      </c>
      <c r="E96" s="9">
        <f t="shared" ca="1" si="18"/>
        <v>5.9394893892944795E-3</v>
      </c>
      <c r="F96" s="9">
        <f t="shared" ca="1" si="18"/>
        <v>5.9897711896406925E-3</v>
      </c>
      <c r="G96" s="9">
        <f t="shared" ca="1" si="18"/>
        <v>1.0528792933056821E-2</v>
      </c>
      <c r="H96" s="9">
        <f t="shared" ca="1" si="18"/>
        <v>-2.1551493077185367E-2</v>
      </c>
      <c r="J96" t="s">
        <v>160</v>
      </c>
      <c r="K96" s="1">
        <v>239.12</v>
      </c>
      <c r="L96" s="9">
        <f t="shared" si="16"/>
        <v>3.9465950121756561E-3</v>
      </c>
      <c r="M96" s="9">
        <f t="shared" ref="M96:Q111" ca="1" si="19">NORMINV(RAND(), $L$6, $L$7)</f>
        <v>2.2484845138190657E-2</v>
      </c>
      <c r="N96" s="9">
        <f t="shared" ca="1" si="19"/>
        <v>-3.00024303913263E-3</v>
      </c>
      <c r="O96" s="9">
        <f t="shared" ca="1" si="19"/>
        <v>4.0568194286337948E-2</v>
      </c>
      <c r="P96" s="9">
        <f t="shared" ca="1" si="19"/>
        <v>-3.9113394223744338E-2</v>
      </c>
      <c r="Q96" s="9">
        <f t="shared" ca="1" si="19"/>
        <v>-1.1950552490692578E-2</v>
      </c>
    </row>
    <row r="97" spans="1:17">
      <c r="A97" t="s">
        <v>161</v>
      </c>
      <c r="B97" s="1">
        <v>454.52</v>
      </c>
      <c r="C97" s="9">
        <f t="shared" si="14"/>
        <v>-1.1612229809072396E-2</v>
      </c>
      <c r="D97" s="9">
        <f t="shared" ca="1" si="18"/>
        <v>-2.2906703080446129E-2</v>
      </c>
      <c r="E97" s="9">
        <f t="shared" ca="1" si="18"/>
        <v>-4.9420044138679418E-2</v>
      </c>
      <c r="F97" s="9">
        <f t="shared" ca="1" si="18"/>
        <v>-4.2647912668670315E-3</v>
      </c>
      <c r="G97" s="9">
        <f t="shared" ca="1" si="18"/>
        <v>2.0892299376505254E-2</v>
      </c>
      <c r="H97" s="9">
        <f t="shared" ca="1" si="18"/>
        <v>-3.2891261097176432E-2</v>
      </c>
      <c r="J97" t="s">
        <v>161</v>
      </c>
      <c r="K97" s="1">
        <v>231</v>
      </c>
      <c r="L97" s="9">
        <f t="shared" si="16"/>
        <v>-3.3957845433255286E-2</v>
      </c>
      <c r="M97" s="9">
        <f t="shared" ca="1" si="19"/>
        <v>-8.4425098709444812E-4</v>
      </c>
      <c r="N97" s="9">
        <f t="shared" ca="1" si="19"/>
        <v>4.0183867008177852E-2</v>
      </c>
      <c r="O97" s="9">
        <f t="shared" ca="1" si="19"/>
        <v>1.7913102151071052E-2</v>
      </c>
      <c r="P97" s="9">
        <f t="shared" ca="1" si="19"/>
        <v>2.1001898748202234E-2</v>
      </c>
      <c r="Q97" s="9">
        <f t="shared" ca="1" si="19"/>
        <v>1.0344872943030485E-2</v>
      </c>
    </row>
    <row r="98" spans="1:17">
      <c r="A98" t="s">
        <v>162</v>
      </c>
      <c r="B98" s="1">
        <v>444.11</v>
      </c>
      <c r="C98" s="9">
        <f t="shared" si="14"/>
        <v>-2.2903282583824625E-2</v>
      </c>
      <c r="D98" s="9">
        <f t="shared" ca="1" si="18"/>
        <v>-3.3986971783807531E-2</v>
      </c>
      <c r="E98" s="9">
        <f t="shared" ca="1" si="18"/>
        <v>-4.7774822706741799E-2</v>
      </c>
      <c r="F98" s="9">
        <f t="shared" ca="1" si="18"/>
        <v>-1.3549074931733882E-2</v>
      </c>
      <c r="G98" s="9">
        <f t="shared" ca="1" si="18"/>
        <v>-2.915152352103679E-3</v>
      </c>
      <c r="H98" s="9">
        <f t="shared" ca="1" si="18"/>
        <v>1.5123704151059878E-2</v>
      </c>
      <c r="J98" t="s">
        <v>162</v>
      </c>
      <c r="K98" s="1">
        <v>231.31</v>
      </c>
      <c r="L98" s="9">
        <f t="shared" si="16"/>
        <v>1.3419913419913517E-3</v>
      </c>
      <c r="M98" s="9">
        <f t="shared" ca="1" si="19"/>
        <v>1.0304133214076543E-2</v>
      </c>
      <c r="N98" s="9">
        <f t="shared" ca="1" si="19"/>
        <v>7.3020184492761093E-4</v>
      </c>
      <c r="O98" s="9">
        <f t="shared" ca="1" si="19"/>
        <v>1.2483756197120796E-2</v>
      </c>
      <c r="P98" s="9">
        <f t="shared" ca="1" si="19"/>
        <v>1.7543093963237166E-2</v>
      </c>
      <c r="Q98" s="9">
        <f t="shared" ca="1" si="19"/>
        <v>-2.6507007998211717E-2</v>
      </c>
    </row>
    <row r="99" spans="1:17">
      <c r="A99" t="s">
        <v>163</v>
      </c>
      <c r="B99" s="1">
        <v>451.14</v>
      </c>
      <c r="C99" s="9">
        <f t="shared" si="14"/>
        <v>1.582941163225321E-2</v>
      </c>
      <c r="D99" s="9">
        <f t="shared" ca="1" si="18"/>
        <v>3.4326016554862317E-2</v>
      </c>
      <c r="E99" s="9">
        <f t="shared" ca="1" si="18"/>
        <v>-3.1115224659840089E-2</v>
      </c>
      <c r="F99" s="9">
        <f t="shared" ca="1" si="18"/>
        <v>1.4777546213118565E-2</v>
      </c>
      <c r="G99" s="9">
        <f t="shared" ca="1" si="18"/>
        <v>1.8580859162494801E-2</v>
      </c>
      <c r="H99" s="9">
        <f t="shared" ca="1" si="18"/>
        <v>4.7876323086500597E-2</v>
      </c>
      <c r="J99" t="s">
        <v>163</v>
      </c>
      <c r="K99" s="1">
        <v>234.34</v>
      </c>
      <c r="L99" s="9">
        <f t="shared" si="16"/>
        <v>1.3099303964376816E-2</v>
      </c>
      <c r="M99" s="9">
        <f t="shared" ca="1" si="19"/>
        <v>2.2181950815298663E-3</v>
      </c>
      <c r="N99" s="9">
        <f t="shared" ca="1" si="19"/>
        <v>-4.0292374124245744E-2</v>
      </c>
      <c r="O99" s="9">
        <f t="shared" ca="1" si="19"/>
        <v>-1.5496065235015628E-2</v>
      </c>
      <c r="P99" s="9">
        <f t="shared" ca="1" si="19"/>
        <v>-2.4131287224883995E-2</v>
      </c>
      <c r="Q99" s="9">
        <f t="shared" ca="1" si="19"/>
        <v>-4.633360804651928E-2</v>
      </c>
    </row>
    <row r="100" spans="1:17">
      <c r="A100" t="s">
        <v>164</v>
      </c>
      <c r="B100" s="1">
        <v>465.95</v>
      </c>
      <c r="C100" s="9">
        <f t="shared" si="14"/>
        <v>3.2827946978764913E-2</v>
      </c>
      <c r="D100" s="9">
        <f t="shared" ca="1" si="18"/>
        <v>2.7821290242268877E-2</v>
      </c>
      <c r="E100" s="9">
        <f t="shared" ca="1" si="18"/>
        <v>2.3322282805121743E-2</v>
      </c>
      <c r="F100" s="9">
        <f t="shared" ca="1" si="18"/>
        <v>-6.6421097767151507E-3</v>
      </c>
      <c r="G100" s="9">
        <f t="shared" ca="1" si="18"/>
        <v>1.0374944619173737E-2</v>
      </c>
      <c r="H100" s="9">
        <f t="shared" ca="1" si="18"/>
        <v>8.4853706236451346E-3</v>
      </c>
      <c r="J100" t="s">
        <v>164</v>
      </c>
      <c r="K100" s="1">
        <v>239.16</v>
      </c>
      <c r="L100" s="9">
        <f t="shared" si="16"/>
        <v>2.0568404881795652E-2</v>
      </c>
      <c r="M100" s="9">
        <f t="shared" ca="1" si="19"/>
        <v>1.6885322001020067E-2</v>
      </c>
      <c r="N100" s="9">
        <f t="shared" ca="1" si="19"/>
        <v>4.9247970395351138E-3</v>
      </c>
      <c r="O100" s="9">
        <f t="shared" ca="1" si="19"/>
        <v>1.3902038325551418E-2</v>
      </c>
      <c r="P100" s="9">
        <f t="shared" ca="1" si="19"/>
        <v>1.228108954560149E-2</v>
      </c>
      <c r="Q100" s="9">
        <f t="shared" ca="1" si="19"/>
        <v>-2.2438993646976741E-3</v>
      </c>
    </row>
    <row r="101" spans="1:17">
      <c r="A101" t="s">
        <v>165</v>
      </c>
      <c r="B101" s="1">
        <v>470.28</v>
      </c>
      <c r="C101" s="9">
        <f t="shared" si="14"/>
        <v>9.2928425796758966E-3</v>
      </c>
      <c r="D101" s="9">
        <f t="shared" ca="1" si="18"/>
        <v>-3.8478048013110479E-2</v>
      </c>
      <c r="E101" s="9">
        <f t="shared" ca="1" si="18"/>
        <v>1.2203368709883016E-2</v>
      </c>
      <c r="F101" s="9">
        <f t="shared" ca="1" si="18"/>
        <v>-9.0331271147530076E-3</v>
      </c>
      <c r="G101" s="9">
        <f t="shared" ca="1" si="18"/>
        <v>-3.2436618544049154E-3</v>
      </c>
      <c r="H101" s="9">
        <f t="shared" ca="1" si="18"/>
        <v>-2.6527760014983449E-2</v>
      </c>
      <c r="J101" t="s">
        <v>165</v>
      </c>
      <c r="K101" s="1">
        <v>238.42</v>
      </c>
      <c r="L101" s="9">
        <f t="shared" si="16"/>
        <v>-3.0941629034956057E-3</v>
      </c>
      <c r="M101" s="9">
        <f t="shared" ca="1" si="19"/>
        <v>4.1990873244732345E-3</v>
      </c>
      <c r="N101" s="9">
        <f t="shared" ca="1" si="19"/>
        <v>2.7672774944021268E-2</v>
      </c>
      <c r="O101" s="9">
        <f t="shared" ca="1" si="19"/>
        <v>9.7234218035168966E-3</v>
      </c>
      <c r="P101" s="9">
        <f t="shared" ca="1" si="19"/>
        <v>-1.192891552496966E-2</v>
      </c>
      <c r="Q101" s="9">
        <f t="shared" ca="1" si="19"/>
        <v>4.1178396523901303E-2</v>
      </c>
    </row>
    <row r="102" spans="1:17">
      <c r="A102" t="s">
        <v>166</v>
      </c>
      <c r="B102" s="1">
        <v>480.58</v>
      </c>
      <c r="C102" s="9">
        <f t="shared" si="14"/>
        <v>2.1901845708939379E-2</v>
      </c>
      <c r="D102" s="9">
        <f t="shared" ca="1" si="18"/>
        <v>1.1613384777148574E-2</v>
      </c>
      <c r="E102" s="9">
        <f t="shared" ca="1" si="18"/>
        <v>9.4722808380471347E-3</v>
      </c>
      <c r="F102" s="9">
        <f t="shared" ca="1" si="18"/>
        <v>1.3145598439290545E-3</v>
      </c>
      <c r="G102" s="9">
        <f t="shared" ca="1" si="18"/>
        <v>-7.0380689152194269E-3</v>
      </c>
      <c r="H102" s="9">
        <f t="shared" ca="1" si="18"/>
        <v>5.4734787364408618E-3</v>
      </c>
      <c r="J102" t="s">
        <v>166</v>
      </c>
      <c r="K102" s="1">
        <v>244.68</v>
      </c>
      <c r="L102" s="9">
        <f t="shared" si="16"/>
        <v>2.6256186561530157E-2</v>
      </c>
      <c r="M102" s="9">
        <f t="shared" ca="1" si="19"/>
        <v>-3.2272719160965441E-2</v>
      </c>
      <c r="N102" s="9">
        <f t="shared" ca="1" si="19"/>
        <v>-3.0349026243762081E-2</v>
      </c>
      <c r="O102" s="9">
        <f t="shared" ca="1" si="19"/>
        <v>4.749672441526063E-3</v>
      </c>
      <c r="P102" s="9">
        <f t="shared" ca="1" si="19"/>
        <v>5.4652022059699964E-5</v>
      </c>
      <c r="Q102" s="9">
        <f t="shared" ca="1" si="19"/>
        <v>-4.8091309531193916E-3</v>
      </c>
    </row>
    <row r="103" spans="1:17">
      <c r="A103" t="s">
        <v>167</v>
      </c>
      <c r="B103" s="1">
        <v>481.63</v>
      </c>
      <c r="C103" s="9">
        <f t="shared" si="14"/>
        <v>2.1848599608806263E-3</v>
      </c>
      <c r="D103" s="9">
        <f t="shared" ca="1" si="18"/>
        <v>-1.5582375167650537E-2</v>
      </c>
      <c r="E103" s="9">
        <f t="shared" ca="1" si="18"/>
        <v>-1.2248892524684295E-2</v>
      </c>
      <c r="F103" s="9">
        <f t="shared" ca="1" si="18"/>
        <v>9.7221198227179435E-4</v>
      </c>
      <c r="G103" s="9">
        <f t="shared" ca="1" si="18"/>
        <v>8.9583425932729631E-3</v>
      </c>
      <c r="H103" s="9">
        <f t="shared" ca="1" si="18"/>
        <v>-7.1201123865251058E-3</v>
      </c>
      <c r="J103" t="s">
        <v>167</v>
      </c>
      <c r="K103" s="1">
        <v>243.01</v>
      </c>
      <c r="L103" s="9">
        <f t="shared" si="16"/>
        <v>-6.8252411312735651E-3</v>
      </c>
      <c r="M103" s="9">
        <f t="shared" ca="1" si="19"/>
        <v>3.1092481812741192E-2</v>
      </c>
      <c r="N103" s="9">
        <f t="shared" ca="1" si="19"/>
        <v>1.4010837888920557E-2</v>
      </c>
      <c r="O103" s="9">
        <f t="shared" ca="1" si="19"/>
        <v>-1.0991155699224583E-2</v>
      </c>
      <c r="P103" s="9">
        <f t="shared" ca="1" si="19"/>
        <v>-8.0114145805596088E-3</v>
      </c>
      <c r="Q103" s="9">
        <f t="shared" ca="1" si="19"/>
        <v>-1.5109776278672004E-2</v>
      </c>
    </row>
    <row r="104" spans="1:17">
      <c r="A104" t="s">
        <v>168</v>
      </c>
      <c r="B104" s="1">
        <v>433.5</v>
      </c>
      <c r="C104" s="9">
        <f t="shared" si="14"/>
        <v>-9.9931482673421501E-2</v>
      </c>
      <c r="D104" s="9">
        <f t="shared" ca="1" si="18"/>
        <v>1.0597506934902046E-2</v>
      </c>
      <c r="E104" s="9">
        <f t="shared" ca="1" si="18"/>
        <v>-3.956975659160672E-3</v>
      </c>
      <c r="F104" s="9">
        <f t="shared" ca="1" si="18"/>
        <v>-1.2553679139086121E-2</v>
      </c>
      <c r="G104" s="9">
        <f t="shared" ca="1" si="18"/>
        <v>-2.4549653030351115E-2</v>
      </c>
      <c r="H104" s="9">
        <f t="shared" ca="1" si="18"/>
        <v>-1.9726695939231723E-2</v>
      </c>
      <c r="J104" t="s">
        <v>168</v>
      </c>
      <c r="K104" s="1">
        <v>241.73</v>
      </c>
      <c r="L104" s="9">
        <f t="shared" si="16"/>
        <v>-5.2672729517303863E-3</v>
      </c>
      <c r="M104" s="9">
        <f t="shared" ca="1" si="19"/>
        <v>3.5115269196652932E-3</v>
      </c>
      <c r="N104" s="9">
        <f t="shared" ca="1" si="19"/>
        <v>-1.1508257591506248E-2</v>
      </c>
      <c r="O104" s="9">
        <f t="shared" ca="1" si="19"/>
        <v>2.2792252736938694E-3</v>
      </c>
      <c r="P104" s="9">
        <f t="shared" ca="1" si="19"/>
        <v>-3.1518426065313736E-2</v>
      </c>
      <c r="Q104" s="9">
        <f t="shared" ca="1" si="19"/>
        <v>1.4577236490395964E-2</v>
      </c>
    </row>
    <row r="105" spans="1:17">
      <c r="A105" t="s">
        <v>169</v>
      </c>
      <c r="B105" s="1">
        <v>430.29</v>
      </c>
      <c r="C105" s="9">
        <f t="shared" si="14"/>
        <v>-7.4048442906573921E-3</v>
      </c>
      <c r="D105" s="9">
        <f t="shared" ca="1" si="18"/>
        <v>-1.1074981146744552E-2</v>
      </c>
      <c r="E105" s="9">
        <f t="shared" ca="1" si="18"/>
        <v>-7.0515140948701057E-3</v>
      </c>
      <c r="F105" s="9">
        <f t="shared" ca="1" si="18"/>
        <v>-1.9753680793692958E-3</v>
      </c>
      <c r="G105" s="9">
        <f t="shared" ca="1" si="18"/>
        <v>1.9550921259673039E-2</v>
      </c>
      <c r="H105" s="9">
        <f t="shared" ca="1" si="18"/>
        <v>-1.4210383895504987E-3</v>
      </c>
      <c r="J105" t="s">
        <v>169</v>
      </c>
      <c r="K105" s="1">
        <v>239.3</v>
      </c>
      <c r="L105" s="9">
        <f t="shared" si="16"/>
        <v>-1.0052537955570175E-2</v>
      </c>
      <c r="M105" s="9">
        <f t="shared" ca="1" si="19"/>
        <v>-1.1693378617101233E-3</v>
      </c>
      <c r="N105" s="9">
        <f t="shared" ca="1" si="19"/>
        <v>-1.9461070728745693E-2</v>
      </c>
      <c r="O105" s="9">
        <f t="shared" ca="1" si="19"/>
        <v>6.3605403637699443E-3</v>
      </c>
      <c r="P105" s="9">
        <f t="shared" ca="1" si="19"/>
        <v>3.1699665959008021E-2</v>
      </c>
      <c r="Q105" s="9">
        <f t="shared" ca="1" si="19"/>
        <v>-2.8075681595970729E-2</v>
      </c>
    </row>
    <row r="106" spans="1:17">
      <c r="A106" t="s">
        <v>170</v>
      </c>
      <c r="B106" s="1">
        <v>423.37</v>
      </c>
      <c r="C106" s="9">
        <f t="shared" si="14"/>
        <v>-1.6082177136349941E-2</v>
      </c>
      <c r="D106" s="9">
        <f t="shared" ca="1" si="18"/>
        <v>7.5483488891961471E-3</v>
      </c>
      <c r="E106" s="9">
        <f t="shared" ca="1" si="18"/>
        <v>1.0158732780958876E-2</v>
      </c>
      <c r="F106" s="9">
        <f t="shared" ca="1" si="18"/>
        <v>1.6406023089535253E-2</v>
      </c>
      <c r="G106" s="9">
        <f t="shared" ca="1" si="18"/>
        <v>2.4652757469085552E-2</v>
      </c>
      <c r="H106" s="9">
        <f t="shared" ca="1" si="18"/>
        <v>9.5199330507639481E-3</v>
      </c>
      <c r="J106" t="s">
        <v>170</v>
      </c>
      <c r="K106" s="1">
        <v>242.96</v>
      </c>
      <c r="L106" s="9">
        <f t="shared" si="16"/>
        <v>1.5294609277058072E-2</v>
      </c>
      <c r="M106" s="9">
        <f t="shared" ca="1" si="19"/>
        <v>-1.3787264185688028E-2</v>
      </c>
      <c r="N106" s="9">
        <f t="shared" ca="1" si="19"/>
        <v>3.5787225928651738E-2</v>
      </c>
      <c r="O106" s="9">
        <f t="shared" ca="1" si="19"/>
        <v>-1.6181895954899281E-3</v>
      </c>
      <c r="P106" s="9">
        <f t="shared" ca="1" si="19"/>
        <v>-2.9311941767007157E-2</v>
      </c>
      <c r="Q106" s="9">
        <f t="shared" ca="1" si="19"/>
        <v>-2.4059170794786245E-2</v>
      </c>
    </row>
    <row r="107" spans="1:17">
      <c r="A107" t="s">
        <v>171</v>
      </c>
      <c r="B107" s="1">
        <v>411.21</v>
      </c>
      <c r="C107" s="9">
        <f t="shared" si="14"/>
        <v>-2.8721921723315363E-2</v>
      </c>
      <c r="D107" s="9">
        <f t="shared" ca="1" si="18"/>
        <v>1.1371566334748192E-2</v>
      </c>
      <c r="E107" s="9">
        <f t="shared" ca="1" si="18"/>
        <v>4.1190563744479936E-2</v>
      </c>
      <c r="F107" s="9">
        <f t="shared" ca="1" si="18"/>
        <v>-6.8732258943752372E-3</v>
      </c>
      <c r="G107" s="9">
        <f t="shared" ca="1" si="18"/>
        <v>-2.6467434809893582E-3</v>
      </c>
      <c r="H107" s="9">
        <f t="shared" ca="1" si="18"/>
        <v>-3.4896330098382021E-2</v>
      </c>
      <c r="J107" t="s">
        <v>171</v>
      </c>
      <c r="K107" s="1">
        <v>238.62</v>
      </c>
      <c r="L107" s="9">
        <f t="shared" si="16"/>
        <v>-1.7863022719789279E-2</v>
      </c>
      <c r="M107" s="9">
        <f t="shared" ca="1" si="19"/>
        <v>3.8418582781472817E-2</v>
      </c>
      <c r="N107" s="9">
        <f t="shared" ca="1" si="19"/>
        <v>-1.0820964707105902E-2</v>
      </c>
      <c r="O107" s="9">
        <f t="shared" ca="1" si="19"/>
        <v>-4.5773153811994954E-2</v>
      </c>
      <c r="P107" s="9">
        <f t="shared" ca="1" si="19"/>
        <v>-3.1281438679848221E-2</v>
      </c>
      <c r="Q107" s="9">
        <f t="shared" ca="1" si="19"/>
        <v>-9.4779859671654584E-3</v>
      </c>
    </row>
    <row r="108" spans="1:17">
      <c r="A108" t="s">
        <v>172</v>
      </c>
      <c r="B108" s="1">
        <v>414.19</v>
      </c>
      <c r="C108" s="9">
        <f t="shared" si="14"/>
        <v>7.2469054740887098E-3</v>
      </c>
      <c r="D108" s="9">
        <f t="shared" ca="1" si="18"/>
        <v>2.3844477618540649E-2</v>
      </c>
      <c r="E108" s="9">
        <f t="shared" ca="1" si="18"/>
        <v>3.1926041066557595E-2</v>
      </c>
      <c r="F108" s="9">
        <f t="shared" ca="1" si="18"/>
        <v>-1.0130388018987824E-2</v>
      </c>
      <c r="G108" s="9">
        <f t="shared" ca="1" si="18"/>
        <v>-2.4455705735297605E-2</v>
      </c>
      <c r="H108" s="9">
        <f t="shared" ca="1" si="18"/>
        <v>-2.2171969376938758E-2</v>
      </c>
      <c r="J108" t="s">
        <v>172</v>
      </c>
      <c r="K108" s="1">
        <v>232.99</v>
      </c>
      <c r="L108" s="9">
        <f t="shared" si="16"/>
        <v>-2.3593998826586183E-2</v>
      </c>
      <c r="M108" s="9">
        <f t="shared" ca="1" si="19"/>
        <v>3.5569062401845368E-2</v>
      </c>
      <c r="N108" s="9">
        <f t="shared" ca="1" si="19"/>
        <v>-2.5028226136740536E-2</v>
      </c>
      <c r="O108" s="9">
        <f t="shared" ca="1" si="19"/>
        <v>-3.1955837539885275E-3</v>
      </c>
      <c r="P108" s="9">
        <f t="shared" ca="1" si="19"/>
        <v>-1.4155114898360362E-2</v>
      </c>
      <c r="Q108" s="9">
        <f t="shared" ca="1" si="19"/>
        <v>3.9590169907612244E-2</v>
      </c>
    </row>
    <row r="109" spans="1:17">
      <c r="A109" t="s">
        <v>173</v>
      </c>
      <c r="B109" s="1">
        <v>393.67</v>
      </c>
      <c r="C109" s="9">
        <f t="shared" si="14"/>
        <v>-4.9542480504116422E-2</v>
      </c>
      <c r="D109" s="9">
        <f t="shared" ca="1" si="18"/>
        <v>-3.5530558999976529E-2</v>
      </c>
      <c r="E109" s="9">
        <f t="shared" ca="1" si="18"/>
        <v>-1.818748914071362E-3</v>
      </c>
      <c r="F109" s="9">
        <f t="shared" ca="1" si="18"/>
        <v>-6.2379886581741713E-3</v>
      </c>
      <c r="G109" s="9">
        <f t="shared" ca="1" si="18"/>
        <v>7.4650873876706755E-3</v>
      </c>
      <c r="H109" s="9">
        <f t="shared" ca="1" si="18"/>
        <v>-2.523580165704634E-2</v>
      </c>
      <c r="J109" t="s">
        <v>173</v>
      </c>
      <c r="K109" s="1">
        <v>222.69</v>
      </c>
      <c r="L109" s="9">
        <f t="shared" si="16"/>
        <v>-4.4207905918709003E-2</v>
      </c>
      <c r="M109" s="9">
        <f t="shared" ca="1" si="19"/>
        <v>-1.2104685594404013E-4</v>
      </c>
      <c r="N109" s="9">
        <f t="shared" ca="1" si="19"/>
        <v>-2.9427815562530664E-2</v>
      </c>
      <c r="O109" s="9">
        <f t="shared" ca="1" si="19"/>
        <v>3.0765766218367279E-2</v>
      </c>
      <c r="P109" s="9">
        <f t="shared" ca="1" si="19"/>
        <v>-5.1512592330449304E-4</v>
      </c>
      <c r="Q109" s="9">
        <f t="shared" ca="1" si="19"/>
        <v>1.0345364545542361E-2</v>
      </c>
    </row>
    <row r="110" spans="1:17">
      <c r="A110" t="s">
        <v>174</v>
      </c>
      <c r="B110" s="1">
        <v>401.14</v>
      </c>
      <c r="C110" s="9">
        <f t="shared" si="14"/>
        <v>1.897528386719834E-2</v>
      </c>
      <c r="D110" s="9">
        <f t="shared" ca="1" si="18"/>
        <v>9.769803675745958E-3</v>
      </c>
      <c r="E110" s="9">
        <f t="shared" ca="1" si="18"/>
        <v>1.4688356509930828E-2</v>
      </c>
      <c r="F110" s="9">
        <f t="shared" ca="1" si="18"/>
        <v>-3.370216357038994E-3</v>
      </c>
      <c r="G110" s="9">
        <f t="shared" ca="1" si="18"/>
        <v>-1.2976523248314475E-2</v>
      </c>
      <c r="H110" s="9">
        <f t="shared" ca="1" si="18"/>
        <v>4.4511665857437975E-3</v>
      </c>
      <c r="J110" t="s">
        <v>174</v>
      </c>
      <c r="K110" s="1">
        <v>210.32</v>
      </c>
      <c r="L110" s="9">
        <f t="shared" si="16"/>
        <v>-5.5548071309892699E-2</v>
      </c>
      <c r="M110" s="9">
        <f t="shared" ca="1" si="19"/>
        <v>2.0423333710015201E-2</v>
      </c>
      <c r="N110" s="9">
        <f t="shared" ca="1" si="19"/>
        <v>5.0025087489369534E-2</v>
      </c>
      <c r="O110" s="9">
        <f t="shared" ca="1" si="19"/>
        <v>6.9755008721812195E-3</v>
      </c>
      <c r="P110" s="9">
        <f t="shared" ca="1" si="19"/>
        <v>-2.6803591536575409E-3</v>
      </c>
      <c r="Q110" s="9">
        <f t="shared" ca="1" si="19"/>
        <v>-1.8504672580822275E-2</v>
      </c>
    </row>
    <row r="111" spans="1:17">
      <c r="A111" t="s">
        <v>175</v>
      </c>
      <c r="B111" s="1">
        <v>413.6</v>
      </c>
      <c r="C111" s="9">
        <f t="shared" si="14"/>
        <v>3.1061474796829129E-2</v>
      </c>
      <c r="D111" s="9">
        <f t="shared" ca="1" si="18"/>
        <v>-1.4322017931808283E-2</v>
      </c>
      <c r="E111" s="9">
        <f t="shared" ca="1" si="18"/>
        <v>2.6025132343671365E-2</v>
      </c>
      <c r="F111" s="9">
        <f t="shared" ca="1" si="18"/>
        <v>2.0058487454347684E-2</v>
      </c>
      <c r="G111" s="9">
        <f t="shared" ca="1" si="18"/>
        <v>3.1478170262653739E-2</v>
      </c>
      <c r="H111" s="9">
        <f t="shared" ca="1" si="18"/>
        <v>5.9646644984885713E-3</v>
      </c>
      <c r="J111" t="s">
        <v>175</v>
      </c>
      <c r="K111" s="1">
        <v>208.72</v>
      </c>
      <c r="L111" s="9">
        <f t="shared" si="16"/>
        <v>-7.6074553062000496E-3</v>
      </c>
      <c r="M111" s="9">
        <f t="shared" ca="1" si="19"/>
        <v>4.189829686514026E-2</v>
      </c>
      <c r="N111" s="9">
        <f t="shared" ca="1" si="19"/>
        <v>-3.0828841174565854E-3</v>
      </c>
      <c r="O111" s="9">
        <f t="shared" ca="1" si="19"/>
        <v>1.0202727339942749E-2</v>
      </c>
      <c r="P111" s="9">
        <f t="shared" ca="1" si="19"/>
        <v>5.141501549080027E-2</v>
      </c>
      <c r="Q111" s="9">
        <f t="shared" ca="1" si="19"/>
        <v>-2.9955427343897924E-2</v>
      </c>
    </row>
    <row r="112" spans="1:17">
      <c r="A112" t="s">
        <v>176</v>
      </c>
      <c r="B112" s="1">
        <v>413.27</v>
      </c>
      <c r="C112" s="9">
        <f t="shared" si="14"/>
        <v>-7.9787234042563086E-4</v>
      </c>
      <c r="D112" s="9">
        <f t="shared" ref="D112:H127" ca="1" si="20">NORMINV(RAND(), $C$6, $C$7)</f>
        <v>7.4156438282508442E-3</v>
      </c>
      <c r="E112" s="9">
        <f t="shared" ca="1" si="20"/>
        <v>2.2417406048592343E-2</v>
      </c>
      <c r="F112" s="9">
        <f t="shared" ca="1" si="20"/>
        <v>3.1997870356680065E-2</v>
      </c>
      <c r="G112" s="9">
        <f t="shared" ca="1" si="20"/>
        <v>-3.2807527242925509E-2</v>
      </c>
      <c r="H112" s="9">
        <f t="shared" ca="1" si="20"/>
        <v>-9.5687289474759487E-3</v>
      </c>
      <c r="J112" t="s">
        <v>176</v>
      </c>
      <c r="K112" s="1">
        <v>206.96</v>
      </c>
      <c r="L112" s="9">
        <f t="shared" si="16"/>
        <v>-8.4323495592180473E-3</v>
      </c>
      <c r="M112" s="9">
        <f t="shared" ref="M112:Q127" ca="1" si="21">NORMINV(RAND(), $L$6, $L$7)</f>
        <v>2.7648508587509609E-2</v>
      </c>
      <c r="N112" s="9">
        <f t="shared" ca="1" si="21"/>
        <v>2.0515253950507396E-2</v>
      </c>
      <c r="O112" s="9">
        <f t="shared" ca="1" si="21"/>
        <v>1.9488849104300685E-2</v>
      </c>
      <c r="P112" s="9">
        <f t="shared" ca="1" si="21"/>
        <v>3.0965830139367215E-2</v>
      </c>
      <c r="Q112" s="9">
        <f t="shared" ca="1" si="21"/>
        <v>-2.0233920144579521E-2</v>
      </c>
    </row>
    <row r="113" spans="1:17">
      <c r="A113" t="s">
        <v>177</v>
      </c>
      <c r="B113" s="1">
        <v>404.37</v>
      </c>
      <c r="C113" s="9">
        <f t="shared" si="14"/>
        <v>-2.1535557867737743E-2</v>
      </c>
      <c r="D113" s="9">
        <f t="shared" ca="1" si="20"/>
        <v>2.0075202681868871E-2</v>
      </c>
      <c r="E113" s="9">
        <f t="shared" ca="1" si="20"/>
        <v>1.4454464202119481E-2</v>
      </c>
      <c r="F113" s="9">
        <f t="shared" ca="1" si="20"/>
        <v>1.2274313761092913E-2</v>
      </c>
      <c r="G113" s="9">
        <f t="shared" ca="1" si="20"/>
        <v>4.3118478879970702E-2</v>
      </c>
      <c r="H113" s="9">
        <f t="shared" ca="1" si="20"/>
        <v>1.7401778942053935E-2</v>
      </c>
      <c r="J113" t="s">
        <v>177</v>
      </c>
      <c r="K113" s="1">
        <v>204.08</v>
      </c>
      <c r="L113" s="9">
        <f t="shared" si="16"/>
        <v>-1.391573250869731E-2</v>
      </c>
      <c r="M113" s="9">
        <f t="shared" ca="1" si="21"/>
        <v>-2.4611720030924468E-2</v>
      </c>
      <c r="N113" s="9">
        <f t="shared" ca="1" si="21"/>
        <v>-3.1464749111843299E-2</v>
      </c>
      <c r="O113" s="9">
        <f t="shared" ca="1" si="21"/>
        <v>3.7762291297753027E-2</v>
      </c>
      <c r="P113" s="9">
        <f t="shared" ca="1" si="21"/>
        <v>-9.5359565788629072E-3</v>
      </c>
      <c r="Q113" s="9">
        <f t="shared" ca="1" si="21"/>
        <v>2.2750666475951826E-2</v>
      </c>
    </row>
    <row r="114" spans="1:17">
      <c r="A114" t="s">
        <v>178</v>
      </c>
      <c r="B114" s="1">
        <v>401.84</v>
      </c>
      <c r="C114" s="9">
        <f t="shared" si="14"/>
        <v>-6.2566461409106254E-3</v>
      </c>
      <c r="D114" s="9">
        <f t="shared" ca="1" si="20"/>
        <v>-5.3921306489433107E-3</v>
      </c>
      <c r="E114" s="9">
        <f t="shared" ca="1" si="20"/>
        <v>2.4882839152395336E-2</v>
      </c>
      <c r="F114" s="9">
        <f t="shared" ca="1" si="20"/>
        <v>-1.0235009203483478E-2</v>
      </c>
      <c r="G114" s="9">
        <f t="shared" ca="1" si="20"/>
        <v>-6.9993364260543464E-3</v>
      </c>
      <c r="H114" s="9">
        <f t="shared" ca="1" si="20"/>
        <v>-6.7067933939069131E-3</v>
      </c>
      <c r="J114" t="s">
        <v>178</v>
      </c>
      <c r="K114" s="1">
        <v>199.6</v>
      </c>
      <c r="L114" s="9">
        <f t="shared" si="16"/>
        <v>-2.1952175617405027E-2</v>
      </c>
      <c r="M114" s="9">
        <f t="shared" ca="1" si="21"/>
        <v>2.7935592770712302E-2</v>
      </c>
      <c r="N114" s="9">
        <f t="shared" ca="1" si="21"/>
        <v>5.449992907046368E-4</v>
      </c>
      <c r="O114" s="9">
        <f t="shared" ca="1" si="21"/>
        <v>-1.2599021409538951E-3</v>
      </c>
      <c r="P114" s="9">
        <f t="shared" ca="1" si="21"/>
        <v>-8.7980512418921984E-3</v>
      </c>
      <c r="Q114" s="9">
        <f t="shared" ca="1" si="21"/>
        <v>-1.2474712400891444E-2</v>
      </c>
    </row>
    <row r="115" spans="1:17">
      <c r="A115" t="s">
        <v>179</v>
      </c>
      <c r="B115" s="1">
        <v>401.32</v>
      </c>
      <c r="C115" s="9">
        <f t="shared" si="14"/>
        <v>-1.2940473820425588E-3</v>
      </c>
      <c r="D115" s="9">
        <f t="shared" ca="1" si="20"/>
        <v>2.1797741383717731E-4</v>
      </c>
      <c r="E115" s="9">
        <f t="shared" ca="1" si="20"/>
        <v>-6.4845760999955948E-3</v>
      </c>
      <c r="F115" s="9">
        <f t="shared" ca="1" si="20"/>
        <v>3.6129560349817402E-2</v>
      </c>
      <c r="G115" s="9">
        <f t="shared" ca="1" si="20"/>
        <v>-1.1482219786005563E-2</v>
      </c>
      <c r="H115" s="9">
        <f t="shared" ca="1" si="20"/>
        <v>5.9162313601074816E-2</v>
      </c>
      <c r="J115" t="s">
        <v>179</v>
      </c>
      <c r="K115" s="1">
        <v>198.79</v>
      </c>
      <c r="L115" s="9">
        <f t="shared" si="16"/>
        <v>-4.058116232464941E-3</v>
      </c>
      <c r="M115" s="9">
        <f t="shared" ca="1" si="21"/>
        <v>-2.8958973020355244E-2</v>
      </c>
      <c r="N115" s="9">
        <f t="shared" ca="1" si="21"/>
        <v>-2.8060174576717192E-2</v>
      </c>
      <c r="O115" s="9">
        <f t="shared" ca="1" si="21"/>
        <v>-4.7951618682547693E-3</v>
      </c>
      <c r="P115" s="9">
        <f t="shared" ca="1" si="21"/>
        <v>-5.8841275515735376E-2</v>
      </c>
      <c r="Q115" s="9">
        <f t="shared" ca="1" si="21"/>
        <v>2.4526395386183439E-2</v>
      </c>
    </row>
    <row r="116" spans="1:17">
      <c r="A116" t="s">
        <v>180</v>
      </c>
      <c r="B116" s="1">
        <v>396.86</v>
      </c>
      <c r="C116" s="9">
        <f t="shared" si="14"/>
        <v>-1.1113326024120351E-2</v>
      </c>
      <c r="D116" s="9">
        <f t="shared" ca="1" si="20"/>
        <v>4.9856348916996985E-3</v>
      </c>
      <c r="E116" s="9">
        <f t="shared" ca="1" si="20"/>
        <v>-2.1117655957052013E-2</v>
      </c>
      <c r="F116" s="9">
        <f t="shared" ca="1" si="20"/>
        <v>-1.2151640867714799E-3</v>
      </c>
      <c r="G116" s="9">
        <f t="shared" ca="1" si="20"/>
        <v>1.198140937984276E-2</v>
      </c>
      <c r="H116" s="9">
        <f t="shared" ca="1" si="20"/>
        <v>1.9550992206736797E-2</v>
      </c>
      <c r="J116" t="s">
        <v>180</v>
      </c>
      <c r="K116" s="1">
        <v>201.15</v>
      </c>
      <c r="L116" s="9">
        <f t="shared" si="16"/>
        <v>1.1871824538457738E-2</v>
      </c>
      <c r="M116" s="9">
        <f t="shared" ca="1" si="21"/>
        <v>9.8741885245864636E-3</v>
      </c>
      <c r="N116" s="9">
        <f t="shared" ca="1" si="21"/>
        <v>3.1323998960493683E-2</v>
      </c>
      <c r="O116" s="9">
        <f t="shared" ca="1" si="21"/>
        <v>-2.1760171337747852E-2</v>
      </c>
      <c r="P116" s="9">
        <f t="shared" ca="1" si="21"/>
        <v>4.1653635750506492E-2</v>
      </c>
      <c r="Q116" s="9">
        <f t="shared" ca="1" si="21"/>
        <v>2.7611696731404577E-2</v>
      </c>
    </row>
    <row r="117" spans="1:17">
      <c r="A117" t="s">
        <v>181</v>
      </c>
      <c r="B117" s="1">
        <v>399.6</v>
      </c>
      <c r="C117" s="9">
        <f t="shared" si="14"/>
        <v>6.9041979539384395E-3</v>
      </c>
      <c r="D117" s="9">
        <f t="shared" ca="1" si="20"/>
        <v>3.8913048127883709E-2</v>
      </c>
      <c r="E117" s="9">
        <f t="shared" ca="1" si="20"/>
        <v>4.5142023295446304E-3</v>
      </c>
      <c r="F117" s="9">
        <f t="shared" ca="1" si="20"/>
        <v>-3.1173358696960269E-2</v>
      </c>
      <c r="G117" s="9">
        <f t="shared" ca="1" si="20"/>
        <v>-9.0930630071069784E-3</v>
      </c>
      <c r="H117" s="9">
        <f t="shared" ca="1" si="20"/>
        <v>-7.5808816572452758E-3</v>
      </c>
      <c r="J117" t="s">
        <v>181</v>
      </c>
      <c r="K117" s="1">
        <v>204.79</v>
      </c>
      <c r="L117" s="9">
        <f t="shared" si="16"/>
        <v>1.8095948297290512E-2</v>
      </c>
      <c r="M117" s="9">
        <f t="shared" ca="1" si="21"/>
        <v>-2.4030075654110788E-2</v>
      </c>
      <c r="N117" s="9">
        <f t="shared" ca="1" si="21"/>
        <v>4.7951856908643183E-2</v>
      </c>
      <c r="O117" s="9">
        <f t="shared" ca="1" si="21"/>
        <v>2.1480544137718886E-2</v>
      </c>
      <c r="P117" s="9">
        <f t="shared" ca="1" si="21"/>
        <v>2.4643305743082381E-2</v>
      </c>
      <c r="Q117" s="9">
        <f t="shared" ca="1" si="21"/>
        <v>5.7968410705635902E-3</v>
      </c>
    </row>
    <row r="118" spans="1:17">
      <c r="A118" t="s">
        <v>182</v>
      </c>
      <c r="B118" s="1">
        <v>398.46</v>
      </c>
      <c r="C118" s="9">
        <f t="shared" si="14"/>
        <v>-2.8528528528529609E-3</v>
      </c>
      <c r="D118" s="9">
        <f t="shared" ca="1" si="20"/>
        <v>-9.5238482059956213E-3</v>
      </c>
      <c r="E118" s="9">
        <f t="shared" ca="1" si="20"/>
        <v>-1.6839033752757245E-2</v>
      </c>
      <c r="F118" s="9">
        <f t="shared" ca="1" si="20"/>
        <v>3.1566565272561631E-2</v>
      </c>
      <c r="G118" s="9">
        <f t="shared" ca="1" si="20"/>
        <v>-2.5801610881918586E-2</v>
      </c>
      <c r="H118" s="9">
        <f t="shared" ca="1" si="20"/>
        <v>-4.3904004616674482E-3</v>
      </c>
      <c r="J118" t="s">
        <v>182</v>
      </c>
      <c r="K118" s="1">
        <v>204.86</v>
      </c>
      <c r="L118" s="9">
        <f t="shared" si="16"/>
        <v>3.4181356511558963E-4</v>
      </c>
      <c r="M118" s="9">
        <f t="shared" ca="1" si="21"/>
        <v>-4.5795085078718295E-2</v>
      </c>
      <c r="N118" s="9">
        <f t="shared" ca="1" si="21"/>
        <v>-2.4214380775320204E-2</v>
      </c>
      <c r="O118" s="9">
        <f t="shared" ca="1" si="21"/>
        <v>8.0794153905034104E-3</v>
      </c>
      <c r="P118" s="9">
        <f t="shared" ca="1" si="21"/>
        <v>-3.8318761962389626E-2</v>
      </c>
      <c r="Q118" s="9">
        <f t="shared" ca="1" si="21"/>
        <v>-4.2844384125522543E-2</v>
      </c>
    </row>
    <row r="119" spans="1:17">
      <c r="A119" t="s">
        <v>183</v>
      </c>
      <c r="B119" s="1">
        <v>397.23</v>
      </c>
      <c r="C119" s="9">
        <f t="shared" si="14"/>
        <v>-3.0868845053454836E-3</v>
      </c>
      <c r="D119" s="9">
        <f t="shared" ca="1" si="20"/>
        <v>-3.5219617922462839E-3</v>
      </c>
      <c r="E119" s="9">
        <f t="shared" ca="1" si="20"/>
        <v>8.2398435494413641E-3</v>
      </c>
      <c r="F119" s="9">
        <f t="shared" ca="1" si="20"/>
        <v>1.9100442256699129E-2</v>
      </c>
      <c r="G119" s="9">
        <f t="shared" ca="1" si="20"/>
        <v>-1.949482666628026E-2</v>
      </c>
      <c r="H119" s="9">
        <f t="shared" ca="1" si="20"/>
        <v>6.9533026900041039E-3</v>
      </c>
      <c r="J119" t="s">
        <v>183</v>
      </c>
      <c r="K119" s="1">
        <v>210.11</v>
      </c>
      <c r="L119" s="9">
        <f t="shared" si="16"/>
        <v>2.5627257639363465E-2</v>
      </c>
      <c r="M119" s="9">
        <f t="shared" ca="1" si="21"/>
        <v>-5.8504510277896257E-2</v>
      </c>
      <c r="N119" s="9">
        <f t="shared" ca="1" si="21"/>
        <v>1.8674273730124322E-3</v>
      </c>
      <c r="O119" s="9">
        <f t="shared" ca="1" si="21"/>
        <v>6.780863333727895E-3</v>
      </c>
      <c r="P119" s="9">
        <f t="shared" ca="1" si="21"/>
        <v>7.6662882492635476E-3</v>
      </c>
      <c r="Q119" s="9">
        <f t="shared" ca="1" si="21"/>
        <v>6.046922358606906E-3</v>
      </c>
    </row>
    <row r="120" spans="1:17">
      <c r="A120" t="s">
        <v>184</v>
      </c>
      <c r="B120" s="1">
        <v>384.47</v>
      </c>
      <c r="C120" s="9">
        <f t="shared" si="14"/>
        <v>-3.2122447952068048E-2</v>
      </c>
      <c r="D120" s="9">
        <f t="shared" ca="1" si="20"/>
        <v>-8.5164128995034085E-3</v>
      </c>
      <c r="E120" s="9">
        <f t="shared" ca="1" si="20"/>
        <v>5.2281247235371239E-2</v>
      </c>
      <c r="F120" s="9">
        <f t="shared" ca="1" si="20"/>
        <v>1.4149498923735966E-2</v>
      </c>
      <c r="G120" s="9">
        <f t="shared" ca="1" si="20"/>
        <v>2.321263126772759E-3</v>
      </c>
      <c r="H120" s="9">
        <f t="shared" ca="1" si="20"/>
        <v>5.9520822466070364E-2</v>
      </c>
      <c r="J120" t="s">
        <v>184</v>
      </c>
      <c r="K120" s="1">
        <v>205.27</v>
      </c>
      <c r="L120" s="9">
        <f t="shared" si="16"/>
        <v>-2.3035552805673234E-2</v>
      </c>
      <c r="M120" s="9">
        <f t="shared" ca="1" si="21"/>
        <v>2.8779982585019445E-2</v>
      </c>
      <c r="N120" s="9">
        <f t="shared" ca="1" si="21"/>
        <v>-1.089974326135866E-2</v>
      </c>
      <c r="O120" s="9">
        <f t="shared" ca="1" si="21"/>
        <v>2.4486530633224656E-3</v>
      </c>
      <c r="P120" s="9">
        <f t="shared" ca="1" si="21"/>
        <v>7.1188991105753949E-3</v>
      </c>
      <c r="Q120" s="9">
        <f t="shared" ca="1" si="21"/>
        <v>4.8581920225589222E-2</v>
      </c>
    </row>
    <row r="121" spans="1:17">
      <c r="A121" t="s">
        <v>185</v>
      </c>
      <c r="B121" s="1">
        <v>389</v>
      </c>
      <c r="C121" s="9">
        <f t="shared" si="14"/>
        <v>1.1782453767524053E-2</v>
      </c>
      <c r="D121" s="9">
        <f t="shared" ca="1" si="20"/>
        <v>1.0162703068666634E-2</v>
      </c>
      <c r="E121" s="9">
        <f t="shared" ca="1" si="20"/>
        <v>-3.5902498471802151E-2</v>
      </c>
      <c r="F121" s="9">
        <f t="shared" ca="1" si="20"/>
        <v>-1.4636948807474388E-2</v>
      </c>
      <c r="G121" s="9">
        <f t="shared" ca="1" si="20"/>
        <v>-6.3213116846318031E-3</v>
      </c>
      <c r="H121" s="9">
        <f t="shared" ca="1" si="20"/>
        <v>-1.3273820227424649E-2</v>
      </c>
      <c r="J121" t="s">
        <v>185</v>
      </c>
      <c r="K121" s="1">
        <v>208.56</v>
      </c>
      <c r="L121" s="9">
        <f t="shared" si="16"/>
        <v>1.602767087250934E-2</v>
      </c>
      <c r="M121" s="9">
        <f t="shared" ca="1" si="21"/>
        <v>-2.139472398057678E-2</v>
      </c>
      <c r="N121" s="9">
        <f t="shared" ca="1" si="21"/>
        <v>-3.9409712130574037E-2</v>
      </c>
      <c r="O121" s="9">
        <f t="shared" ca="1" si="21"/>
        <v>1.8465096570053338E-2</v>
      </c>
      <c r="P121" s="9">
        <f t="shared" ca="1" si="21"/>
        <v>2.3321831755636489E-2</v>
      </c>
      <c r="Q121" s="9">
        <f t="shared" ca="1" si="21"/>
        <v>1.5342773847414443E-2</v>
      </c>
    </row>
    <row r="122" spans="1:17">
      <c r="A122" t="s">
        <v>186</v>
      </c>
      <c r="B122" s="1">
        <v>400.6</v>
      </c>
      <c r="C122" s="9">
        <f t="shared" si="14"/>
        <v>2.9820051413881807E-2</v>
      </c>
      <c r="D122" s="9">
        <f t="shared" ca="1" si="20"/>
        <v>1.1034534565384464E-2</v>
      </c>
      <c r="E122" s="9">
        <f t="shared" ca="1" si="20"/>
        <v>1.498212554350152E-2</v>
      </c>
      <c r="F122" s="9">
        <f t="shared" ca="1" si="20"/>
        <v>4.4903260530758063E-2</v>
      </c>
      <c r="G122" s="9">
        <f t="shared" ca="1" si="20"/>
        <v>1.5739844423803488E-2</v>
      </c>
      <c r="H122" s="9">
        <f t="shared" ca="1" si="20"/>
        <v>-1.4747522979144698E-2</v>
      </c>
      <c r="J122" t="s">
        <v>186</v>
      </c>
      <c r="K122" s="1">
        <v>210.64</v>
      </c>
      <c r="L122" s="9">
        <f t="shared" si="16"/>
        <v>9.9731492136554672E-3</v>
      </c>
      <c r="M122" s="9">
        <f t="shared" ca="1" si="21"/>
        <v>-2.2736917278717091E-3</v>
      </c>
      <c r="N122" s="9">
        <f t="shared" ca="1" si="21"/>
        <v>7.1033868808915374E-3</v>
      </c>
      <c r="O122" s="9">
        <f t="shared" ca="1" si="21"/>
        <v>5.5817537233409924E-2</v>
      </c>
      <c r="P122" s="9">
        <f t="shared" ca="1" si="21"/>
        <v>9.3643248039997455E-3</v>
      </c>
      <c r="Q122" s="9">
        <f t="shared" ca="1" si="21"/>
        <v>2.6337595345325104E-2</v>
      </c>
    </row>
    <row r="123" spans="1:17">
      <c r="A123" t="s">
        <v>187</v>
      </c>
      <c r="B123" s="1">
        <v>401.72</v>
      </c>
      <c r="C123" s="9">
        <f t="shared" si="14"/>
        <v>2.7958062905641648E-3</v>
      </c>
      <c r="D123" s="9">
        <f t="shared" ca="1" si="20"/>
        <v>-1.3301229754763251E-2</v>
      </c>
      <c r="E123" s="9">
        <f t="shared" ca="1" si="20"/>
        <v>1.1515880164614379E-3</v>
      </c>
      <c r="F123" s="9">
        <f t="shared" ca="1" si="20"/>
        <v>4.6782156957764283E-2</v>
      </c>
      <c r="G123" s="9">
        <f t="shared" ca="1" si="20"/>
        <v>2.6549075753754089E-2</v>
      </c>
      <c r="H123" s="9">
        <f t="shared" ca="1" si="20"/>
        <v>-9.2172504139820047E-3</v>
      </c>
      <c r="J123" t="s">
        <v>187</v>
      </c>
      <c r="K123" s="1">
        <v>207.92</v>
      </c>
      <c r="L123" s="9">
        <f t="shared" si="16"/>
        <v>-1.2913026965438659E-2</v>
      </c>
      <c r="M123" s="9">
        <f t="shared" ca="1" si="21"/>
        <v>-9.9467823544537107E-3</v>
      </c>
      <c r="N123" s="9">
        <f t="shared" ca="1" si="21"/>
        <v>8.9491605801105389E-3</v>
      </c>
      <c r="O123" s="9">
        <f t="shared" ca="1" si="21"/>
        <v>-1.9989819440389221E-2</v>
      </c>
      <c r="P123" s="9">
        <f t="shared" ca="1" si="21"/>
        <v>7.1691886692898475E-3</v>
      </c>
      <c r="Q123" s="9">
        <f t="shared" ca="1" si="21"/>
        <v>2.1135873586850245E-3</v>
      </c>
    </row>
    <row r="124" spans="1:17">
      <c r="A124" t="s">
        <v>188</v>
      </c>
      <c r="B124" s="1">
        <v>392.74</v>
      </c>
      <c r="C124" s="9">
        <f t="shared" si="14"/>
        <v>-2.235387832321024E-2</v>
      </c>
      <c r="D124" s="9">
        <f t="shared" ca="1" si="20"/>
        <v>-2.4086643115932234E-2</v>
      </c>
      <c r="E124" s="9">
        <f t="shared" ca="1" si="20"/>
        <v>7.9705185909983E-3</v>
      </c>
      <c r="F124" s="9">
        <f t="shared" ca="1" si="20"/>
        <v>1.5119650923137724E-2</v>
      </c>
      <c r="G124" s="9">
        <f t="shared" ca="1" si="20"/>
        <v>1.0811557694157909E-2</v>
      </c>
      <c r="H124" s="9">
        <f t="shared" ca="1" si="20"/>
        <v>-3.5385247788098678E-2</v>
      </c>
      <c r="J124" t="s">
        <v>188</v>
      </c>
      <c r="K124" s="1">
        <v>210</v>
      </c>
      <c r="L124" s="9">
        <f t="shared" si="16"/>
        <v>1.0003847633705333E-2</v>
      </c>
      <c r="M124" s="9">
        <f t="shared" ca="1" si="21"/>
        <v>-1.6793488862870357E-2</v>
      </c>
      <c r="N124" s="9">
        <f t="shared" ca="1" si="21"/>
        <v>3.616778529260449E-2</v>
      </c>
      <c r="O124" s="9">
        <f t="shared" ca="1" si="21"/>
        <v>4.298702066779324E-3</v>
      </c>
      <c r="P124" s="9">
        <f t="shared" ca="1" si="21"/>
        <v>-6.1911330100643563E-2</v>
      </c>
      <c r="Q124" s="9">
        <f t="shared" ca="1" si="21"/>
        <v>-1.3864287656890845E-2</v>
      </c>
    </row>
    <row r="125" spans="1:17">
      <c r="A125" t="s">
        <v>189</v>
      </c>
      <c r="B125" s="1">
        <v>398.55</v>
      </c>
      <c r="C125" s="9">
        <f t="shared" si="14"/>
        <v>1.4793502062433168E-2</v>
      </c>
      <c r="D125" s="9">
        <f t="shared" ca="1" si="20"/>
        <v>1.354207498844172E-2</v>
      </c>
      <c r="E125" s="9">
        <f t="shared" ca="1" si="20"/>
        <v>-2.6545759846033036E-3</v>
      </c>
      <c r="F125" s="9">
        <f t="shared" ca="1" si="20"/>
        <v>-1.4209411953172253E-3</v>
      </c>
      <c r="G125" s="9">
        <f t="shared" ca="1" si="20"/>
        <v>-2.3504437220744134E-2</v>
      </c>
      <c r="H125" s="9">
        <f t="shared" ca="1" si="20"/>
        <v>1.4281671996121355E-2</v>
      </c>
      <c r="J125" t="s">
        <v>189</v>
      </c>
      <c r="K125" s="1">
        <v>208.39</v>
      </c>
      <c r="L125" s="9">
        <f t="shared" si="16"/>
        <v>-7.6666666666667313E-3</v>
      </c>
      <c r="M125" s="9">
        <f t="shared" ca="1" si="21"/>
        <v>2.5169961016437169E-2</v>
      </c>
      <c r="N125" s="9">
        <f t="shared" ca="1" si="21"/>
        <v>-4.2241999506410007E-2</v>
      </c>
      <c r="O125" s="9">
        <f t="shared" ca="1" si="21"/>
        <v>-1.0227636417425455E-4</v>
      </c>
      <c r="P125" s="9">
        <f t="shared" ca="1" si="21"/>
        <v>1.8487004604335205E-2</v>
      </c>
      <c r="Q125" s="9">
        <f t="shared" ca="1" si="21"/>
        <v>3.6239478215085779E-3</v>
      </c>
    </row>
    <row r="126" spans="1:17">
      <c r="A126" t="s">
        <v>190</v>
      </c>
      <c r="B126" s="1">
        <v>403.93</v>
      </c>
      <c r="C126" s="9">
        <f t="shared" si="14"/>
        <v>1.3498933634424778E-2</v>
      </c>
      <c r="D126" s="9">
        <f t="shared" ca="1" si="20"/>
        <v>3.8337051324027946E-3</v>
      </c>
      <c r="E126" s="9">
        <f t="shared" ca="1" si="20"/>
        <v>7.56894605643409E-3</v>
      </c>
      <c r="F126" s="9">
        <f t="shared" ca="1" si="20"/>
        <v>8.0223564218543843E-3</v>
      </c>
      <c r="G126" s="9">
        <f t="shared" ca="1" si="20"/>
        <v>1.1393023399298504E-3</v>
      </c>
      <c r="H126" s="9">
        <f t="shared" ca="1" si="20"/>
        <v>-2.3623574522594847E-2</v>
      </c>
      <c r="J126" t="s">
        <v>190</v>
      </c>
      <c r="K126" s="1">
        <v>208.73</v>
      </c>
      <c r="L126" s="9">
        <f t="shared" si="16"/>
        <v>1.6315562167090716E-3</v>
      </c>
      <c r="M126" s="9">
        <f t="shared" ca="1" si="21"/>
        <v>-2.0829284954401079E-2</v>
      </c>
      <c r="N126" s="9">
        <f t="shared" ca="1" si="21"/>
        <v>-1.1501303157153009E-2</v>
      </c>
      <c r="O126" s="9">
        <f t="shared" ca="1" si="21"/>
        <v>7.81633445641647E-3</v>
      </c>
      <c r="P126" s="9">
        <f t="shared" ca="1" si="21"/>
        <v>3.7221510735094461E-4</v>
      </c>
      <c r="Q126" s="9">
        <f t="shared" ca="1" si="21"/>
        <v>2.1423286910674244E-2</v>
      </c>
    </row>
    <row r="127" spans="1:17">
      <c r="A127" t="s">
        <v>191</v>
      </c>
      <c r="B127" s="1">
        <v>405.2</v>
      </c>
      <c r="C127" s="9">
        <f t="shared" si="14"/>
        <v>3.1441091278191315E-3</v>
      </c>
      <c r="D127" s="9">
        <f t="shared" ca="1" si="20"/>
        <v>-3.4236777548488509E-3</v>
      </c>
      <c r="E127" s="9">
        <f t="shared" ca="1" si="20"/>
        <v>-7.7769500592523204E-3</v>
      </c>
      <c r="F127" s="9">
        <f t="shared" ca="1" si="20"/>
        <v>2.5304607853841438E-2</v>
      </c>
      <c r="G127" s="9">
        <f t="shared" ca="1" si="20"/>
        <v>-2.634248607691834E-3</v>
      </c>
      <c r="H127" s="9">
        <f t="shared" ca="1" si="20"/>
        <v>1.3702993151053541E-2</v>
      </c>
      <c r="J127" t="s">
        <v>191</v>
      </c>
      <c r="K127" s="1">
        <v>216.82</v>
      </c>
      <c r="L127" s="9">
        <f t="shared" si="16"/>
        <v>3.8758204378862661E-2</v>
      </c>
      <c r="M127" s="9">
        <f t="shared" ca="1" si="21"/>
        <v>-2.9167085999983026E-2</v>
      </c>
      <c r="N127" s="9">
        <f t="shared" ca="1" si="21"/>
        <v>8.1038995879332658E-3</v>
      </c>
      <c r="O127" s="9">
        <f t="shared" ca="1" si="21"/>
        <v>1.8361431017803582E-2</v>
      </c>
      <c r="P127" s="9">
        <f t="shared" ca="1" si="21"/>
        <v>-2.7206060983743347E-3</v>
      </c>
      <c r="Q127" s="9">
        <f t="shared" ca="1" si="21"/>
        <v>1.9171391087651184E-2</v>
      </c>
    </row>
    <row r="128" spans="1:17">
      <c r="A128" t="s">
        <v>192</v>
      </c>
      <c r="B128" s="1">
        <v>410.68</v>
      </c>
      <c r="C128" s="9">
        <f t="shared" si="14"/>
        <v>1.3524185587364309E-2</v>
      </c>
      <c r="D128" s="9">
        <f t="shared" ref="D128:H143" ca="1" si="22">NORMINV(RAND(), $C$6, $C$7)</f>
        <v>1.9934901825688564E-2</v>
      </c>
      <c r="E128" s="9">
        <f t="shared" ca="1" si="22"/>
        <v>5.0500388003836558E-3</v>
      </c>
      <c r="F128" s="9">
        <f t="shared" ca="1" si="22"/>
        <v>-7.5403931692998262E-3</v>
      </c>
      <c r="G128" s="9">
        <f t="shared" ca="1" si="22"/>
        <v>4.2116374666891075E-2</v>
      </c>
      <c r="H128" s="9">
        <f t="shared" ca="1" si="22"/>
        <v>2.2243312194814508E-3</v>
      </c>
      <c r="J128" t="s">
        <v>192</v>
      </c>
      <c r="K128" s="1">
        <v>218.94</v>
      </c>
      <c r="L128" s="9">
        <f t="shared" si="16"/>
        <v>9.7776957845217439E-3</v>
      </c>
      <c r="M128" s="9">
        <f t="shared" ref="M128:Q143" ca="1" si="23">NORMINV(RAND(), $L$6, $L$7)</f>
        <v>-2.8873312344844037E-2</v>
      </c>
      <c r="N128" s="9">
        <f t="shared" ca="1" si="23"/>
        <v>-1.4960707241109008E-2</v>
      </c>
      <c r="O128" s="9">
        <f t="shared" ca="1" si="23"/>
        <v>5.8195857029337369E-2</v>
      </c>
      <c r="P128" s="9">
        <f t="shared" ca="1" si="23"/>
        <v>3.7216761945645771E-2</v>
      </c>
      <c r="Q128" s="9">
        <f t="shared" ca="1" si="23"/>
        <v>-2.8760348243756779E-3</v>
      </c>
    </row>
    <row r="129" spans="1:17">
      <c r="A129" t="s">
        <v>193</v>
      </c>
      <c r="B129" s="1">
        <v>408.96</v>
      </c>
      <c r="C129" s="9">
        <f t="shared" si="14"/>
        <v>-4.1881757085809566E-3</v>
      </c>
      <c r="D129" s="9">
        <f t="shared" ca="1" si="22"/>
        <v>2.399827401564749E-2</v>
      </c>
      <c r="E129" s="9">
        <f t="shared" ca="1" si="22"/>
        <v>3.290847945738082E-3</v>
      </c>
      <c r="F129" s="9">
        <f t="shared" ca="1" si="22"/>
        <v>1.4213839317650351E-2</v>
      </c>
      <c r="G129" s="9">
        <f t="shared" ca="1" si="22"/>
        <v>-1.469457232915383E-2</v>
      </c>
      <c r="H129" s="9">
        <f t="shared" ca="1" si="22"/>
        <v>1.7258690566191687E-2</v>
      </c>
      <c r="J129" t="s">
        <v>193</v>
      </c>
      <c r="K129" s="1">
        <v>213.21</v>
      </c>
      <c r="L129" s="9">
        <f t="shared" si="16"/>
        <v>-2.6171553850369917E-2</v>
      </c>
      <c r="M129" s="9">
        <f t="shared" ca="1" si="23"/>
        <v>-6.6573886914320464E-3</v>
      </c>
      <c r="N129" s="9">
        <f t="shared" ca="1" si="23"/>
        <v>-1.6678940882380779E-3</v>
      </c>
      <c r="O129" s="9">
        <f t="shared" ca="1" si="23"/>
        <v>2.6847028528904603E-2</v>
      </c>
      <c r="P129" s="9">
        <f t="shared" ca="1" si="23"/>
        <v>1.6485735944465865E-2</v>
      </c>
      <c r="Q129" s="9">
        <f t="shared" ca="1" si="23"/>
        <v>1.7944056591867253E-2</v>
      </c>
    </row>
    <row r="130" spans="1:17">
      <c r="A130" t="s">
        <v>194</v>
      </c>
      <c r="B130" s="1">
        <v>409.41</v>
      </c>
      <c r="C130" s="9">
        <f t="shared" si="14"/>
        <v>1.1003521126761676E-3</v>
      </c>
      <c r="D130" s="9">
        <f t="shared" ca="1" si="22"/>
        <v>1.2990992952395254E-2</v>
      </c>
      <c r="E130" s="9">
        <f t="shared" ca="1" si="22"/>
        <v>3.8128306594343631E-2</v>
      </c>
      <c r="F130" s="9">
        <f t="shared" ca="1" si="22"/>
        <v>-1.8962736453022912E-2</v>
      </c>
      <c r="G130" s="9">
        <f t="shared" ca="1" si="22"/>
        <v>-2.9947671945188336E-2</v>
      </c>
      <c r="H130" s="9">
        <f t="shared" ca="1" si="22"/>
        <v>-1.9714692239132355E-2</v>
      </c>
      <c r="J130" t="s">
        <v>194</v>
      </c>
      <c r="K130" s="1">
        <v>213.49</v>
      </c>
      <c r="L130" s="9">
        <f t="shared" si="16"/>
        <v>1.3132592279911878E-3</v>
      </c>
      <c r="M130" s="9">
        <f t="shared" ca="1" si="23"/>
        <v>-5.550592371951801E-3</v>
      </c>
      <c r="N130" s="9">
        <f t="shared" ca="1" si="23"/>
        <v>1.4136366687731211E-2</v>
      </c>
      <c r="O130" s="9">
        <f t="shared" ca="1" si="23"/>
        <v>-6.7187319833073827E-2</v>
      </c>
      <c r="P130" s="9">
        <f t="shared" ca="1" si="23"/>
        <v>8.2140118346553416E-3</v>
      </c>
      <c r="Q130" s="9">
        <f t="shared" ca="1" si="23"/>
        <v>-4.0805730135334353E-3</v>
      </c>
    </row>
    <row r="131" spans="1:17">
      <c r="A131" t="s">
        <v>195</v>
      </c>
      <c r="B131" s="1">
        <v>405.76</v>
      </c>
      <c r="C131" s="9">
        <f t="shared" si="14"/>
        <v>-8.915268312938214E-3</v>
      </c>
      <c r="D131" s="9">
        <f t="shared" ca="1" si="22"/>
        <v>-1.0531377229189773E-2</v>
      </c>
      <c r="E131" s="9">
        <f t="shared" ca="1" si="22"/>
        <v>1.2527418710402242E-3</v>
      </c>
      <c r="F131" s="9">
        <f t="shared" ca="1" si="22"/>
        <v>-6.6070413947578854E-3</v>
      </c>
      <c r="G131" s="9">
        <f t="shared" ca="1" si="22"/>
        <v>2.0265470834216984E-3</v>
      </c>
      <c r="H131" s="9">
        <f t="shared" ca="1" si="22"/>
        <v>-1.8854785148483613E-3</v>
      </c>
      <c r="J131" t="s">
        <v>195</v>
      </c>
      <c r="K131" s="1">
        <v>214.33</v>
      </c>
      <c r="L131" s="9">
        <f t="shared" si="16"/>
        <v>3.9346105203990978E-3</v>
      </c>
      <c r="M131" s="9">
        <f t="shared" ca="1" si="23"/>
        <v>2.0113855783522049E-2</v>
      </c>
      <c r="N131" s="9">
        <f t="shared" ca="1" si="23"/>
        <v>2.8352956833784634E-2</v>
      </c>
      <c r="O131" s="9">
        <f t="shared" ca="1" si="23"/>
        <v>-2.220016528946727E-2</v>
      </c>
      <c r="P131" s="9">
        <f t="shared" ca="1" si="23"/>
        <v>1.1040484623375294E-2</v>
      </c>
      <c r="Q131" s="9">
        <f t="shared" ca="1" si="23"/>
        <v>-1.5302786090252242E-2</v>
      </c>
    </row>
    <row r="132" spans="1:17">
      <c r="A132" t="s">
        <v>196</v>
      </c>
      <c r="B132" s="1">
        <v>404.88</v>
      </c>
      <c r="C132" s="9">
        <f t="shared" si="14"/>
        <v>-2.1687697160883168E-3</v>
      </c>
      <c r="D132" s="9">
        <f t="shared" ca="1" si="22"/>
        <v>4.0146461861705392E-3</v>
      </c>
      <c r="E132" s="9">
        <f t="shared" ca="1" si="22"/>
        <v>1.0429148549876813E-2</v>
      </c>
      <c r="F132" s="9">
        <f t="shared" ca="1" si="22"/>
        <v>-1.2549332020879031E-2</v>
      </c>
      <c r="G132" s="9">
        <f t="shared" ca="1" si="22"/>
        <v>-1.5237664070256245E-2</v>
      </c>
      <c r="H132" s="9">
        <f t="shared" ca="1" si="22"/>
        <v>-3.4603418914640201E-2</v>
      </c>
      <c r="J132" t="s">
        <v>196</v>
      </c>
      <c r="K132" s="1">
        <v>212.65</v>
      </c>
      <c r="L132" s="9">
        <f t="shared" si="16"/>
        <v>-7.8383800681192869E-3</v>
      </c>
      <c r="M132" s="9">
        <f t="shared" ca="1" si="23"/>
        <v>-4.3155910186913251E-3</v>
      </c>
      <c r="N132" s="9">
        <f t="shared" ca="1" si="23"/>
        <v>3.1749888344701706E-3</v>
      </c>
      <c r="O132" s="9">
        <f t="shared" ca="1" si="23"/>
        <v>-1.600446112358261E-2</v>
      </c>
      <c r="P132" s="9">
        <f t="shared" ca="1" si="23"/>
        <v>-1.8570917208378501E-2</v>
      </c>
      <c r="Q132" s="9">
        <f t="shared" ca="1" si="23"/>
        <v>4.2022714352083954E-4</v>
      </c>
    </row>
    <row r="133" spans="1:17">
      <c r="A133" t="s">
        <v>197</v>
      </c>
      <c r="B133" s="1">
        <v>401.86</v>
      </c>
      <c r="C133" s="9">
        <f t="shared" si="14"/>
        <v>-7.4590001975893645E-3</v>
      </c>
      <c r="D133" s="9">
        <f t="shared" ca="1" si="22"/>
        <v>1.9918296883355446E-2</v>
      </c>
      <c r="E133" s="9">
        <f t="shared" ca="1" si="22"/>
        <v>-1.8217968089584258E-2</v>
      </c>
      <c r="F133" s="9">
        <f t="shared" ca="1" si="22"/>
        <v>-2.158144114479946E-2</v>
      </c>
      <c r="G133" s="9">
        <f t="shared" ca="1" si="22"/>
        <v>-8.0378938927327479E-3</v>
      </c>
      <c r="H133" s="9">
        <f t="shared" ca="1" si="22"/>
        <v>-8.7903460995948342E-4</v>
      </c>
      <c r="J133" t="s">
        <v>197</v>
      </c>
      <c r="K133" s="1">
        <v>209.53</v>
      </c>
      <c r="L133" s="9">
        <f t="shared" si="16"/>
        <v>-1.4671996237949703E-2</v>
      </c>
      <c r="M133" s="9">
        <f t="shared" ca="1" si="23"/>
        <v>-2.4528810684114E-2</v>
      </c>
      <c r="N133" s="9">
        <f t="shared" ca="1" si="23"/>
        <v>-1.1560490517087633E-2</v>
      </c>
      <c r="O133" s="9">
        <f t="shared" ca="1" si="23"/>
        <v>3.2853644438315247E-3</v>
      </c>
      <c r="P133" s="9">
        <f t="shared" ca="1" si="23"/>
        <v>-2.5853794173053748E-2</v>
      </c>
      <c r="Q133" s="9">
        <f t="shared" ca="1" si="23"/>
        <v>3.289344516077327E-2</v>
      </c>
    </row>
    <row r="134" spans="1:17">
      <c r="A134" t="s">
        <v>198</v>
      </c>
      <c r="B134" s="1">
        <v>395.55</v>
      </c>
      <c r="C134" s="9">
        <f t="shared" si="14"/>
        <v>-1.5701985766187233E-2</v>
      </c>
      <c r="D134" s="9">
        <f t="shared" ca="1" si="22"/>
        <v>9.593219871178376E-3</v>
      </c>
      <c r="E134" s="9">
        <f t="shared" ca="1" si="22"/>
        <v>1.9041446509875357E-2</v>
      </c>
      <c r="F134" s="9">
        <f t="shared" ca="1" si="22"/>
        <v>5.2849847461290721E-3</v>
      </c>
      <c r="G134" s="9">
        <f t="shared" ca="1" si="22"/>
        <v>3.1410220526051943E-3</v>
      </c>
      <c r="H134" s="9">
        <f t="shared" ca="1" si="22"/>
        <v>3.6612896338524235E-2</v>
      </c>
      <c r="J134" t="s">
        <v>198</v>
      </c>
      <c r="K134" s="1">
        <v>207.67</v>
      </c>
      <c r="L134" s="9">
        <f t="shared" si="16"/>
        <v>-8.8770104519639847E-3</v>
      </c>
      <c r="M134" s="9">
        <f t="shared" ca="1" si="23"/>
        <v>-1.6598574916566466E-2</v>
      </c>
      <c r="N134" s="9">
        <f t="shared" ca="1" si="23"/>
        <v>2.872598435885259E-2</v>
      </c>
      <c r="O134" s="9">
        <f t="shared" ca="1" si="23"/>
        <v>-3.7318389250714837E-3</v>
      </c>
      <c r="P134" s="9">
        <f t="shared" ca="1" si="23"/>
        <v>-9.4129686554475997E-3</v>
      </c>
      <c r="Q134" s="9">
        <f t="shared" ca="1" si="23"/>
        <v>-1.9861695369494992E-2</v>
      </c>
    </row>
    <row r="135" spans="1:17">
      <c r="A135" t="s">
        <v>199</v>
      </c>
      <c r="B135" s="1">
        <v>399.95</v>
      </c>
      <c r="C135" s="9">
        <f t="shared" si="14"/>
        <v>1.1123751738086151E-2</v>
      </c>
      <c r="D135" s="9">
        <f t="shared" ca="1" si="22"/>
        <v>6.1814627868795142E-3</v>
      </c>
      <c r="E135" s="9">
        <f t="shared" ca="1" si="22"/>
        <v>-8.2284655303261536E-3</v>
      </c>
      <c r="F135" s="9">
        <f t="shared" ca="1" si="22"/>
        <v>2.3676808446099845E-2</v>
      </c>
      <c r="G135" s="9">
        <f t="shared" ca="1" si="22"/>
        <v>1.3106079062406363E-2</v>
      </c>
      <c r="H135" s="9">
        <f t="shared" ca="1" si="22"/>
        <v>-1.7889868803134496E-2</v>
      </c>
      <c r="J135" t="s">
        <v>199</v>
      </c>
      <c r="K135" s="1">
        <v>211.74</v>
      </c>
      <c r="L135" s="9">
        <f t="shared" si="16"/>
        <v>1.9598401309770416E-2</v>
      </c>
      <c r="M135" s="9">
        <f t="shared" ca="1" si="23"/>
        <v>8.7629942131650651E-3</v>
      </c>
      <c r="N135" s="9">
        <f t="shared" ca="1" si="23"/>
        <v>2.0494833004265196E-2</v>
      </c>
      <c r="O135" s="9">
        <f t="shared" ca="1" si="23"/>
        <v>1.6898022493318596E-2</v>
      </c>
      <c r="P135" s="9">
        <f t="shared" ca="1" si="23"/>
        <v>-2.7903207537723703E-3</v>
      </c>
      <c r="Q135" s="9">
        <f t="shared" ca="1" si="23"/>
        <v>7.8960817720527786E-3</v>
      </c>
    </row>
    <row r="136" spans="1:17">
      <c r="A136" t="s">
        <v>200</v>
      </c>
      <c r="B136" s="1">
        <v>399.41</v>
      </c>
      <c r="C136" s="9">
        <f t="shared" si="14"/>
        <v>-1.3501687710962961E-3</v>
      </c>
      <c r="D136" s="9">
        <f t="shared" ca="1" si="22"/>
        <v>-2.3226509641304186E-2</v>
      </c>
      <c r="E136" s="9">
        <f t="shared" ca="1" si="22"/>
        <v>2.0473307573349555E-2</v>
      </c>
      <c r="F136" s="9">
        <f t="shared" ca="1" si="22"/>
        <v>-1.530233188321581E-2</v>
      </c>
      <c r="G136" s="9">
        <f t="shared" ca="1" si="22"/>
        <v>-9.7938189056628929E-3</v>
      </c>
      <c r="H136" s="9">
        <f t="shared" ca="1" si="22"/>
        <v>-1.2891462071859225E-2</v>
      </c>
      <c r="J136" t="s">
        <v>200</v>
      </c>
      <c r="K136" s="1">
        <v>215.2</v>
      </c>
      <c r="L136" s="9">
        <f t="shared" si="16"/>
        <v>1.6340795315008875E-2</v>
      </c>
      <c r="M136" s="9">
        <f t="shared" ca="1" si="23"/>
        <v>3.6310042857724267E-2</v>
      </c>
      <c r="N136" s="9">
        <f t="shared" ca="1" si="23"/>
        <v>-1.5699732807105772E-2</v>
      </c>
      <c r="O136" s="9">
        <f t="shared" ca="1" si="23"/>
        <v>-5.1479847471851735E-3</v>
      </c>
      <c r="P136" s="9">
        <f t="shared" ca="1" si="23"/>
        <v>1.4264890243168397E-2</v>
      </c>
      <c r="Q136" s="9">
        <f t="shared" ca="1" si="23"/>
        <v>-1.6146896046658043E-2</v>
      </c>
    </row>
    <row r="137" spans="1:17">
      <c r="A137" t="s">
        <v>201</v>
      </c>
      <c r="B137" s="1">
        <v>391.79</v>
      </c>
      <c r="C137" s="9">
        <f t="shared" si="14"/>
        <v>-1.9078140256878907E-2</v>
      </c>
      <c r="D137" s="9">
        <f t="shared" ca="1" si="22"/>
        <v>2.1891964376180195E-2</v>
      </c>
      <c r="E137" s="9">
        <f t="shared" ca="1" si="22"/>
        <v>-2.9459546829131274E-2</v>
      </c>
      <c r="F137" s="9">
        <f t="shared" ca="1" si="22"/>
        <v>1.5253010103836121E-3</v>
      </c>
      <c r="G137" s="9">
        <f t="shared" ca="1" si="22"/>
        <v>-9.9824042258239761E-3</v>
      </c>
      <c r="H137" s="9">
        <f t="shared" ca="1" si="22"/>
        <v>-9.6003290684563581E-3</v>
      </c>
      <c r="J137" t="s">
        <v>201</v>
      </c>
      <c r="K137" s="1">
        <v>209.87</v>
      </c>
      <c r="L137" s="9">
        <f t="shared" si="16"/>
        <v>-2.4767657992564984E-2</v>
      </c>
      <c r="M137" s="9">
        <f t="shared" ca="1" si="23"/>
        <v>1.1343386035747711E-2</v>
      </c>
      <c r="N137" s="9">
        <f t="shared" ca="1" si="23"/>
        <v>-1.3776137559685709E-3</v>
      </c>
      <c r="O137" s="9">
        <f t="shared" ca="1" si="23"/>
        <v>-5.2982360740760686E-3</v>
      </c>
      <c r="P137" s="9">
        <f t="shared" ca="1" si="23"/>
        <v>-2.8159717339243332E-2</v>
      </c>
      <c r="Q137" s="9">
        <f t="shared" ca="1" si="23"/>
        <v>-1.8709569723153206E-2</v>
      </c>
    </row>
    <row r="138" spans="1:17">
      <c r="A138" t="s">
        <v>202</v>
      </c>
      <c r="B138" s="1">
        <v>389.02</v>
      </c>
      <c r="C138" s="9">
        <f t="shared" si="14"/>
        <v>-7.0701140917329144E-3</v>
      </c>
      <c r="D138" s="9">
        <f t="shared" ca="1" si="22"/>
        <v>1.7661479166433947E-2</v>
      </c>
      <c r="E138" s="9">
        <f t="shared" ca="1" si="22"/>
        <v>1.3033119581350354E-2</v>
      </c>
      <c r="F138" s="9">
        <f t="shared" ca="1" si="22"/>
        <v>1.5811059548654263E-2</v>
      </c>
      <c r="G138" s="9">
        <f t="shared" ca="1" si="22"/>
        <v>-1.4113322386375143E-2</v>
      </c>
      <c r="H138" s="9">
        <f t="shared" ca="1" si="22"/>
        <v>2.1298974480740834E-3</v>
      </c>
      <c r="J138" t="s">
        <v>202</v>
      </c>
      <c r="K138" s="1">
        <v>208.76</v>
      </c>
      <c r="L138" s="9">
        <f t="shared" si="16"/>
        <v>-5.2889884214037909E-3</v>
      </c>
      <c r="M138" s="9">
        <f t="shared" ca="1" si="23"/>
        <v>1.1931997230225476E-2</v>
      </c>
      <c r="N138" s="9">
        <f t="shared" ca="1" si="23"/>
        <v>-1.4659933187602886E-2</v>
      </c>
      <c r="O138" s="9">
        <f t="shared" ca="1" si="23"/>
        <v>-3.1266688185267455E-3</v>
      </c>
      <c r="P138" s="9">
        <f t="shared" ca="1" si="23"/>
        <v>-1.722006690569235E-2</v>
      </c>
      <c r="Q138" s="9">
        <f t="shared" ca="1" si="23"/>
        <v>5.0231987484221141E-2</v>
      </c>
    </row>
    <row r="139" spans="1:17">
      <c r="A139" t="s">
        <v>203</v>
      </c>
      <c r="B139" s="1">
        <v>381.87</v>
      </c>
      <c r="C139" s="9">
        <f t="shared" si="14"/>
        <v>-1.8379517762582842E-2</v>
      </c>
      <c r="D139" s="9">
        <f t="shared" ca="1" si="22"/>
        <v>5.5324300770124655E-3</v>
      </c>
      <c r="E139" s="9">
        <f t="shared" ca="1" si="22"/>
        <v>5.1246779518642517E-2</v>
      </c>
      <c r="F139" s="9">
        <f t="shared" ca="1" si="22"/>
        <v>-3.0038927473217739E-2</v>
      </c>
      <c r="G139" s="9">
        <f t="shared" ca="1" si="22"/>
        <v>-4.3477165983183148E-3</v>
      </c>
      <c r="H139" s="9">
        <f t="shared" ca="1" si="22"/>
        <v>-7.5429203273048046E-3</v>
      </c>
      <c r="J139" t="s">
        <v>203</v>
      </c>
      <c r="K139" s="1">
        <v>205.37</v>
      </c>
      <c r="L139" s="9">
        <f t="shared" si="16"/>
        <v>-1.6238743054224881E-2</v>
      </c>
      <c r="M139" s="9">
        <f t="shared" ca="1" si="23"/>
        <v>4.3996542111255869E-3</v>
      </c>
      <c r="N139" s="9">
        <f t="shared" ca="1" si="23"/>
        <v>9.7139858598383356E-3</v>
      </c>
      <c r="O139" s="9">
        <f t="shared" ca="1" si="23"/>
        <v>1.7278659413949338E-2</v>
      </c>
      <c r="P139" s="9">
        <f t="shared" ca="1" si="23"/>
        <v>1.3228573791413442E-2</v>
      </c>
      <c r="Q139" s="9">
        <f t="shared" ca="1" si="23"/>
        <v>1.2379442100912005E-2</v>
      </c>
    </row>
    <row r="140" spans="1:17">
      <c r="A140" t="s">
        <v>204</v>
      </c>
      <c r="B140" s="1">
        <v>383</v>
      </c>
      <c r="C140" s="9">
        <f t="shared" si="14"/>
        <v>2.9591222143661336E-3</v>
      </c>
      <c r="D140" s="9">
        <f t="shared" ca="1" si="22"/>
        <v>1.5957978020955978E-2</v>
      </c>
      <c r="E140" s="9">
        <f t="shared" ca="1" si="22"/>
        <v>5.2222191057078688E-3</v>
      </c>
      <c r="F140" s="9">
        <f t="shared" ca="1" si="22"/>
        <v>-1.0889698950461182E-2</v>
      </c>
      <c r="G140" s="9">
        <f t="shared" ca="1" si="22"/>
        <v>-1.189165662082144E-4</v>
      </c>
      <c r="H140" s="9">
        <f t="shared" ca="1" si="22"/>
        <v>-3.1035565091669839E-2</v>
      </c>
      <c r="J140" t="s">
        <v>204</v>
      </c>
      <c r="K140" s="1">
        <v>210.14</v>
      </c>
      <c r="L140" s="9">
        <f t="shared" si="16"/>
        <v>2.3226371914106158E-2</v>
      </c>
      <c r="M140" s="9">
        <f t="shared" ca="1" si="23"/>
        <v>1.9720129986576861E-2</v>
      </c>
      <c r="N140" s="9">
        <f t="shared" ca="1" si="23"/>
        <v>-5.0637502958552514E-3</v>
      </c>
      <c r="O140" s="9">
        <f t="shared" ca="1" si="23"/>
        <v>-1.4983427876909369E-2</v>
      </c>
      <c r="P140" s="9">
        <f t="shared" ca="1" si="23"/>
        <v>-8.7558623537750645E-3</v>
      </c>
      <c r="Q140" s="9">
        <f t="shared" ca="1" si="23"/>
        <v>4.4318820428099022E-3</v>
      </c>
    </row>
    <row r="141" spans="1:17">
      <c r="A141" t="s">
        <v>205</v>
      </c>
      <c r="B141" s="1">
        <v>372.74</v>
      </c>
      <c r="C141" s="9">
        <f t="shared" si="14"/>
        <v>-2.6788511749347235E-2</v>
      </c>
      <c r="D141" s="9">
        <f t="shared" ca="1" si="22"/>
        <v>-2.4194856564879266E-2</v>
      </c>
      <c r="E141" s="9">
        <f t="shared" ca="1" si="22"/>
        <v>-1.9925595487402241E-2</v>
      </c>
      <c r="F141" s="9">
        <f t="shared" ca="1" si="22"/>
        <v>-2.2387292606609637E-2</v>
      </c>
      <c r="G141" s="9">
        <f t="shared" ca="1" si="22"/>
        <v>-9.9970745906314221E-3</v>
      </c>
      <c r="H141" s="9">
        <f t="shared" ca="1" si="22"/>
        <v>-2.1544962805172103E-2</v>
      </c>
      <c r="J141" t="s">
        <v>205</v>
      </c>
      <c r="K141" s="1">
        <v>207.24</v>
      </c>
      <c r="L141" s="9">
        <f t="shared" si="16"/>
        <v>-1.3800323593794506E-2</v>
      </c>
      <c r="M141" s="9">
        <f t="shared" ca="1" si="23"/>
        <v>-2.6985379206056672E-2</v>
      </c>
      <c r="N141" s="9">
        <f t="shared" ca="1" si="23"/>
        <v>-1.5656565079971537E-2</v>
      </c>
      <c r="O141" s="9">
        <f t="shared" ca="1" si="23"/>
        <v>-2.9817849571144795E-2</v>
      </c>
      <c r="P141" s="9">
        <f t="shared" ca="1" si="23"/>
        <v>-3.1350430605124525E-2</v>
      </c>
      <c r="Q141" s="9">
        <f t="shared" ca="1" si="23"/>
        <v>2.9960909713774259E-2</v>
      </c>
    </row>
    <row r="142" spans="1:17">
      <c r="A142" t="s">
        <v>206</v>
      </c>
      <c r="B142" s="1">
        <v>371.04</v>
      </c>
      <c r="C142" s="9">
        <f t="shared" si="14"/>
        <v>-4.5608198744432815E-3</v>
      </c>
      <c r="D142" s="9">
        <f t="shared" ca="1" si="22"/>
        <v>-8.7659865442185956E-5</v>
      </c>
      <c r="E142" s="9">
        <f t="shared" ca="1" si="22"/>
        <v>-1.5292659615478158E-2</v>
      </c>
      <c r="F142" s="9">
        <f t="shared" ca="1" si="22"/>
        <v>3.7201628837703331E-2</v>
      </c>
      <c r="G142" s="9">
        <f t="shared" ca="1" si="22"/>
        <v>-1.4471000214551773E-2</v>
      </c>
      <c r="H142" s="9">
        <f t="shared" ca="1" si="22"/>
        <v>-2.2481466617573064E-2</v>
      </c>
      <c r="J142" t="s">
        <v>206</v>
      </c>
      <c r="K142" s="1">
        <v>211.71</v>
      </c>
      <c r="L142" s="9">
        <f t="shared" si="16"/>
        <v>2.156919513607411E-2</v>
      </c>
      <c r="M142" s="9">
        <f t="shared" ca="1" si="23"/>
        <v>3.7319555673407338E-3</v>
      </c>
      <c r="N142" s="9">
        <f t="shared" ca="1" si="23"/>
        <v>1.8290607459920612E-2</v>
      </c>
      <c r="O142" s="9">
        <f t="shared" ca="1" si="23"/>
        <v>3.7706873533983769E-2</v>
      </c>
      <c r="P142" s="9">
        <f t="shared" ca="1" si="23"/>
        <v>-9.2201645648905955E-3</v>
      </c>
      <c r="Q142" s="9">
        <f t="shared" ca="1" si="23"/>
        <v>-9.719335575086939E-3</v>
      </c>
    </row>
    <row r="143" spans="1:17">
      <c r="A143" t="s">
        <v>207</v>
      </c>
      <c r="B143" s="1">
        <v>365.97</v>
      </c>
      <c r="C143" s="9">
        <f t="shared" si="14"/>
        <v>-1.3664294954721844E-2</v>
      </c>
      <c r="D143" s="9">
        <f t="shared" ca="1" si="22"/>
        <v>-6.8672792024147234E-3</v>
      </c>
      <c r="E143" s="9">
        <f t="shared" ca="1" si="22"/>
        <v>-1.9254146934611707E-2</v>
      </c>
      <c r="F143" s="9">
        <f t="shared" ca="1" si="22"/>
        <v>1.0291573368194794E-2</v>
      </c>
      <c r="G143" s="9">
        <f t="shared" ca="1" si="22"/>
        <v>-6.9123084504699433E-3</v>
      </c>
      <c r="H143" s="9">
        <f t="shared" ca="1" si="22"/>
        <v>-4.1767547663052428E-3</v>
      </c>
      <c r="J143" t="s">
        <v>207</v>
      </c>
      <c r="K143" s="1">
        <v>207.54</v>
      </c>
      <c r="L143" s="9">
        <f t="shared" si="16"/>
        <v>-1.969675499504046E-2</v>
      </c>
      <c r="M143" s="9">
        <f t="shared" ca="1" si="23"/>
        <v>-3.1641032875893895E-3</v>
      </c>
      <c r="N143" s="9">
        <f t="shared" ca="1" si="23"/>
        <v>4.3125775894200932E-3</v>
      </c>
      <c r="O143" s="9">
        <f t="shared" ca="1" si="23"/>
        <v>5.2122854600025012E-2</v>
      </c>
      <c r="P143" s="9">
        <f t="shared" ca="1" si="23"/>
        <v>-1.8566482052716798E-2</v>
      </c>
      <c r="Q143" s="9">
        <f t="shared" ca="1" si="23"/>
        <v>-7.1413475787097641E-2</v>
      </c>
    </row>
    <row r="144" spans="1:17">
      <c r="A144" t="s">
        <v>208</v>
      </c>
      <c r="B144" s="1">
        <v>356.77</v>
      </c>
      <c r="C144" s="9">
        <f t="shared" ref="C144:C207" si="24">(B144-B143)/B143</f>
        <v>-2.5138672568789915E-2</v>
      </c>
      <c r="D144" s="9">
        <f t="shared" ref="D144:H159" ca="1" si="25">NORMINV(RAND(), $C$6, $C$7)</f>
        <v>1.2178360560227362E-2</v>
      </c>
      <c r="E144" s="9">
        <f t="shared" ca="1" si="25"/>
        <v>-3.8595281455878414E-2</v>
      </c>
      <c r="F144" s="9">
        <f t="shared" ca="1" si="25"/>
        <v>7.2309521278625397E-3</v>
      </c>
      <c r="G144" s="9">
        <f t="shared" ca="1" si="25"/>
        <v>4.4982237672247037E-2</v>
      </c>
      <c r="H144" s="9">
        <f t="shared" ca="1" si="25"/>
        <v>-2.7110389593637332E-3</v>
      </c>
      <c r="J144" t="s">
        <v>208</v>
      </c>
      <c r="K144" s="1">
        <v>199.34</v>
      </c>
      <c r="L144" s="9">
        <f t="shared" ref="L144:L207" si="26">(K144-K143)/K143</f>
        <v>-3.9510455815746311E-2</v>
      </c>
      <c r="M144" s="9">
        <f t="shared" ref="M144:Q159" ca="1" si="27">NORMINV(RAND(), $L$6, $L$7)</f>
        <v>9.2610647689582611E-3</v>
      </c>
      <c r="N144" s="9">
        <f t="shared" ca="1" si="27"/>
        <v>1.1356033743149063E-2</v>
      </c>
      <c r="O144" s="9">
        <f t="shared" ca="1" si="27"/>
        <v>3.2055411813284237E-2</v>
      </c>
      <c r="P144" s="9">
        <f t="shared" ca="1" si="27"/>
        <v>-9.8632686340660893E-3</v>
      </c>
      <c r="Q144" s="9">
        <f t="shared" ca="1" si="27"/>
        <v>1.9828812725468342E-3</v>
      </c>
    </row>
    <row r="145" spans="1:17">
      <c r="A145" t="s">
        <v>209</v>
      </c>
      <c r="B145" s="1">
        <v>358.96</v>
      </c>
      <c r="C145" s="9">
        <f t="shared" si="24"/>
        <v>6.1384084984723994E-3</v>
      </c>
      <c r="D145" s="9">
        <f t="shared" ca="1" si="25"/>
        <v>1.2987993622221632E-2</v>
      </c>
      <c r="E145" s="9">
        <f t="shared" ca="1" si="25"/>
        <v>-1.8397871537670921E-2</v>
      </c>
      <c r="F145" s="9">
        <f t="shared" ca="1" si="25"/>
        <v>-1.77066735430375E-2</v>
      </c>
      <c r="G145" s="9">
        <f t="shared" ca="1" si="25"/>
        <v>-4.1377846126264432E-2</v>
      </c>
      <c r="H145" s="9">
        <f t="shared" ca="1" si="25"/>
        <v>3.1253539197098536E-2</v>
      </c>
      <c r="J145" t="s">
        <v>209</v>
      </c>
      <c r="K145" s="1">
        <v>200.95</v>
      </c>
      <c r="L145" s="9">
        <f t="shared" si="26"/>
        <v>8.0766529547506034E-3</v>
      </c>
      <c r="M145" s="9">
        <f t="shared" ca="1" si="27"/>
        <v>3.3455660004929888E-2</v>
      </c>
      <c r="N145" s="9">
        <f t="shared" ca="1" si="27"/>
        <v>1.7947890219017805E-2</v>
      </c>
      <c r="O145" s="9">
        <f t="shared" ca="1" si="27"/>
        <v>-4.4452875294443278E-3</v>
      </c>
      <c r="P145" s="9">
        <f t="shared" ca="1" si="27"/>
        <v>-9.2610496454080635E-4</v>
      </c>
      <c r="Q145" s="9">
        <f t="shared" ca="1" si="27"/>
        <v>8.9918587433404258E-3</v>
      </c>
    </row>
    <row r="146" spans="1:17">
      <c r="A146" t="s">
        <v>210</v>
      </c>
      <c r="B146" s="1">
        <v>370.17</v>
      </c>
      <c r="C146" s="9">
        <f t="shared" si="24"/>
        <v>3.1229106307109532E-2</v>
      </c>
      <c r="D146" s="9">
        <f t="shared" ca="1" si="25"/>
        <v>4.7911577512530145E-3</v>
      </c>
      <c r="E146" s="9">
        <f t="shared" ca="1" si="25"/>
        <v>1.0212808683635235E-3</v>
      </c>
      <c r="F146" s="9">
        <f t="shared" ca="1" si="25"/>
        <v>5.4566400355204065E-3</v>
      </c>
      <c r="G146" s="9">
        <f t="shared" ca="1" si="25"/>
        <v>1.6213602879224191E-2</v>
      </c>
      <c r="H146" s="9">
        <f t="shared" ca="1" si="25"/>
        <v>5.6768971859992049E-3</v>
      </c>
      <c r="J146" t="s">
        <v>210</v>
      </c>
      <c r="K146" s="1">
        <v>208.27</v>
      </c>
      <c r="L146" s="9">
        <f t="shared" si="26"/>
        <v>3.6426971883553233E-2</v>
      </c>
      <c r="M146" s="9">
        <f t="shared" ca="1" si="27"/>
        <v>5.401800165439812E-3</v>
      </c>
      <c r="N146" s="9">
        <f t="shared" ca="1" si="27"/>
        <v>-6.4057582339973693E-3</v>
      </c>
      <c r="O146" s="9">
        <f t="shared" ca="1" si="27"/>
        <v>8.0665470944657706E-3</v>
      </c>
      <c r="P146" s="9">
        <f t="shared" ca="1" si="27"/>
        <v>-6.5777955631461374E-3</v>
      </c>
      <c r="Q146" s="9">
        <f t="shared" ca="1" si="27"/>
        <v>-6.4416343764472903E-2</v>
      </c>
    </row>
    <row r="147" spans="1:17">
      <c r="A147" t="s">
        <v>211</v>
      </c>
      <c r="B147" s="1">
        <v>369.37</v>
      </c>
      <c r="C147" s="9">
        <f t="shared" si="24"/>
        <v>-2.1611691925331909E-3</v>
      </c>
      <c r="D147" s="9">
        <f t="shared" ca="1" si="25"/>
        <v>2.4537112200134123E-3</v>
      </c>
      <c r="E147" s="9">
        <f t="shared" ca="1" si="25"/>
        <v>1.5424213863780324E-2</v>
      </c>
      <c r="F147" s="9">
        <f t="shared" ca="1" si="25"/>
        <v>1.0383338895112804E-2</v>
      </c>
      <c r="G147" s="9">
        <f t="shared" ca="1" si="25"/>
        <v>1.1977339858206431E-2</v>
      </c>
      <c r="H147" s="9">
        <f t="shared" ca="1" si="25"/>
        <v>-8.1223622753432423E-3</v>
      </c>
      <c r="J147" t="s">
        <v>211</v>
      </c>
      <c r="K147" s="1">
        <v>210.57</v>
      </c>
      <c r="L147" s="9">
        <f t="shared" si="26"/>
        <v>1.1043357180582815E-2</v>
      </c>
      <c r="M147" s="9">
        <f t="shared" ca="1" si="27"/>
        <v>-1.2325530949286389E-2</v>
      </c>
      <c r="N147" s="9">
        <f t="shared" ca="1" si="27"/>
        <v>-2.3473665262996633E-2</v>
      </c>
      <c r="O147" s="9">
        <f t="shared" ca="1" si="27"/>
        <v>-8.7097671608993082E-4</v>
      </c>
      <c r="P147" s="9">
        <f t="shared" ca="1" si="27"/>
        <v>4.5316091610119093E-3</v>
      </c>
      <c r="Q147" s="9">
        <f t="shared" ca="1" si="27"/>
        <v>-1.5020159370236742E-2</v>
      </c>
    </row>
    <row r="148" spans="1:17">
      <c r="A148" t="s">
        <v>212</v>
      </c>
      <c r="B148" s="1">
        <v>373.46</v>
      </c>
      <c r="C148" s="9">
        <f t="shared" si="24"/>
        <v>1.1072907924303476E-2</v>
      </c>
      <c r="D148" s="9">
        <f t="shared" ca="1" si="25"/>
        <v>-2.6207406707765363E-2</v>
      </c>
      <c r="E148" s="9">
        <f t="shared" ca="1" si="25"/>
        <v>5.2317149126468966E-3</v>
      </c>
      <c r="F148" s="9">
        <f t="shared" ca="1" si="25"/>
        <v>-7.2709804909194939E-4</v>
      </c>
      <c r="G148" s="9">
        <f t="shared" ca="1" si="25"/>
        <v>-1.5536879562854341E-2</v>
      </c>
      <c r="H148" s="9">
        <f t="shared" ca="1" si="25"/>
        <v>3.2860008941401134E-2</v>
      </c>
      <c r="J148" t="s">
        <v>212</v>
      </c>
      <c r="K148" s="1">
        <v>209.77</v>
      </c>
      <c r="L148" s="9">
        <f t="shared" si="26"/>
        <v>-3.7992116635797261E-3</v>
      </c>
      <c r="M148" s="9">
        <f t="shared" ca="1" si="27"/>
        <v>-1.8441052471398905E-2</v>
      </c>
      <c r="N148" s="9">
        <f t="shared" ca="1" si="27"/>
        <v>1.0425319319592044E-2</v>
      </c>
      <c r="O148" s="9">
        <f t="shared" ca="1" si="27"/>
        <v>4.1358791803010136E-2</v>
      </c>
      <c r="P148" s="9">
        <f t="shared" ca="1" si="27"/>
        <v>-2.0572441570471358E-2</v>
      </c>
      <c r="Q148" s="9">
        <f t="shared" ca="1" si="27"/>
        <v>-1.2157057035380069E-2</v>
      </c>
    </row>
    <row r="149" spans="1:17">
      <c r="A149" t="s">
        <v>213</v>
      </c>
      <c r="B149" s="1">
        <v>372.88</v>
      </c>
      <c r="C149" s="9">
        <f t="shared" si="24"/>
        <v>-1.5530445027579502E-3</v>
      </c>
      <c r="D149" s="9">
        <f t="shared" ca="1" si="25"/>
        <v>1.9287134451914267E-2</v>
      </c>
      <c r="E149" s="9">
        <f t="shared" ca="1" si="25"/>
        <v>-1.3597837413750341E-2</v>
      </c>
      <c r="F149" s="9">
        <f t="shared" ca="1" si="25"/>
        <v>-3.6576464788483007E-4</v>
      </c>
      <c r="G149" s="9">
        <f t="shared" ca="1" si="25"/>
        <v>5.067086315465338E-3</v>
      </c>
      <c r="H149" s="9">
        <f t="shared" ca="1" si="25"/>
        <v>-1.7850105704536687E-2</v>
      </c>
      <c r="J149" t="s">
        <v>213</v>
      </c>
      <c r="K149" s="1">
        <v>212.79</v>
      </c>
      <c r="L149" s="9">
        <f t="shared" si="26"/>
        <v>1.4396720217380853E-2</v>
      </c>
      <c r="M149" s="9">
        <f t="shared" ca="1" si="27"/>
        <v>-1.2676375059106834E-3</v>
      </c>
      <c r="N149" s="9">
        <f t="shared" ca="1" si="27"/>
        <v>7.6365067897558973E-3</v>
      </c>
      <c r="O149" s="9">
        <f t="shared" ca="1" si="27"/>
        <v>9.5004837912251935E-3</v>
      </c>
      <c r="P149" s="9">
        <f t="shared" ca="1" si="27"/>
        <v>-4.4217130384596676E-3</v>
      </c>
      <c r="Q149" s="9">
        <f t="shared" ca="1" si="27"/>
        <v>-4.4910431435533065E-3</v>
      </c>
    </row>
    <row r="150" spans="1:17">
      <c r="A150" t="s">
        <v>214</v>
      </c>
      <c r="B150" s="1">
        <v>372.29</v>
      </c>
      <c r="C150" s="9">
        <f t="shared" si="24"/>
        <v>-1.5822784810125912E-3</v>
      </c>
      <c r="D150" s="9">
        <f t="shared" ca="1" si="25"/>
        <v>-2.1547812640311026E-2</v>
      </c>
      <c r="E150" s="9">
        <f t="shared" ca="1" si="25"/>
        <v>-2.7878212233649061E-2</v>
      </c>
      <c r="F150" s="9">
        <f t="shared" ca="1" si="25"/>
        <v>2.7769521492234307E-2</v>
      </c>
      <c r="G150" s="9">
        <f t="shared" ca="1" si="25"/>
        <v>-1.6743885524752783E-2</v>
      </c>
      <c r="H150" s="9">
        <f t="shared" ca="1" si="25"/>
        <v>9.3568477007796268E-3</v>
      </c>
      <c r="J150" t="s">
        <v>214</v>
      </c>
      <c r="K150" s="1">
        <v>213.77</v>
      </c>
      <c r="L150" s="9">
        <f t="shared" si="26"/>
        <v>4.6054795808074542E-3</v>
      </c>
      <c r="M150" s="9">
        <f t="shared" ca="1" si="27"/>
        <v>6.6004018512009254E-3</v>
      </c>
      <c r="N150" s="9">
        <f t="shared" ca="1" si="27"/>
        <v>-5.79701616104569E-2</v>
      </c>
      <c r="O150" s="9">
        <f t="shared" ca="1" si="27"/>
        <v>-6.9576793464533814E-4</v>
      </c>
      <c r="P150" s="9">
        <f t="shared" ca="1" si="27"/>
        <v>-3.1092004651665266E-2</v>
      </c>
      <c r="Q150" s="9">
        <f t="shared" ca="1" si="27"/>
        <v>2.4341770073410672E-2</v>
      </c>
    </row>
    <row r="151" spans="1:17">
      <c r="A151" t="s">
        <v>215</v>
      </c>
      <c r="B151" s="1">
        <v>374.33</v>
      </c>
      <c r="C151" s="9">
        <f t="shared" si="24"/>
        <v>5.4795992371537341E-3</v>
      </c>
      <c r="D151" s="9">
        <f t="shared" ca="1" si="25"/>
        <v>-3.0001736832527773E-3</v>
      </c>
      <c r="E151" s="9">
        <f t="shared" ca="1" si="25"/>
        <v>3.2131649685373437E-2</v>
      </c>
      <c r="F151" s="9">
        <f t="shared" ca="1" si="25"/>
        <v>-1.3369934786959664E-2</v>
      </c>
      <c r="G151" s="9">
        <f t="shared" ca="1" si="25"/>
        <v>2.0631113129070768E-3</v>
      </c>
      <c r="H151" s="9">
        <f t="shared" ca="1" si="25"/>
        <v>2.7610698185376713E-3</v>
      </c>
      <c r="J151" t="s">
        <v>215</v>
      </c>
      <c r="K151" s="1">
        <v>221.25</v>
      </c>
      <c r="L151" s="9">
        <f t="shared" si="26"/>
        <v>3.4990878046498523E-2</v>
      </c>
      <c r="M151" s="9">
        <f t="shared" ca="1" si="27"/>
        <v>-9.5706547170910353E-4</v>
      </c>
      <c r="N151" s="9">
        <f t="shared" ca="1" si="27"/>
        <v>4.8239475364254929E-3</v>
      </c>
      <c r="O151" s="9">
        <f t="shared" ca="1" si="27"/>
        <v>-9.7260015433836937E-3</v>
      </c>
      <c r="P151" s="9">
        <f t="shared" ca="1" si="27"/>
        <v>-8.9412675964175223E-3</v>
      </c>
      <c r="Q151" s="9">
        <f t="shared" ca="1" si="27"/>
        <v>3.631707624673377E-4</v>
      </c>
    </row>
    <row r="152" spans="1:17">
      <c r="A152" t="s">
        <v>216</v>
      </c>
      <c r="B152" s="1">
        <v>373.07</v>
      </c>
      <c r="C152" s="9">
        <f t="shared" si="24"/>
        <v>-3.3660139449148904E-3</v>
      </c>
      <c r="D152" s="9">
        <f t="shared" ca="1" si="25"/>
        <v>6.1403433131705888E-3</v>
      </c>
      <c r="E152" s="9">
        <f t="shared" ca="1" si="25"/>
        <v>-4.7349498324447429E-3</v>
      </c>
      <c r="F152" s="9">
        <f t="shared" ca="1" si="25"/>
        <v>1.7763390979987557E-2</v>
      </c>
      <c r="G152" s="9">
        <f t="shared" ca="1" si="25"/>
        <v>-9.3732570398245008E-3</v>
      </c>
      <c r="H152" s="9">
        <f t="shared" ca="1" si="25"/>
        <v>-4.5739510385088208E-2</v>
      </c>
      <c r="J152" t="s">
        <v>216</v>
      </c>
      <c r="K152" s="1">
        <v>233.65</v>
      </c>
      <c r="L152" s="9">
        <f t="shared" si="26"/>
        <v>5.6045197740113017E-2</v>
      </c>
      <c r="M152" s="9">
        <f t="shared" ca="1" si="27"/>
        <v>3.0025958420453669E-3</v>
      </c>
      <c r="N152" s="9">
        <f t="shared" ca="1" si="27"/>
        <v>-4.5616566197120845E-2</v>
      </c>
      <c r="O152" s="9">
        <f t="shared" ca="1" si="27"/>
        <v>-3.7844656981871241E-2</v>
      </c>
      <c r="P152" s="9">
        <f t="shared" ca="1" si="27"/>
        <v>-9.6188752742214691E-3</v>
      </c>
      <c r="Q152" s="9">
        <f t="shared" ca="1" si="27"/>
        <v>7.1520324450364547E-3</v>
      </c>
    </row>
    <row r="153" spans="1:17">
      <c r="A153" t="s">
        <v>217</v>
      </c>
      <c r="B153" s="1">
        <v>370.87</v>
      </c>
      <c r="C153" s="9">
        <f t="shared" si="24"/>
        <v>-5.8970166456696832E-3</v>
      </c>
      <c r="D153" s="9">
        <f t="shared" ca="1" si="25"/>
        <v>5.2370107806290138E-2</v>
      </c>
      <c r="E153" s="9">
        <f t="shared" ca="1" si="25"/>
        <v>5.320187316886763E-3</v>
      </c>
      <c r="F153" s="9">
        <f t="shared" ca="1" si="25"/>
        <v>-1.07575995557119E-2</v>
      </c>
      <c r="G153" s="9">
        <f t="shared" ca="1" si="25"/>
        <v>-3.1623933265060716E-2</v>
      </c>
      <c r="H153" s="9">
        <f t="shared" ca="1" si="25"/>
        <v>3.0888558165958688E-3</v>
      </c>
      <c r="J153" t="s">
        <v>217</v>
      </c>
      <c r="K153" s="1">
        <v>238.38</v>
      </c>
      <c r="L153" s="9">
        <f t="shared" si="26"/>
        <v>2.024395463299803E-2</v>
      </c>
      <c r="M153" s="9">
        <f t="shared" ca="1" si="27"/>
        <v>2.0906660327956227E-3</v>
      </c>
      <c r="N153" s="9">
        <f t="shared" ca="1" si="27"/>
        <v>3.7298338613728065E-3</v>
      </c>
      <c r="O153" s="9">
        <f t="shared" ca="1" si="27"/>
        <v>5.1758315000050639E-3</v>
      </c>
      <c r="P153" s="9">
        <f t="shared" ca="1" si="27"/>
        <v>2.8278466371069549E-2</v>
      </c>
      <c r="Q153" s="9">
        <f t="shared" ca="1" si="27"/>
        <v>-2.4457818630872506E-2</v>
      </c>
    </row>
    <row r="154" spans="1:17">
      <c r="A154" t="s">
        <v>218</v>
      </c>
      <c r="B154" s="1">
        <v>384.37</v>
      </c>
      <c r="C154" s="9">
        <f t="shared" si="24"/>
        <v>3.6400895192385471E-2</v>
      </c>
      <c r="D154" s="9">
        <f t="shared" ca="1" si="25"/>
        <v>1.2511217339050983E-2</v>
      </c>
      <c r="E154" s="9">
        <f t="shared" ca="1" si="25"/>
        <v>3.6552270679383034E-2</v>
      </c>
      <c r="F154" s="9">
        <f t="shared" ca="1" si="25"/>
        <v>-1.6567108331597129E-2</v>
      </c>
      <c r="G154" s="9">
        <f t="shared" ca="1" si="25"/>
        <v>1.7327646829272455E-2</v>
      </c>
      <c r="H154" s="9">
        <f t="shared" ca="1" si="25"/>
        <v>1.5142113106541507E-2</v>
      </c>
      <c r="J154" t="s">
        <v>218</v>
      </c>
      <c r="K154" s="1">
        <v>239.89</v>
      </c>
      <c r="L154" s="9">
        <f t="shared" si="26"/>
        <v>6.3344240288614436E-3</v>
      </c>
      <c r="M154" s="9">
        <f t="shared" ca="1" si="27"/>
        <v>-3.5969838995271682E-2</v>
      </c>
      <c r="N154" s="9">
        <f t="shared" ca="1" si="27"/>
        <v>-8.0788278226939375E-3</v>
      </c>
      <c r="O154" s="9">
        <f t="shared" ca="1" si="27"/>
        <v>-1.4611148490890664E-2</v>
      </c>
      <c r="P154" s="9">
        <f t="shared" ca="1" si="27"/>
        <v>1.4502685516763102E-2</v>
      </c>
      <c r="Q154" s="9">
        <f t="shared" ca="1" si="27"/>
        <v>6.8480115566927034E-3</v>
      </c>
    </row>
    <row r="155" spans="1:17">
      <c r="A155" t="s">
        <v>219</v>
      </c>
      <c r="B155" s="1">
        <v>393.11</v>
      </c>
      <c r="C155" s="9">
        <f t="shared" si="24"/>
        <v>2.2738507167572936E-2</v>
      </c>
      <c r="D155" s="9">
        <f t="shared" ca="1" si="25"/>
        <v>1.9769476934096725E-2</v>
      </c>
      <c r="E155" s="9">
        <f t="shared" ca="1" si="25"/>
        <v>-1.9866587092464624E-2</v>
      </c>
      <c r="F155" s="9">
        <f t="shared" ca="1" si="25"/>
        <v>2.4535214209625449E-2</v>
      </c>
      <c r="G155" s="9">
        <f t="shared" ca="1" si="25"/>
        <v>3.0781681607781899E-2</v>
      </c>
      <c r="H155" s="9">
        <f t="shared" ca="1" si="25"/>
        <v>1.3178846980130266E-2</v>
      </c>
      <c r="J155" t="s">
        <v>219</v>
      </c>
      <c r="K155" s="1">
        <v>249.02</v>
      </c>
      <c r="L155" s="9">
        <f t="shared" si="26"/>
        <v>3.8059110425611838E-2</v>
      </c>
      <c r="M155" s="9">
        <f t="shared" ca="1" si="27"/>
        <v>2.3085729104507395E-2</v>
      </c>
      <c r="N155" s="9">
        <f t="shared" ca="1" si="27"/>
        <v>1.7568570381685203E-2</v>
      </c>
      <c r="O155" s="9">
        <f t="shared" ca="1" si="27"/>
        <v>-1.0819079548874289E-2</v>
      </c>
      <c r="P155" s="9">
        <f t="shared" ca="1" si="27"/>
        <v>-1.5769563389383359E-2</v>
      </c>
      <c r="Q155" s="9">
        <f t="shared" ca="1" si="27"/>
        <v>5.7608546092254177E-3</v>
      </c>
    </row>
    <row r="156" spans="1:17">
      <c r="A156" t="s">
        <v>220</v>
      </c>
      <c r="B156" s="1">
        <v>411.22</v>
      </c>
      <c r="C156" s="9">
        <f t="shared" si="24"/>
        <v>4.6068530436773454E-2</v>
      </c>
      <c r="D156" s="9">
        <f t="shared" ca="1" si="25"/>
        <v>2.7696039239641181E-2</v>
      </c>
      <c r="E156" s="9">
        <f t="shared" ca="1" si="25"/>
        <v>-3.3086084690855826E-2</v>
      </c>
      <c r="F156" s="9">
        <f t="shared" ca="1" si="25"/>
        <v>-6.4737629040328877E-3</v>
      </c>
      <c r="G156" s="9">
        <f t="shared" ca="1" si="25"/>
        <v>-4.8559997241476041E-2</v>
      </c>
      <c r="H156" s="9">
        <f t="shared" ca="1" si="25"/>
        <v>2.0587585311104894E-2</v>
      </c>
      <c r="J156" t="s">
        <v>220</v>
      </c>
      <c r="K156" s="1">
        <v>248.5</v>
      </c>
      <c r="L156" s="9">
        <f t="shared" si="26"/>
        <v>-2.0881856878965954E-3</v>
      </c>
      <c r="M156" s="9">
        <f t="shared" ca="1" si="27"/>
        <v>1.0330330110915505E-2</v>
      </c>
      <c r="N156" s="9">
        <f t="shared" ca="1" si="27"/>
        <v>-1.1707243638216963E-2</v>
      </c>
      <c r="O156" s="9">
        <f t="shared" ca="1" si="27"/>
        <v>-1.2213211710028695E-2</v>
      </c>
      <c r="P156" s="9">
        <f t="shared" ca="1" si="27"/>
        <v>1.0934667091386489E-2</v>
      </c>
      <c r="Q156" s="9">
        <f t="shared" ca="1" si="27"/>
        <v>-1.3257816721088382E-2</v>
      </c>
    </row>
    <row r="157" spans="1:17">
      <c r="A157" t="s">
        <v>221</v>
      </c>
      <c r="B157" s="1">
        <v>420.26</v>
      </c>
      <c r="C157" s="9">
        <f t="shared" si="24"/>
        <v>2.1983366567773849E-2</v>
      </c>
      <c r="D157" s="9">
        <f t="shared" ca="1" si="25"/>
        <v>-2.9821995795103886E-2</v>
      </c>
      <c r="E157" s="9">
        <f t="shared" ca="1" si="25"/>
        <v>1.4699795999056114E-2</v>
      </c>
      <c r="F157" s="9">
        <f t="shared" ca="1" si="25"/>
        <v>-2.4894249480958596E-2</v>
      </c>
      <c r="G157" s="9">
        <f t="shared" ca="1" si="25"/>
        <v>7.8594349697992888E-4</v>
      </c>
      <c r="H157" s="9">
        <f t="shared" ca="1" si="25"/>
        <v>3.0633006698217516E-2</v>
      </c>
      <c r="J157" t="s">
        <v>221</v>
      </c>
      <c r="K157" s="1">
        <v>249.7</v>
      </c>
      <c r="L157" s="9">
        <f t="shared" si="26"/>
        <v>4.828973843058304E-3</v>
      </c>
      <c r="M157" s="9">
        <f t="shared" ca="1" si="27"/>
        <v>-2.5337661780443641E-2</v>
      </c>
      <c r="N157" s="9">
        <f t="shared" ca="1" si="27"/>
        <v>8.2105912792294206E-3</v>
      </c>
      <c r="O157" s="9">
        <f t="shared" ca="1" si="27"/>
        <v>-3.356854794345217E-3</v>
      </c>
      <c r="P157" s="9">
        <f t="shared" ca="1" si="27"/>
        <v>-1.376654334742187E-2</v>
      </c>
      <c r="Q157" s="9">
        <f t="shared" ca="1" si="27"/>
        <v>3.6792050562438538E-3</v>
      </c>
    </row>
    <row r="158" spans="1:17">
      <c r="A158" t="s">
        <v>222</v>
      </c>
      <c r="B158" s="1">
        <v>422.79</v>
      </c>
      <c r="C158" s="9">
        <f t="shared" si="24"/>
        <v>6.0200828058821435E-3</v>
      </c>
      <c r="D158" s="9">
        <f t="shared" ca="1" si="25"/>
        <v>-1.438861237085007E-2</v>
      </c>
      <c r="E158" s="9">
        <f t="shared" ca="1" si="25"/>
        <v>3.2301347059948159E-2</v>
      </c>
      <c r="F158" s="9">
        <f t="shared" ca="1" si="25"/>
        <v>6.7226514858599834E-4</v>
      </c>
      <c r="G158" s="9">
        <f t="shared" ca="1" si="25"/>
        <v>1.4748721250201052E-2</v>
      </c>
      <c r="H158" s="9">
        <f t="shared" ca="1" si="25"/>
        <v>2.7060436224015556E-2</v>
      </c>
      <c r="J158" t="s">
        <v>222</v>
      </c>
      <c r="K158" s="1">
        <v>250.56</v>
      </c>
      <c r="L158" s="9">
        <f t="shared" si="26"/>
        <v>3.4441329595515167E-3</v>
      </c>
      <c r="M158" s="9">
        <f t="shared" ca="1" si="27"/>
        <v>-1.5278529529642072E-2</v>
      </c>
      <c r="N158" s="9">
        <f t="shared" ca="1" si="27"/>
        <v>-2.9049647817785142E-3</v>
      </c>
      <c r="O158" s="9">
        <f t="shared" ca="1" si="27"/>
        <v>-7.0745351576708537E-3</v>
      </c>
      <c r="P158" s="9">
        <f t="shared" ca="1" si="27"/>
        <v>-1.5300665290830781E-2</v>
      </c>
      <c r="Q158" s="9">
        <f t="shared" ca="1" si="27"/>
        <v>-3.0834971663573175E-2</v>
      </c>
    </row>
    <row r="159" spans="1:17">
      <c r="A159" t="s">
        <v>223</v>
      </c>
      <c r="B159" s="1">
        <v>418.07</v>
      </c>
      <c r="C159" s="9">
        <f t="shared" si="24"/>
        <v>-1.1163934813973904E-2</v>
      </c>
      <c r="D159" s="9">
        <f t="shared" ca="1" si="25"/>
        <v>-5.1679684489638836E-3</v>
      </c>
      <c r="E159" s="9">
        <f t="shared" ca="1" si="25"/>
        <v>5.5765277424643569E-3</v>
      </c>
      <c r="F159" s="9">
        <f t="shared" ca="1" si="25"/>
        <v>-2.8176784644940146E-2</v>
      </c>
      <c r="G159" s="9">
        <f t="shared" ca="1" si="25"/>
        <v>4.8838914551513444E-4</v>
      </c>
      <c r="H159" s="9">
        <f t="shared" ca="1" si="25"/>
        <v>1.3467593909644891E-2</v>
      </c>
      <c r="J159" t="s">
        <v>223</v>
      </c>
      <c r="K159" s="1">
        <v>248.28</v>
      </c>
      <c r="L159" s="9">
        <f t="shared" si="26"/>
        <v>-9.0996168582375518E-3</v>
      </c>
      <c r="M159" s="9">
        <f t="shared" ca="1" si="27"/>
        <v>-1.0573283802201286E-2</v>
      </c>
      <c r="N159" s="9">
        <f t="shared" ca="1" si="27"/>
        <v>-4.5865607698681293E-3</v>
      </c>
      <c r="O159" s="9">
        <f t="shared" ca="1" si="27"/>
        <v>2.3022588687977613E-3</v>
      </c>
      <c r="P159" s="9">
        <f t="shared" ca="1" si="27"/>
        <v>1.9582827465239577E-2</v>
      </c>
      <c r="Q159" s="9">
        <f t="shared" ca="1" si="27"/>
        <v>-5.8940676051218673E-2</v>
      </c>
    </row>
    <row r="160" spans="1:17">
      <c r="A160" t="s">
        <v>224</v>
      </c>
      <c r="B160" s="1">
        <v>424.16</v>
      </c>
      <c r="C160" s="9">
        <f t="shared" si="24"/>
        <v>1.4566938550960442E-2</v>
      </c>
      <c r="D160" s="9">
        <f t="shared" ref="D160:H175" ca="1" si="28">NORMINV(RAND(), $C$6, $C$7)</f>
        <v>-3.0346310124150001E-2</v>
      </c>
      <c r="E160" s="9">
        <f t="shared" ca="1" si="28"/>
        <v>-1.1076649409119297E-2</v>
      </c>
      <c r="F160" s="9">
        <f t="shared" ca="1" si="28"/>
        <v>-3.8797226699154959E-3</v>
      </c>
      <c r="G160" s="9">
        <f t="shared" ca="1" si="28"/>
        <v>-6.3606494331848572E-3</v>
      </c>
      <c r="H160" s="9">
        <f t="shared" ca="1" si="28"/>
        <v>-2.4096123686014204E-3</v>
      </c>
      <c r="J160" t="s">
        <v>224</v>
      </c>
      <c r="K160" s="1">
        <v>249.91</v>
      </c>
      <c r="L160" s="9">
        <f t="shared" si="26"/>
        <v>6.5651683583051214E-3</v>
      </c>
      <c r="M160" s="9">
        <f t="shared" ref="M160:Q175" ca="1" si="29">NORMINV(RAND(), $L$6, $L$7)</f>
        <v>8.5038867049329336E-3</v>
      </c>
      <c r="N160" s="9">
        <f t="shared" ca="1" si="29"/>
        <v>-1.9780666674508906E-2</v>
      </c>
      <c r="O160" s="9">
        <f t="shared" ca="1" si="29"/>
        <v>-4.0101327953096406E-3</v>
      </c>
      <c r="P160" s="9">
        <f t="shared" ca="1" si="29"/>
        <v>-4.1750197367833537E-2</v>
      </c>
      <c r="Q160" s="9">
        <f t="shared" ca="1" si="29"/>
        <v>4.6169776904334478E-2</v>
      </c>
    </row>
    <row r="161" spans="1:17">
      <c r="A161" t="s">
        <v>225</v>
      </c>
      <c r="B161" s="1">
        <v>432.92</v>
      </c>
      <c r="C161" s="9">
        <f t="shared" si="24"/>
        <v>2.0652583930592206E-2</v>
      </c>
      <c r="D161" s="9">
        <f t="shared" ca="1" si="28"/>
        <v>3.0808567789795394E-2</v>
      </c>
      <c r="E161" s="9">
        <f t="shared" ca="1" si="28"/>
        <v>-7.8695261575670115E-3</v>
      </c>
      <c r="F161" s="9">
        <f t="shared" ca="1" si="28"/>
        <v>-2.6258096807731308E-3</v>
      </c>
      <c r="G161" s="9">
        <f t="shared" ca="1" si="28"/>
        <v>2.6474454070609187E-2</v>
      </c>
      <c r="H161" s="9">
        <f t="shared" ca="1" si="28"/>
        <v>1.83943443812715E-2</v>
      </c>
      <c r="J161" t="s">
        <v>225</v>
      </c>
      <c r="K161" s="1">
        <v>255.36</v>
      </c>
      <c r="L161" s="9">
        <f t="shared" si="26"/>
        <v>2.1807850826297534E-2</v>
      </c>
      <c r="M161" s="9">
        <f t="shared" ca="1" si="29"/>
        <v>-1.273821734166969E-2</v>
      </c>
      <c r="N161" s="9">
        <f t="shared" ca="1" si="29"/>
        <v>-4.1871089285716784E-2</v>
      </c>
      <c r="O161" s="9">
        <f t="shared" ca="1" si="29"/>
        <v>-2.1427211698752387E-3</v>
      </c>
      <c r="P161" s="9">
        <f t="shared" ca="1" si="29"/>
        <v>1.1191272584253837E-2</v>
      </c>
      <c r="Q161" s="9">
        <f t="shared" ca="1" si="29"/>
        <v>5.601490366022842E-3</v>
      </c>
    </row>
    <row r="162" spans="1:17">
      <c r="A162" t="s">
        <v>226</v>
      </c>
      <c r="B162" s="1">
        <v>415.75</v>
      </c>
      <c r="C162" s="9">
        <f t="shared" si="24"/>
        <v>-3.9660907326988855E-2</v>
      </c>
      <c r="D162" s="9">
        <f t="shared" ca="1" si="28"/>
        <v>1.8455718709013554E-3</v>
      </c>
      <c r="E162" s="9">
        <f t="shared" ca="1" si="28"/>
        <v>-1.9965134452069964E-2</v>
      </c>
      <c r="F162" s="9">
        <f t="shared" ca="1" si="28"/>
        <v>-3.6671530162777771E-2</v>
      </c>
      <c r="G162" s="9">
        <f t="shared" ca="1" si="28"/>
        <v>-1.9242068195840525E-3</v>
      </c>
      <c r="H162" s="9">
        <f t="shared" ca="1" si="28"/>
        <v>-1.1690814040867852E-2</v>
      </c>
      <c r="J162" t="s">
        <v>226</v>
      </c>
      <c r="K162" s="1">
        <v>255.08</v>
      </c>
      <c r="L162" s="9">
        <f t="shared" si="26"/>
        <v>-1.0964912280701799E-3</v>
      </c>
      <c r="M162" s="9">
        <f t="shared" ca="1" si="29"/>
        <v>7.3998988438478356E-3</v>
      </c>
      <c r="N162" s="9">
        <f t="shared" ca="1" si="29"/>
        <v>4.4156685727188394E-2</v>
      </c>
      <c r="O162" s="9">
        <f t="shared" ca="1" si="29"/>
        <v>-1.0936535887781169E-2</v>
      </c>
      <c r="P162" s="9">
        <f t="shared" ca="1" si="29"/>
        <v>-5.5123320993316271E-3</v>
      </c>
      <c r="Q162" s="9">
        <f t="shared" ca="1" si="29"/>
        <v>-1.6454869610822261E-2</v>
      </c>
    </row>
    <row r="163" spans="1:17">
      <c r="A163" t="s">
        <v>227</v>
      </c>
      <c r="B163" s="1">
        <v>424.62</v>
      </c>
      <c r="C163" s="9">
        <f t="shared" si="24"/>
        <v>2.133493686109442E-2</v>
      </c>
      <c r="D163" s="9">
        <f t="shared" ca="1" si="28"/>
        <v>-1.8957179474612649E-2</v>
      </c>
      <c r="E163" s="9">
        <f t="shared" ca="1" si="28"/>
        <v>-3.0710971027754523E-3</v>
      </c>
      <c r="F163" s="9">
        <f t="shared" ca="1" si="28"/>
        <v>4.4895400612916553E-4</v>
      </c>
      <c r="G163" s="9">
        <f t="shared" ca="1" si="28"/>
        <v>-1.5755460788585522E-2</v>
      </c>
      <c r="H163" s="9">
        <f t="shared" ca="1" si="28"/>
        <v>9.7163880746064786E-4</v>
      </c>
      <c r="J163" t="s">
        <v>227</v>
      </c>
      <c r="K163" s="1">
        <v>263.99</v>
      </c>
      <c r="L163" s="9">
        <f t="shared" si="26"/>
        <v>3.4930217970832664E-2</v>
      </c>
      <c r="M163" s="9">
        <f t="shared" ca="1" si="29"/>
        <v>8.8681255114892604E-5</v>
      </c>
      <c r="N163" s="9">
        <f t="shared" ca="1" si="29"/>
        <v>-5.3215642175167156E-3</v>
      </c>
      <c r="O163" s="9">
        <f t="shared" ca="1" si="29"/>
        <v>3.7711804967056242E-2</v>
      </c>
      <c r="P163" s="9">
        <f t="shared" ca="1" si="29"/>
        <v>-9.1402994625703303E-3</v>
      </c>
      <c r="Q163" s="9">
        <f t="shared" ca="1" si="29"/>
        <v>-1.1266509883723427E-2</v>
      </c>
    </row>
    <row r="164" spans="1:17">
      <c r="A164" t="s">
        <v>228</v>
      </c>
      <c r="B164" s="1">
        <v>424.82</v>
      </c>
      <c r="C164" s="9">
        <f t="shared" si="24"/>
        <v>4.7100937308649767E-4</v>
      </c>
      <c r="D164" s="9">
        <f t="shared" ca="1" si="28"/>
        <v>-3.3116559885390383E-2</v>
      </c>
      <c r="E164" s="9">
        <f t="shared" ca="1" si="28"/>
        <v>-2.3788059888357773E-2</v>
      </c>
      <c r="F164" s="9">
        <f t="shared" ca="1" si="28"/>
        <v>-4.8128632534705776E-3</v>
      </c>
      <c r="G164" s="9">
        <f t="shared" ca="1" si="28"/>
        <v>1.7898047574549138E-2</v>
      </c>
      <c r="H164" s="9">
        <f t="shared" ca="1" si="28"/>
        <v>1.4391133047267666E-2</v>
      </c>
      <c r="J164" t="s">
        <v>228</v>
      </c>
      <c r="K164" s="1">
        <v>261.12</v>
      </c>
      <c r="L164" s="9">
        <f t="shared" si="26"/>
        <v>-1.0871623925148696E-2</v>
      </c>
      <c r="M164" s="9">
        <f t="shared" ca="1" si="29"/>
        <v>5.3182509359838018E-3</v>
      </c>
      <c r="N164" s="9">
        <f t="shared" ca="1" si="29"/>
        <v>-1.0109589578933023E-2</v>
      </c>
      <c r="O164" s="9">
        <f t="shared" ca="1" si="29"/>
        <v>2.871373349324088E-2</v>
      </c>
      <c r="P164" s="9">
        <f t="shared" ca="1" si="29"/>
        <v>3.2028188865597129E-3</v>
      </c>
      <c r="Q164" s="9">
        <f t="shared" ca="1" si="29"/>
        <v>1.3049387741400692E-2</v>
      </c>
    </row>
    <row r="165" spans="1:17">
      <c r="A165" t="s">
        <v>229</v>
      </c>
      <c r="B165" s="1">
        <v>429.25</v>
      </c>
      <c r="C165" s="9">
        <f t="shared" si="24"/>
        <v>1.0427945953580356E-2</v>
      </c>
      <c r="D165" s="9">
        <f t="shared" ca="1" si="28"/>
        <v>2.5870453419964936E-2</v>
      </c>
      <c r="E165" s="9">
        <f t="shared" ca="1" si="28"/>
        <v>1.4179645516555879E-2</v>
      </c>
      <c r="F165" s="9">
        <f t="shared" ca="1" si="28"/>
        <v>4.8062388761713523E-2</v>
      </c>
      <c r="G165" s="9">
        <f t="shared" ca="1" si="28"/>
        <v>-2.1547722153420806E-2</v>
      </c>
      <c r="H165" s="9">
        <f t="shared" ca="1" si="28"/>
        <v>-1.7975524741134636E-2</v>
      </c>
      <c r="J165" t="s">
        <v>229</v>
      </c>
      <c r="K165" s="1">
        <v>259.7</v>
      </c>
      <c r="L165" s="9">
        <f t="shared" si="26"/>
        <v>-5.4381127450980997E-3</v>
      </c>
      <c r="M165" s="9">
        <f t="shared" ca="1" si="29"/>
        <v>2.5186924025838914E-2</v>
      </c>
      <c r="N165" s="9">
        <f t="shared" ca="1" si="29"/>
        <v>-2.1284304694287656E-4</v>
      </c>
      <c r="O165" s="9">
        <f t="shared" ca="1" si="29"/>
        <v>2.0773202862214269E-3</v>
      </c>
      <c r="P165" s="9">
        <f t="shared" ca="1" si="29"/>
        <v>-1.603411564133041E-2</v>
      </c>
      <c r="Q165" s="9">
        <f t="shared" ca="1" si="29"/>
        <v>-5.5839403448834646E-3</v>
      </c>
    </row>
    <row r="166" spans="1:17">
      <c r="A166" t="s">
        <v>230</v>
      </c>
      <c r="B166" s="1">
        <v>424.46</v>
      </c>
      <c r="C166" s="9">
        <f t="shared" si="24"/>
        <v>-1.11589982527665E-2</v>
      </c>
      <c r="D166" s="9">
        <f t="shared" ca="1" si="28"/>
        <v>-2.0489703775916846E-2</v>
      </c>
      <c r="E166" s="9">
        <f t="shared" ca="1" si="28"/>
        <v>-1.222537656544314E-3</v>
      </c>
      <c r="F166" s="9">
        <f t="shared" ca="1" si="28"/>
        <v>-1.5124614370363698E-2</v>
      </c>
      <c r="G166" s="9">
        <f t="shared" ca="1" si="28"/>
        <v>-5.7421876630439322E-2</v>
      </c>
      <c r="H166" s="9">
        <f t="shared" ca="1" si="28"/>
        <v>5.6203107801355455E-3</v>
      </c>
      <c r="J166" t="s">
        <v>230</v>
      </c>
      <c r="K166" s="1">
        <v>263.04000000000002</v>
      </c>
      <c r="L166" s="9">
        <f t="shared" si="26"/>
        <v>1.2860993453985491E-2</v>
      </c>
      <c r="M166" s="9">
        <f t="shared" ca="1" si="29"/>
        <v>1.7488482494041276E-2</v>
      </c>
      <c r="N166" s="9">
        <f t="shared" ca="1" si="29"/>
        <v>-1.780268726751829E-2</v>
      </c>
      <c r="O166" s="9">
        <f t="shared" ca="1" si="29"/>
        <v>-1.2770341107281216E-2</v>
      </c>
      <c r="P166" s="9">
        <f t="shared" ca="1" si="29"/>
        <v>2.3521253811803755E-2</v>
      </c>
      <c r="Q166" s="9">
        <f t="shared" ca="1" si="29"/>
        <v>-9.8376525788205754E-3</v>
      </c>
    </row>
    <row r="167" spans="1:17">
      <c r="A167" t="s">
        <v>231</v>
      </c>
      <c r="B167" s="1">
        <v>407.78</v>
      </c>
      <c r="C167" s="9">
        <f t="shared" si="24"/>
        <v>-3.9296989115582166E-2</v>
      </c>
      <c r="D167" s="9">
        <f t="shared" ca="1" si="28"/>
        <v>9.12004697164321E-3</v>
      </c>
      <c r="E167" s="9">
        <f t="shared" ca="1" si="28"/>
        <v>4.1736979089119566E-2</v>
      </c>
      <c r="F167" s="9">
        <f t="shared" ca="1" si="28"/>
        <v>5.3225992108802828E-3</v>
      </c>
      <c r="G167" s="9">
        <f t="shared" ca="1" si="28"/>
        <v>8.3543153550734665E-3</v>
      </c>
      <c r="H167" s="9">
        <f t="shared" ca="1" si="28"/>
        <v>-5.5917958050356979E-3</v>
      </c>
      <c r="J167" t="s">
        <v>231</v>
      </c>
      <c r="K167" s="1">
        <v>265.06</v>
      </c>
      <c r="L167" s="9">
        <f t="shared" si="26"/>
        <v>7.6794403892943338E-3</v>
      </c>
      <c r="M167" s="9">
        <f t="shared" ca="1" si="29"/>
        <v>3.8268057820747142E-4</v>
      </c>
      <c r="N167" s="9">
        <f t="shared" ca="1" si="29"/>
        <v>7.5739771280274601E-3</v>
      </c>
      <c r="O167" s="9">
        <f t="shared" ca="1" si="29"/>
        <v>8.6165162714261275E-3</v>
      </c>
      <c r="P167" s="9">
        <f t="shared" ca="1" si="29"/>
        <v>-1.9260632979646218E-2</v>
      </c>
      <c r="Q167" s="9">
        <f t="shared" ca="1" si="29"/>
        <v>2.0113127636106804E-2</v>
      </c>
    </row>
    <row r="168" spans="1:17">
      <c r="A168" t="s">
        <v>232</v>
      </c>
      <c r="B168" s="1">
        <v>414.44</v>
      </c>
      <c r="C168" s="9">
        <f t="shared" si="24"/>
        <v>1.6332336063563747E-2</v>
      </c>
      <c r="D168" s="9">
        <f t="shared" ca="1" si="28"/>
        <v>1.8759303462088164E-3</v>
      </c>
      <c r="E168" s="9">
        <f t="shared" ca="1" si="28"/>
        <v>1.1543987618877245E-2</v>
      </c>
      <c r="F168" s="9">
        <f t="shared" ca="1" si="28"/>
        <v>-3.9764031130031649E-3</v>
      </c>
      <c r="G168" s="9">
        <f t="shared" ca="1" si="28"/>
        <v>-5.104442439126145E-3</v>
      </c>
      <c r="H168" s="9">
        <f t="shared" ca="1" si="28"/>
        <v>2.9197010935516281E-3</v>
      </c>
      <c r="J168" t="s">
        <v>232</v>
      </c>
      <c r="K168" s="1">
        <v>268.26</v>
      </c>
      <c r="L168" s="9">
        <f t="shared" si="26"/>
        <v>1.207273824794382E-2</v>
      </c>
      <c r="M168" s="9">
        <f t="shared" ca="1" si="29"/>
        <v>4.4604300900182893E-2</v>
      </c>
      <c r="N168" s="9">
        <f t="shared" ca="1" si="29"/>
        <v>7.8594852087758051E-3</v>
      </c>
      <c r="O168" s="9">
        <f t="shared" ca="1" si="29"/>
        <v>-2.690670981157928E-2</v>
      </c>
      <c r="P168" s="9">
        <f t="shared" ca="1" si="29"/>
        <v>-2.8630868381590801E-2</v>
      </c>
      <c r="Q168" s="9">
        <f t="shared" ca="1" si="29"/>
        <v>3.1568573214807862E-2</v>
      </c>
    </row>
    <row r="169" spans="1:17">
      <c r="A169" t="s">
        <v>233</v>
      </c>
      <c r="B169" s="1">
        <v>413.62</v>
      </c>
      <c r="C169" s="9">
        <f t="shared" si="24"/>
        <v>-1.978573496766705E-3</v>
      </c>
      <c r="D169" s="9">
        <f t="shared" ca="1" si="28"/>
        <v>3.5450321322083443E-2</v>
      </c>
      <c r="E169" s="9">
        <f t="shared" ca="1" si="28"/>
        <v>7.0204976454142044E-3</v>
      </c>
      <c r="F169" s="9">
        <f t="shared" ca="1" si="28"/>
        <v>-6.6693593875886221E-4</v>
      </c>
      <c r="G169" s="9">
        <f t="shared" ca="1" si="28"/>
        <v>-2.8771186498324379E-2</v>
      </c>
      <c r="H169" s="9">
        <f t="shared" ca="1" si="28"/>
        <v>1.2182321798723217E-2</v>
      </c>
      <c r="J169" t="s">
        <v>233</v>
      </c>
      <c r="K169" s="1">
        <v>272.05</v>
      </c>
      <c r="L169" s="9">
        <f t="shared" si="26"/>
        <v>1.4128084693953704E-2</v>
      </c>
      <c r="M169" s="9">
        <f t="shared" ca="1" si="29"/>
        <v>8.4650596007970706E-3</v>
      </c>
      <c r="N169" s="9">
        <f t="shared" ca="1" si="29"/>
        <v>-2.1582664795689835E-2</v>
      </c>
      <c r="O169" s="9">
        <f t="shared" ca="1" si="29"/>
        <v>-8.9051401658836252E-3</v>
      </c>
      <c r="P169" s="9">
        <f t="shared" ca="1" si="29"/>
        <v>1.7915488087983988E-2</v>
      </c>
      <c r="Q169" s="9">
        <f t="shared" ca="1" si="29"/>
        <v>-5.9060671460654619E-3</v>
      </c>
    </row>
    <row r="170" spans="1:17">
      <c r="A170" t="s">
        <v>234</v>
      </c>
      <c r="B170" s="1">
        <v>411.38</v>
      </c>
      <c r="C170" s="9">
        <f t="shared" si="24"/>
        <v>-5.4155988588559766E-3</v>
      </c>
      <c r="D170" s="9">
        <f t="shared" ca="1" si="28"/>
        <v>-1.9356593019740406E-2</v>
      </c>
      <c r="E170" s="9">
        <f t="shared" ca="1" si="28"/>
        <v>5.9901172502538408E-3</v>
      </c>
      <c r="F170" s="9">
        <f t="shared" ca="1" si="28"/>
        <v>-5.4174606669249127E-3</v>
      </c>
      <c r="G170" s="9">
        <f t="shared" ca="1" si="28"/>
        <v>-2.7119890822239926E-2</v>
      </c>
      <c r="H170" s="9">
        <f t="shared" ca="1" si="28"/>
        <v>4.2542948850986716E-2</v>
      </c>
      <c r="J170" t="s">
        <v>234</v>
      </c>
      <c r="K170" s="1">
        <v>273.55</v>
      </c>
      <c r="L170" s="9">
        <f t="shared" si="26"/>
        <v>5.5136923359676527E-3</v>
      </c>
      <c r="M170" s="9">
        <f t="shared" ca="1" si="29"/>
        <v>-1.7971163367319052E-2</v>
      </c>
      <c r="N170" s="9">
        <f t="shared" ca="1" si="29"/>
        <v>3.8738859686280437E-3</v>
      </c>
      <c r="O170" s="9">
        <f t="shared" ca="1" si="29"/>
        <v>-1.1873492382483275E-2</v>
      </c>
      <c r="P170" s="9">
        <f t="shared" ca="1" si="29"/>
        <v>-4.7911429905773899E-2</v>
      </c>
      <c r="Q170" s="9">
        <f t="shared" ca="1" si="29"/>
        <v>1.681692217538067E-2</v>
      </c>
    </row>
    <row r="171" spans="1:17">
      <c r="A171" t="s">
        <v>235</v>
      </c>
      <c r="B171" s="1">
        <v>413.96</v>
      </c>
      <c r="C171" s="9">
        <f t="shared" si="24"/>
        <v>6.2715737274538965E-3</v>
      </c>
      <c r="D171" s="9">
        <f t="shared" ca="1" si="28"/>
        <v>-1.4617206913758405E-2</v>
      </c>
      <c r="E171" s="9">
        <f t="shared" ca="1" si="28"/>
        <v>4.2725805240779449E-3</v>
      </c>
      <c r="F171" s="9">
        <f t="shared" ca="1" si="28"/>
        <v>1.3139782433663593E-3</v>
      </c>
      <c r="G171" s="9">
        <f t="shared" ca="1" si="28"/>
        <v>-2.5833026352459192E-3</v>
      </c>
      <c r="H171" s="9">
        <f t="shared" ca="1" si="28"/>
        <v>-1.4343371374523009E-2</v>
      </c>
      <c r="J171" t="s">
        <v>235</v>
      </c>
      <c r="K171" s="1">
        <v>274.99</v>
      </c>
      <c r="L171" s="9">
        <f t="shared" si="26"/>
        <v>5.2641199049533825E-3</v>
      </c>
      <c r="M171" s="9">
        <f t="shared" ca="1" si="29"/>
        <v>3.5803678498753752E-2</v>
      </c>
      <c r="N171" s="9">
        <f t="shared" ca="1" si="29"/>
        <v>-1.5699762625571451E-2</v>
      </c>
      <c r="O171" s="9">
        <f t="shared" ca="1" si="29"/>
        <v>3.0407740744813127E-2</v>
      </c>
      <c r="P171" s="9">
        <f t="shared" ca="1" si="29"/>
        <v>9.3509934271130482E-3</v>
      </c>
      <c r="Q171" s="9">
        <f t="shared" ca="1" si="29"/>
        <v>1.7123620625748282E-2</v>
      </c>
    </row>
    <row r="172" spans="1:17">
      <c r="A172" t="s">
        <v>236</v>
      </c>
      <c r="B172" s="1">
        <v>420.77</v>
      </c>
      <c r="C172" s="9">
        <f t="shared" si="24"/>
        <v>1.6450864817856806E-2</v>
      </c>
      <c r="D172" s="9">
        <f t="shared" ca="1" si="28"/>
        <v>1.8653206434070754E-2</v>
      </c>
      <c r="E172" s="9">
        <f t="shared" ca="1" si="28"/>
        <v>-1.58953961784254E-3</v>
      </c>
      <c r="F172" s="9">
        <f t="shared" ca="1" si="28"/>
        <v>2.1784515760532201E-2</v>
      </c>
      <c r="G172" s="9">
        <f t="shared" ca="1" si="28"/>
        <v>-9.9930769694458067E-3</v>
      </c>
      <c r="H172" s="9">
        <f t="shared" ca="1" si="28"/>
        <v>1.7494785869553942E-2</v>
      </c>
      <c r="J172" t="s">
        <v>236</v>
      </c>
      <c r="K172" s="1">
        <v>271.17</v>
      </c>
      <c r="L172" s="9">
        <f t="shared" si="26"/>
        <v>-1.3891414233244821E-2</v>
      </c>
      <c r="M172" s="9">
        <f t="shared" ca="1" si="29"/>
        <v>-5.6745626079595787E-3</v>
      </c>
      <c r="N172" s="9">
        <f t="shared" ca="1" si="29"/>
        <v>4.7353324689369414E-3</v>
      </c>
      <c r="O172" s="9">
        <f t="shared" ca="1" si="29"/>
        <v>-1.857963859856147E-2</v>
      </c>
      <c r="P172" s="9">
        <f t="shared" ca="1" si="29"/>
        <v>3.9066174487156951E-3</v>
      </c>
      <c r="Q172" s="9">
        <f t="shared" ca="1" si="29"/>
        <v>1.5455388473817841E-2</v>
      </c>
    </row>
    <row r="173" spans="1:17">
      <c r="A173" t="s">
        <v>237</v>
      </c>
      <c r="B173" s="1">
        <v>415.12</v>
      </c>
      <c r="C173" s="9">
        <f t="shared" si="24"/>
        <v>-1.3427763386172915E-2</v>
      </c>
      <c r="D173" s="9">
        <f t="shared" ca="1" si="28"/>
        <v>-1.6360618361953311E-2</v>
      </c>
      <c r="E173" s="9">
        <f t="shared" ca="1" si="28"/>
        <v>-7.1043424223662379E-3</v>
      </c>
      <c r="F173" s="9">
        <f t="shared" ca="1" si="28"/>
        <v>2.1014953842063887E-2</v>
      </c>
      <c r="G173" s="9">
        <f t="shared" ca="1" si="28"/>
        <v>7.8184593086976395E-4</v>
      </c>
      <c r="H173" s="9">
        <f t="shared" ca="1" si="28"/>
        <v>2.9662773130258054E-2</v>
      </c>
      <c r="J173" t="s">
        <v>237</v>
      </c>
      <c r="K173" s="1">
        <v>272.68</v>
      </c>
      <c r="L173" s="9">
        <f t="shared" si="26"/>
        <v>5.5684625880443664E-3</v>
      </c>
      <c r="M173" s="9">
        <f t="shared" ca="1" si="29"/>
        <v>-1.7110963995855072E-2</v>
      </c>
      <c r="N173" s="9">
        <f t="shared" ca="1" si="29"/>
        <v>2.2232186781847834E-2</v>
      </c>
      <c r="O173" s="9">
        <f t="shared" ca="1" si="29"/>
        <v>-2.7901050775195852E-2</v>
      </c>
      <c r="P173" s="9">
        <f t="shared" ca="1" si="29"/>
        <v>9.4250836402524386E-3</v>
      </c>
      <c r="Q173" s="9">
        <f t="shared" ca="1" si="29"/>
        <v>-1.2111563732865333E-3</v>
      </c>
    </row>
    <row r="174" spans="1:17">
      <c r="A174" t="s">
        <v>238</v>
      </c>
      <c r="B174" s="1">
        <v>412.66</v>
      </c>
      <c r="C174" s="9">
        <f t="shared" si="24"/>
        <v>-5.9259973019849185E-3</v>
      </c>
      <c r="D174" s="9">
        <f t="shared" ca="1" si="28"/>
        <v>-1.9181829081414366E-2</v>
      </c>
      <c r="E174" s="9">
        <f t="shared" ca="1" si="28"/>
        <v>-2.4333908242566791E-2</v>
      </c>
      <c r="F174" s="9">
        <f t="shared" ca="1" si="28"/>
        <v>-5.7237471525095384E-3</v>
      </c>
      <c r="G174" s="9">
        <f t="shared" ca="1" si="28"/>
        <v>-8.5291469791505328E-3</v>
      </c>
      <c r="H174" s="9">
        <f t="shared" ca="1" si="28"/>
        <v>-2.0322187273210841E-2</v>
      </c>
      <c r="J174" t="s">
        <v>238</v>
      </c>
      <c r="K174" s="1">
        <v>268.99</v>
      </c>
      <c r="L174" s="9">
        <f t="shared" si="26"/>
        <v>-1.3532345606571797E-2</v>
      </c>
      <c r="M174" s="9">
        <f t="shared" ca="1" si="29"/>
        <v>-5.4861710321477408E-2</v>
      </c>
      <c r="N174" s="9">
        <f t="shared" ca="1" si="29"/>
        <v>-2.8862015636831615E-3</v>
      </c>
      <c r="O174" s="9">
        <f t="shared" ca="1" si="29"/>
        <v>-5.801725210125749E-3</v>
      </c>
      <c r="P174" s="9">
        <f t="shared" ca="1" si="29"/>
        <v>-2.2323754489558416E-2</v>
      </c>
      <c r="Q174" s="9">
        <f t="shared" ca="1" si="29"/>
        <v>3.3547552263188743E-3</v>
      </c>
    </row>
    <row r="175" spans="1:17">
      <c r="A175" t="s">
        <v>239</v>
      </c>
      <c r="B175" s="1">
        <v>407.77</v>
      </c>
      <c r="C175" s="9">
        <f t="shared" si="24"/>
        <v>-1.1849949110648095E-2</v>
      </c>
      <c r="D175" s="9">
        <f t="shared" ca="1" si="28"/>
        <v>-1.7044951844514659E-2</v>
      </c>
      <c r="E175" s="9">
        <f t="shared" ca="1" si="28"/>
        <v>-2.6900271584236714E-2</v>
      </c>
      <c r="F175" s="9">
        <f t="shared" ca="1" si="28"/>
        <v>-7.0008749051594221E-3</v>
      </c>
      <c r="G175" s="9">
        <f t="shared" ca="1" si="28"/>
        <v>-8.3336014953337631E-3</v>
      </c>
      <c r="H175" s="9">
        <f t="shared" ca="1" si="28"/>
        <v>-1.20362711450529E-2</v>
      </c>
      <c r="J175" t="s">
        <v>239</v>
      </c>
      <c r="K175" s="1">
        <v>265.82</v>
      </c>
      <c r="L175" s="9">
        <f t="shared" si="26"/>
        <v>-1.1784824714673467E-2</v>
      </c>
      <c r="M175" s="9">
        <f t="shared" ca="1" si="29"/>
        <v>1.0907754672193615E-2</v>
      </c>
      <c r="N175" s="9">
        <f t="shared" ca="1" si="29"/>
        <v>-9.5838245120476399E-3</v>
      </c>
      <c r="O175" s="9">
        <f t="shared" ca="1" si="29"/>
        <v>-2.5434898615281326E-3</v>
      </c>
      <c r="P175" s="9">
        <f t="shared" ca="1" si="29"/>
        <v>-2.8713052505593559E-2</v>
      </c>
      <c r="Q175" s="9">
        <f t="shared" ca="1" si="29"/>
        <v>-1.0359920045102422E-2</v>
      </c>
    </row>
    <row r="176" spans="1:17">
      <c r="A176" t="s">
        <v>240</v>
      </c>
      <c r="B176" s="1">
        <v>405.21</v>
      </c>
      <c r="C176" s="9">
        <f t="shared" si="24"/>
        <v>-6.2780489001152667E-3</v>
      </c>
      <c r="D176" s="9">
        <f t="shared" ref="D176:H191" ca="1" si="30">NORMINV(RAND(), $C$6, $C$7)</f>
        <v>9.2947203495484694E-3</v>
      </c>
      <c r="E176" s="9">
        <f t="shared" ca="1" si="30"/>
        <v>-2.9287014032870883E-2</v>
      </c>
      <c r="F176" s="9">
        <f t="shared" ca="1" si="30"/>
        <v>-3.14692557655133E-2</v>
      </c>
      <c r="G176" s="9">
        <f t="shared" ca="1" si="30"/>
        <v>-1.6786700558332625E-2</v>
      </c>
      <c r="H176" s="9">
        <f t="shared" ca="1" si="30"/>
        <v>-7.1121000005955198E-3</v>
      </c>
      <c r="J176" t="s">
        <v>240</v>
      </c>
      <c r="K176" s="1">
        <v>270.13</v>
      </c>
      <c r="L176" s="9">
        <f t="shared" si="26"/>
        <v>1.6213979384545944E-2</v>
      </c>
      <c r="M176" s="9">
        <f t="shared" ref="M176:Q191" ca="1" si="31">NORMINV(RAND(), $L$6, $L$7)</f>
        <v>1.7187432559605274E-2</v>
      </c>
      <c r="N176" s="9">
        <f t="shared" ca="1" si="31"/>
        <v>-3.3121915323102734E-2</v>
      </c>
      <c r="O176" s="9">
        <f t="shared" ca="1" si="31"/>
        <v>4.8207212279081126E-3</v>
      </c>
      <c r="P176" s="9">
        <f t="shared" ca="1" si="31"/>
        <v>-3.1863842662018423E-2</v>
      </c>
      <c r="Q176" s="9">
        <f t="shared" ca="1" si="31"/>
        <v>2.3289728702391856E-2</v>
      </c>
    </row>
    <row r="177" spans="1:17">
      <c r="A177" t="s">
        <v>241</v>
      </c>
      <c r="B177" s="1">
        <v>409.43</v>
      </c>
      <c r="C177" s="9">
        <f t="shared" si="24"/>
        <v>1.0414353051504226E-2</v>
      </c>
      <c r="D177" s="9">
        <f t="shared" ca="1" si="30"/>
        <v>1.5203935394105854E-2</v>
      </c>
      <c r="E177" s="9">
        <f t="shared" ca="1" si="30"/>
        <v>-1.8997991273945893E-2</v>
      </c>
      <c r="F177" s="9">
        <f t="shared" ca="1" si="30"/>
        <v>5.0569435001236604E-2</v>
      </c>
      <c r="G177" s="9">
        <f t="shared" ca="1" si="30"/>
        <v>1.785168194891339E-2</v>
      </c>
      <c r="H177" s="9">
        <f t="shared" ca="1" si="30"/>
        <v>4.0155232314007805E-2</v>
      </c>
      <c r="J177" t="s">
        <v>241</v>
      </c>
      <c r="K177" s="1">
        <v>267.22000000000003</v>
      </c>
      <c r="L177" s="9">
        <f t="shared" si="26"/>
        <v>-1.077259097471576E-2</v>
      </c>
      <c r="M177" s="9">
        <f t="shared" ca="1" si="31"/>
        <v>2.9455442356955228E-2</v>
      </c>
      <c r="N177" s="9">
        <f t="shared" ca="1" si="31"/>
        <v>1.2685884704936763E-3</v>
      </c>
      <c r="O177" s="9">
        <f t="shared" ca="1" si="31"/>
        <v>8.1330424030583298E-3</v>
      </c>
      <c r="P177" s="9">
        <f t="shared" ca="1" si="31"/>
        <v>7.6509826254264821E-3</v>
      </c>
      <c r="Q177" s="9">
        <f t="shared" ca="1" si="31"/>
        <v>-1.9124666965096439E-2</v>
      </c>
    </row>
    <row r="178" spans="1:17">
      <c r="A178" t="s">
        <v>242</v>
      </c>
      <c r="B178" s="1">
        <v>421.92</v>
      </c>
      <c r="C178" s="9">
        <f t="shared" si="24"/>
        <v>3.0505825171580025E-2</v>
      </c>
      <c r="D178" s="9">
        <f t="shared" ca="1" si="30"/>
        <v>1.0812248405943359E-2</v>
      </c>
      <c r="E178" s="9">
        <f t="shared" ca="1" si="30"/>
        <v>9.5302199485364451E-3</v>
      </c>
      <c r="F178" s="9">
        <f t="shared" ca="1" si="30"/>
        <v>-4.0396354273911812E-3</v>
      </c>
      <c r="G178" s="9">
        <f t="shared" ca="1" si="30"/>
        <v>1.244015747513887E-2</v>
      </c>
      <c r="H178" s="9">
        <f t="shared" ca="1" si="30"/>
        <v>-8.8152830585260227E-3</v>
      </c>
      <c r="J178" t="s">
        <v>242</v>
      </c>
      <c r="K178" s="1">
        <v>264.14</v>
      </c>
      <c r="L178" s="9">
        <f t="shared" si="26"/>
        <v>-1.1526083376992891E-2</v>
      </c>
      <c r="M178" s="9">
        <f t="shared" ca="1" si="31"/>
        <v>8.4748846129059485E-3</v>
      </c>
      <c r="N178" s="9">
        <f t="shared" ca="1" si="31"/>
        <v>-1.2908878865281812E-2</v>
      </c>
      <c r="O178" s="9">
        <f t="shared" ca="1" si="31"/>
        <v>-8.0279478303749777E-3</v>
      </c>
      <c r="P178" s="9">
        <f t="shared" ca="1" si="31"/>
        <v>-1.8853870238050022E-2</v>
      </c>
      <c r="Q178" s="9">
        <f t="shared" ca="1" si="31"/>
        <v>-2.0374765368224496E-2</v>
      </c>
    </row>
    <row r="179" spans="1:17">
      <c r="A179" t="s">
        <v>243</v>
      </c>
      <c r="B179" s="1">
        <v>423.54</v>
      </c>
      <c r="C179" s="9">
        <f t="shared" si="24"/>
        <v>3.8395904436860175E-3</v>
      </c>
      <c r="D179" s="9">
        <f t="shared" ca="1" si="30"/>
        <v>1.0822749739954294E-2</v>
      </c>
      <c r="E179" s="9">
        <f t="shared" ca="1" si="30"/>
        <v>-2.631823167733531E-2</v>
      </c>
      <c r="F179" s="9">
        <f t="shared" ca="1" si="30"/>
        <v>1.005543619440827E-2</v>
      </c>
      <c r="G179" s="9">
        <f t="shared" ca="1" si="30"/>
        <v>1.1585134097842818E-2</v>
      </c>
      <c r="H179" s="9">
        <f t="shared" ca="1" si="30"/>
        <v>1.6821794479394241E-2</v>
      </c>
      <c r="J179" t="s">
        <v>243</v>
      </c>
      <c r="K179" s="1">
        <v>264.86</v>
      </c>
      <c r="L179" s="9">
        <f t="shared" si="26"/>
        <v>2.7258272128417782E-3</v>
      </c>
      <c r="M179" s="9">
        <f t="shared" ca="1" si="31"/>
        <v>-7.0477328328016004E-3</v>
      </c>
      <c r="N179" s="9">
        <f t="shared" ca="1" si="31"/>
        <v>-2.3084851822410449E-2</v>
      </c>
      <c r="O179" s="9">
        <f t="shared" ca="1" si="31"/>
        <v>1.0260124220894064E-2</v>
      </c>
      <c r="P179" s="9">
        <f t="shared" ca="1" si="31"/>
        <v>-6.9610188139060142E-4</v>
      </c>
      <c r="Q179" s="9">
        <f t="shared" ca="1" si="31"/>
        <v>1.0595276798126527E-2</v>
      </c>
    </row>
    <row r="180" spans="1:17">
      <c r="A180" t="s">
        <v>244</v>
      </c>
      <c r="B180" s="1">
        <v>417.42</v>
      </c>
      <c r="C180" s="9">
        <f t="shared" si="24"/>
        <v>-1.4449638759031035E-2</v>
      </c>
      <c r="D180" s="9">
        <f t="shared" ca="1" si="30"/>
        <v>-8.0083207000992158E-3</v>
      </c>
      <c r="E180" s="9">
        <f t="shared" ca="1" si="30"/>
        <v>-6.8632509312117826E-3</v>
      </c>
      <c r="F180" s="9">
        <f t="shared" ca="1" si="30"/>
        <v>1.151225578085753E-2</v>
      </c>
      <c r="G180" s="9">
        <f t="shared" ca="1" si="30"/>
        <v>1.1781994911187777E-2</v>
      </c>
      <c r="H180" s="9">
        <f t="shared" ca="1" si="30"/>
        <v>-2.7041103507041324E-3</v>
      </c>
      <c r="J180" t="s">
        <v>244</v>
      </c>
      <c r="K180" s="1">
        <v>259.33999999999997</v>
      </c>
      <c r="L180" s="9">
        <f t="shared" si="26"/>
        <v>-2.084119912406569E-2</v>
      </c>
      <c r="M180" s="9">
        <f t="shared" ca="1" si="31"/>
        <v>4.1841494180608028E-3</v>
      </c>
      <c r="N180" s="9">
        <f t="shared" ca="1" si="31"/>
        <v>-1.9236963527680159E-2</v>
      </c>
      <c r="O180" s="9">
        <f t="shared" ca="1" si="31"/>
        <v>-2.1255316023585439E-2</v>
      </c>
      <c r="P180" s="9">
        <f t="shared" ca="1" si="31"/>
        <v>1.6062032437195648E-2</v>
      </c>
      <c r="Q180" s="9">
        <f t="shared" ca="1" si="31"/>
        <v>-1.0914515799145615E-3</v>
      </c>
    </row>
    <row r="181" spans="1:17">
      <c r="A181" t="s">
        <v>245</v>
      </c>
      <c r="B181" s="1">
        <v>421.06</v>
      </c>
      <c r="C181" s="9">
        <f t="shared" si="24"/>
        <v>8.7202338172583643E-3</v>
      </c>
      <c r="D181" s="9">
        <f t="shared" ca="1" si="30"/>
        <v>4.190212331624539E-2</v>
      </c>
      <c r="E181" s="9">
        <f t="shared" ca="1" si="30"/>
        <v>3.1542865686495933E-2</v>
      </c>
      <c r="F181" s="9">
        <f t="shared" ca="1" si="30"/>
        <v>2.5562051343667271E-2</v>
      </c>
      <c r="G181" s="9">
        <f t="shared" ca="1" si="30"/>
        <v>-2.8613365973185856E-3</v>
      </c>
      <c r="H181" s="9">
        <f t="shared" ca="1" si="30"/>
        <v>-6.5548091841173299E-3</v>
      </c>
      <c r="J181" t="s">
        <v>245</v>
      </c>
      <c r="K181" s="1">
        <v>265.01</v>
      </c>
      <c r="L181" s="9">
        <f t="shared" si="26"/>
        <v>2.1863191177604751E-2</v>
      </c>
      <c r="M181" s="9">
        <f t="shared" ca="1" si="31"/>
        <v>-2.3304247451002647E-3</v>
      </c>
      <c r="N181" s="9">
        <f t="shared" ca="1" si="31"/>
        <v>2.2072377806150734E-2</v>
      </c>
      <c r="O181" s="9">
        <f t="shared" ca="1" si="31"/>
        <v>7.2228560866702978E-4</v>
      </c>
      <c r="P181" s="9">
        <f t="shared" ca="1" si="31"/>
        <v>3.0980833010081574E-2</v>
      </c>
      <c r="Q181" s="9">
        <f t="shared" ca="1" si="31"/>
        <v>1.4747561228230619E-2</v>
      </c>
    </row>
    <row r="182" spans="1:17">
      <c r="A182" t="s">
        <v>246</v>
      </c>
      <c r="B182" s="1">
        <v>419.09</v>
      </c>
      <c r="C182" s="9">
        <f t="shared" si="24"/>
        <v>-4.6786681233079068E-3</v>
      </c>
      <c r="D182" s="9">
        <f t="shared" ca="1" si="30"/>
        <v>1.9052195900218994E-2</v>
      </c>
      <c r="E182" s="9">
        <f t="shared" ca="1" si="30"/>
        <v>-2.6935633868211241E-3</v>
      </c>
      <c r="F182" s="9">
        <f t="shared" ca="1" si="30"/>
        <v>-1.2170355291624585E-2</v>
      </c>
      <c r="G182" s="9">
        <f t="shared" ca="1" si="30"/>
        <v>-1.6183171896773957E-2</v>
      </c>
      <c r="H182" s="9">
        <f t="shared" ca="1" si="30"/>
        <v>4.7192538374184606E-2</v>
      </c>
      <c r="J182" t="s">
        <v>246</v>
      </c>
      <c r="K182" s="1">
        <v>268.45999999999998</v>
      </c>
      <c r="L182" s="9">
        <f t="shared" si="26"/>
        <v>1.3018376665031466E-2</v>
      </c>
      <c r="M182" s="9">
        <f t="shared" ca="1" si="31"/>
        <v>1.4841180543464791E-2</v>
      </c>
      <c r="N182" s="9">
        <f t="shared" ca="1" si="31"/>
        <v>1.5139252363155133E-3</v>
      </c>
      <c r="O182" s="9">
        <f t="shared" ca="1" si="31"/>
        <v>2.1924827188118067E-2</v>
      </c>
      <c r="P182" s="9">
        <f t="shared" ca="1" si="31"/>
        <v>-1.3911341957468888E-2</v>
      </c>
      <c r="Q182" s="9">
        <f t="shared" ca="1" si="31"/>
        <v>2.5835298036370139E-2</v>
      </c>
    </row>
    <row r="183" spans="1:17">
      <c r="A183" t="s">
        <v>247</v>
      </c>
      <c r="B183" s="1">
        <v>418.57</v>
      </c>
      <c r="C183" s="9">
        <f t="shared" si="24"/>
        <v>-1.2407836025674242E-3</v>
      </c>
      <c r="D183" s="9">
        <f t="shared" ca="1" si="30"/>
        <v>1.4167060231715682E-2</v>
      </c>
      <c r="E183" s="9">
        <f t="shared" ca="1" si="30"/>
        <v>-9.1461062296651109E-3</v>
      </c>
      <c r="F183" s="9">
        <f t="shared" ca="1" si="30"/>
        <v>6.0810553047012418E-3</v>
      </c>
      <c r="G183" s="9">
        <f t="shared" ca="1" si="30"/>
        <v>1.3987846531364864E-2</v>
      </c>
      <c r="H183" s="9">
        <f t="shared" ca="1" si="30"/>
        <v>-4.238509178115752E-2</v>
      </c>
      <c r="J183" t="s">
        <v>247</v>
      </c>
      <c r="K183" s="1">
        <v>266.32</v>
      </c>
      <c r="L183" s="9">
        <f t="shared" si="26"/>
        <v>-7.9713923862027355E-3</v>
      </c>
      <c r="M183" s="9">
        <f t="shared" ca="1" si="31"/>
        <v>-3.0752817205030657E-2</v>
      </c>
      <c r="N183" s="9">
        <f t="shared" ca="1" si="31"/>
        <v>-4.1479128621599949E-2</v>
      </c>
      <c r="O183" s="9">
        <f t="shared" ca="1" si="31"/>
        <v>2.2278011830844675E-2</v>
      </c>
      <c r="P183" s="9">
        <f t="shared" ca="1" si="31"/>
        <v>-2.6080809082516528E-2</v>
      </c>
      <c r="Q183" s="9">
        <f t="shared" ca="1" si="31"/>
        <v>-3.7796776875672296E-2</v>
      </c>
    </row>
    <row r="184" spans="1:17">
      <c r="A184" t="s">
        <v>248</v>
      </c>
      <c r="B184" s="1">
        <v>416.03</v>
      </c>
      <c r="C184" s="9">
        <f t="shared" si="24"/>
        <v>-6.06828009651915E-3</v>
      </c>
      <c r="D184" s="9">
        <f t="shared" ca="1" si="30"/>
        <v>5.9434760575041139E-3</v>
      </c>
      <c r="E184" s="9">
        <f t="shared" ca="1" si="30"/>
        <v>1.8313503228461665E-2</v>
      </c>
      <c r="F184" s="9">
        <f t="shared" ca="1" si="30"/>
        <v>1.1485231540294924E-2</v>
      </c>
      <c r="G184" s="9">
        <f t="shared" ca="1" si="30"/>
        <v>1.6727002847511573E-2</v>
      </c>
      <c r="H184" s="9">
        <f t="shared" ca="1" si="30"/>
        <v>-2.3510155642915264E-3</v>
      </c>
      <c r="J184" t="s">
        <v>248</v>
      </c>
      <c r="K184" s="1">
        <v>265.29000000000002</v>
      </c>
      <c r="L184" s="9">
        <f t="shared" si="26"/>
        <v>-3.8675277861218564E-3</v>
      </c>
      <c r="M184" s="9">
        <f t="shared" ca="1" si="31"/>
        <v>1.7170517997472746E-2</v>
      </c>
      <c r="N184" s="9">
        <f t="shared" ca="1" si="31"/>
        <v>2.3020724756084562E-2</v>
      </c>
      <c r="O184" s="9">
        <f t="shared" ca="1" si="31"/>
        <v>-2.0749623568194299E-2</v>
      </c>
      <c r="P184" s="9">
        <f t="shared" ca="1" si="31"/>
        <v>1.2598409167065166E-3</v>
      </c>
      <c r="Q184" s="9">
        <f t="shared" ca="1" si="31"/>
        <v>-2.1444871179154348E-2</v>
      </c>
    </row>
    <row r="185" spans="1:17">
      <c r="A185" t="s">
        <v>249</v>
      </c>
      <c r="B185" s="1">
        <v>412.67</v>
      </c>
      <c r="C185" s="9">
        <f t="shared" si="24"/>
        <v>-8.076340648510821E-3</v>
      </c>
      <c r="D185" s="9">
        <f t="shared" ca="1" si="30"/>
        <v>-1.0844183348036161E-2</v>
      </c>
      <c r="E185" s="9">
        <f t="shared" ca="1" si="30"/>
        <v>-1.3511594717689257E-2</v>
      </c>
      <c r="F185" s="9">
        <f t="shared" ca="1" si="30"/>
        <v>-2.4691053433994834E-3</v>
      </c>
      <c r="G185" s="9">
        <f t="shared" ca="1" si="30"/>
        <v>-3.3955874410977027E-2</v>
      </c>
      <c r="H185" s="9">
        <f t="shared" ca="1" si="30"/>
        <v>3.1457612016095315E-2</v>
      </c>
      <c r="J185" t="s">
        <v>249</v>
      </c>
      <c r="K185" s="1">
        <v>271.85000000000002</v>
      </c>
      <c r="L185" s="9">
        <f t="shared" si="26"/>
        <v>2.4727656526819713E-2</v>
      </c>
      <c r="M185" s="9">
        <f t="shared" ca="1" si="31"/>
        <v>-7.6988881260697441E-3</v>
      </c>
      <c r="N185" s="9">
        <f t="shared" ca="1" si="31"/>
        <v>-1.9250276116153167E-3</v>
      </c>
      <c r="O185" s="9">
        <f t="shared" ca="1" si="31"/>
        <v>-2.6670502828627936E-2</v>
      </c>
      <c r="P185" s="9">
        <f t="shared" ca="1" si="31"/>
        <v>-2.690684333285116E-2</v>
      </c>
      <c r="Q185" s="9">
        <f t="shared" ca="1" si="31"/>
        <v>5.99026553297736E-3</v>
      </c>
    </row>
    <row r="186" spans="1:17">
      <c r="A186" t="s">
        <v>250</v>
      </c>
      <c r="B186" s="1">
        <v>426.99</v>
      </c>
      <c r="C186" s="9">
        <f t="shared" si="24"/>
        <v>3.4700850558557671E-2</v>
      </c>
      <c r="D186" s="9">
        <f t="shared" ca="1" si="30"/>
        <v>-3.4220761051834671E-2</v>
      </c>
      <c r="E186" s="9">
        <f t="shared" ca="1" si="30"/>
        <v>-2.9421488640333257E-3</v>
      </c>
      <c r="F186" s="9">
        <f t="shared" ca="1" si="30"/>
        <v>-1.6135373395755374E-2</v>
      </c>
      <c r="G186" s="9">
        <f t="shared" ca="1" si="30"/>
        <v>1.0375125367251273E-2</v>
      </c>
      <c r="H186" s="9">
        <f t="shared" ca="1" si="30"/>
        <v>-1.5820291163775139E-2</v>
      </c>
      <c r="J186" t="s">
        <v>250</v>
      </c>
      <c r="K186" s="1">
        <v>274</v>
      </c>
      <c r="L186" s="9">
        <f t="shared" si="26"/>
        <v>7.9087732205259404E-3</v>
      </c>
      <c r="M186" s="9">
        <f t="shared" ca="1" si="31"/>
        <v>6.3571635273542027E-3</v>
      </c>
      <c r="N186" s="9">
        <f t="shared" ca="1" si="31"/>
        <v>-1.4356532268221707E-2</v>
      </c>
      <c r="O186" s="9">
        <f t="shared" ca="1" si="31"/>
        <v>-1.0640308748157017E-2</v>
      </c>
      <c r="P186" s="9">
        <f t="shared" ca="1" si="31"/>
        <v>-3.5380175994482156E-2</v>
      </c>
      <c r="Q186" s="9">
        <f t="shared" ca="1" si="31"/>
        <v>1.3403776017538716E-2</v>
      </c>
    </row>
    <row r="187" spans="1:17">
      <c r="A187" t="s">
        <v>251</v>
      </c>
      <c r="B187" s="1">
        <v>450.24</v>
      </c>
      <c r="C187" s="9">
        <f t="shared" si="24"/>
        <v>5.4450923909225041E-2</v>
      </c>
      <c r="D187" s="9">
        <f t="shared" ca="1" si="30"/>
        <v>7.043125329144426E-3</v>
      </c>
      <c r="E187" s="9">
        <f t="shared" ca="1" si="30"/>
        <v>1.0299782058096401E-2</v>
      </c>
      <c r="F187" s="9">
        <f t="shared" ca="1" si="30"/>
        <v>6.3029697837170672E-3</v>
      </c>
      <c r="G187" s="9">
        <f t="shared" ca="1" si="30"/>
        <v>2.7578645739918181E-2</v>
      </c>
      <c r="H187" s="9">
        <f t="shared" ca="1" si="30"/>
        <v>-6.2952666741309549E-3</v>
      </c>
      <c r="J187" t="s">
        <v>251</v>
      </c>
      <c r="K187" s="1">
        <v>270.64</v>
      </c>
      <c r="L187" s="9">
        <f t="shared" si="26"/>
        <v>-1.2262773722627787E-2</v>
      </c>
      <c r="M187" s="9">
        <f t="shared" ca="1" si="31"/>
        <v>4.6595528838252949E-4</v>
      </c>
      <c r="N187" s="9">
        <f t="shared" ca="1" si="31"/>
        <v>1.1247474552619371E-2</v>
      </c>
      <c r="O187" s="9">
        <f t="shared" ca="1" si="31"/>
        <v>-2.8081904290211721E-2</v>
      </c>
      <c r="P187" s="9">
        <f t="shared" ca="1" si="31"/>
        <v>1.5995082154834146E-2</v>
      </c>
      <c r="Q187" s="9">
        <f t="shared" ca="1" si="31"/>
        <v>4.4579377684780444E-2</v>
      </c>
    </row>
    <row r="188" spans="1:17">
      <c r="A188" t="s">
        <v>252</v>
      </c>
      <c r="B188" s="1">
        <v>460.52</v>
      </c>
      <c r="C188" s="9">
        <f t="shared" si="24"/>
        <v>2.2832267235252248E-2</v>
      </c>
      <c r="D188" s="9">
        <f t="shared" ca="1" si="30"/>
        <v>-1.8169760949155418E-2</v>
      </c>
      <c r="E188" s="9">
        <f t="shared" ca="1" si="30"/>
        <v>-3.2355827446619266E-2</v>
      </c>
      <c r="F188" s="9">
        <f t="shared" ca="1" si="30"/>
        <v>2.9780612136475824E-3</v>
      </c>
      <c r="G188" s="9">
        <f t="shared" ca="1" si="30"/>
        <v>1.7109264655717774E-2</v>
      </c>
      <c r="H188" s="9">
        <f t="shared" ca="1" si="30"/>
        <v>-2.7149061836401808E-3</v>
      </c>
      <c r="J188" t="s">
        <v>252</v>
      </c>
      <c r="K188" s="1">
        <v>261.26</v>
      </c>
      <c r="L188" s="9">
        <f t="shared" si="26"/>
        <v>-3.4658587052911603E-2</v>
      </c>
      <c r="M188" s="9">
        <f t="shared" ca="1" si="31"/>
        <v>-1.2980916143590881E-2</v>
      </c>
      <c r="N188" s="9">
        <f t="shared" ca="1" si="31"/>
        <v>1.3873415961742767E-2</v>
      </c>
      <c r="O188" s="9">
        <f t="shared" ca="1" si="31"/>
        <v>1.9410240755483837E-2</v>
      </c>
      <c r="P188" s="9">
        <f t="shared" ca="1" si="31"/>
        <v>1.3747702698073681E-2</v>
      </c>
      <c r="Q188" s="9">
        <f t="shared" ca="1" si="31"/>
        <v>-4.3473853255597675E-2</v>
      </c>
    </row>
    <row r="189" spans="1:17">
      <c r="A189" t="s">
        <v>253</v>
      </c>
      <c r="B189" s="1">
        <v>441.31</v>
      </c>
      <c r="C189" s="9">
        <f t="shared" si="24"/>
        <v>-4.1713714930947582E-2</v>
      </c>
      <c r="D189" s="9">
        <f t="shared" ca="1" si="30"/>
        <v>2.6578469075555666E-2</v>
      </c>
      <c r="E189" s="9">
        <f t="shared" ca="1" si="30"/>
        <v>-1.1805346667154893E-2</v>
      </c>
      <c r="F189" s="9">
        <f t="shared" ca="1" si="30"/>
        <v>1.7847184945808444E-2</v>
      </c>
      <c r="G189" s="9">
        <f t="shared" ca="1" si="30"/>
        <v>1.6084945556133313E-2</v>
      </c>
      <c r="H189" s="9">
        <f t="shared" ca="1" si="30"/>
        <v>-3.706987877725812E-2</v>
      </c>
      <c r="J189" t="s">
        <v>253</v>
      </c>
      <c r="K189" s="1">
        <v>256.52</v>
      </c>
      <c r="L189" s="9">
        <f t="shared" si="26"/>
        <v>-1.8142846206843793E-2</v>
      </c>
      <c r="M189" s="9">
        <f t="shared" ca="1" si="31"/>
        <v>1.8695482657776801E-2</v>
      </c>
      <c r="N189" s="9">
        <f t="shared" ca="1" si="31"/>
        <v>-7.3531370030632912E-4</v>
      </c>
      <c r="O189" s="9">
        <f t="shared" ca="1" si="31"/>
        <v>-3.1173029208390688E-2</v>
      </c>
      <c r="P189" s="9">
        <f t="shared" ca="1" si="31"/>
        <v>-7.7331791381896921E-3</v>
      </c>
      <c r="Q189" s="9">
        <f t="shared" ca="1" si="31"/>
        <v>1.5754262768404022E-3</v>
      </c>
    </row>
    <row r="190" spans="1:17">
      <c r="A190" t="s">
        <v>254</v>
      </c>
      <c r="B190" s="1">
        <v>427.34</v>
      </c>
      <c r="C190" s="9">
        <f t="shared" si="24"/>
        <v>-3.1655752192336517E-2</v>
      </c>
      <c r="D190" s="9">
        <f t="shared" ca="1" si="30"/>
        <v>-2.3470015501142711E-2</v>
      </c>
      <c r="E190" s="9">
        <f t="shared" ca="1" si="30"/>
        <v>-3.2515260147139104E-2</v>
      </c>
      <c r="F190" s="9">
        <f t="shared" ca="1" si="30"/>
        <v>-3.7406539115003344E-3</v>
      </c>
      <c r="G190" s="9">
        <f t="shared" ca="1" si="30"/>
        <v>-1.6906491260792432E-2</v>
      </c>
      <c r="H190" s="9">
        <f t="shared" ca="1" si="30"/>
        <v>1.6590849604566818E-2</v>
      </c>
      <c r="J190" t="s">
        <v>254</v>
      </c>
      <c r="K190" s="1">
        <v>250.02</v>
      </c>
      <c r="L190" s="9">
        <f t="shared" si="26"/>
        <v>-2.5339154841727631E-2</v>
      </c>
      <c r="M190" s="9">
        <f t="shared" ca="1" si="31"/>
        <v>-3.2037771473262908E-2</v>
      </c>
      <c r="N190" s="9">
        <f t="shared" ca="1" si="31"/>
        <v>1.3280846670562264E-3</v>
      </c>
      <c r="O190" s="9">
        <f t="shared" ca="1" si="31"/>
        <v>1.2056127656431769E-3</v>
      </c>
      <c r="P190" s="9">
        <f t="shared" ca="1" si="31"/>
        <v>-1.9948011226603338E-2</v>
      </c>
      <c r="Q190" s="9">
        <f t="shared" ca="1" si="31"/>
        <v>-9.8795382801793053E-3</v>
      </c>
    </row>
    <row r="191" spans="1:17">
      <c r="A191" t="s">
        <v>255</v>
      </c>
      <c r="B191" s="1">
        <v>428.05</v>
      </c>
      <c r="C191" s="9">
        <f t="shared" si="24"/>
        <v>1.6614405391492404E-3</v>
      </c>
      <c r="D191" s="9">
        <f t="shared" ca="1" si="30"/>
        <v>-8.5421896371129322E-3</v>
      </c>
      <c r="E191" s="9">
        <f t="shared" ca="1" si="30"/>
        <v>-7.9227703382932502E-3</v>
      </c>
      <c r="F191" s="9">
        <f t="shared" ca="1" si="30"/>
        <v>2.8243507220047707E-2</v>
      </c>
      <c r="G191" s="9">
        <f t="shared" ca="1" si="30"/>
        <v>9.6418263632642442E-3</v>
      </c>
      <c r="H191" s="9">
        <f t="shared" ca="1" si="30"/>
        <v>-1.470711153459392E-2</v>
      </c>
      <c r="J191" t="s">
        <v>255</v>
      </c>
      <c r="K191" s="1">
        <v>253.79</v>
      </c>
      <c r="L191" s="9">
        <f t="shared" si="26"/>
        <v>1.5078793696504207E-2</v>
      </c>
      <c r="M191" s="9">
        <f t="shared" ca="1" si="31"/>
        <v>-9.3748625719469753E-3</v>
      </c>
      <c r="N191" s="9">
        <f t="shared" ca="1" si="31"/>
        <v>-2.8651510707019209E-2</v>
      </c>
      <c r="O191" s="9">
        <f t="shared" ca="1" si="31"/>
        <v>1.1864005895559292E-3</v>
      </c>
      <c r="P191" s="9">
        <f t="shared" ca="1" si="31"/>
        <v>8.5072386062901573E-3</v>
      </c>
      <c r="Q191" s="9">
        <f t="shared" ca="1" si="31"/>
        <v>1.3666253376065128E-2</v>
      </c>
    </row>
    <row r="192" spans="1:17">
      <c r="A192" t="s">
        <v>256</v>
      </c>
      <c r="B192" s="1">
        <v>416.67</v>
      </c>
      <c r="C192" s="9">
        <f t="shared" si="24"/>
        <v>-2.6585679243079068E-2</v>
      </c>
      <c r="D192" s="9">
        <f t="shared" ref="D192:H207" ca="1" si="32">NORMINV(RAND(), $C$6, $C$7)</f>
        <v>3.0916588342774186E-2</v>
      </c>
      <c r="E192" s="9">
        <f t="shared" ca="1" si="32"/>
        <v>1.5957908520597381E-2</v>
      </c>
      <c r="F192" s="9">
        <f t="shared" ca="1" si="32"/>
        <v>-2.9348915408093656E-2</v>
      </c>
      <c r="G192" s="9">
        <f t="shared" ca="1" si="32"/>
        <v>-1.2282192938867519E-2</v>
      </c>
      <c r="H192" s="9">
        <f t="shared" ca="1" si="32"/>
        <v>8.05491420062277E-3</v>
      </c>
      <c r="J192" t="s">
        <v>256</v>
      </c>
      <c r="K192" s="1">
        <v>246.03</v>
      </c>
      <c r="L192" s="9">
        <f t="shared" si="26"/>
        <v>-3.0576460853461489E-2</v>
      </c>
      <c r="M192" s="9">
        <f t="shared" ref="M192:Q207" ca="1" si="33">NORMINV(RAND(), $L$6, $L$7)</f>
        <v>-4.5584047967233927E-2</v>
      </c>
      <c r="N192" s="9">
        <f t="shared" ca="1" si="33"/>
        <v>1.4413376235525605E-2</v>
      </c>
      <c r="O192" s="9">
        <f t="shared" ca="1" si="33"/>
        <v>5.1241175709113108E-2</v>
      </c>
      <c r="P192" s="9">
        <f t="shared" ca="1" si="33"/>
        <v>1.8515564474504281E-2</v>
      </c>
      <c r="Q192" s="9">
        <f t="shared" ca="1" si="33"/>
        <v>-3.9855172984899254E-2</v>
      </c>
    </row>
    <row r="193" spans="1:17">
      <c r="A193" t="s">
        <v>257</v>
      </c>
      <c r="B193" s="1">
        <v>411.74</v>
      </c>
      <c r="C193" s="9">
        <f t="shared" si="24"/>
        <v>-1.1831905344757258E-2</v>
      </c>
      <c r="D193" s="9">
        <f t="shared" ca="1" si="32"/>
        <v>4.0460735105916502E-2</v>
      </c>
      <c r="E193" s="9">
        <f t="shared" ca="1" si="32"/>
        <v>-1.4359441339007161E-2</v>
      </c>
      <c r="F193" s="9">
        <f t="shared" ca="1" si="32"/>
        <v>-8.4006392763742201E-3</v>
      </c>
      <c r="G193" s="9">
        <f t="shared" ca="1" si="32"/>
        <v>1.9155129993818777E-2</v>
      </c>
      <c r="H193" s="9">
        <f t="shared" ca="1" si="32"/>
        <v>2.0754004853505738E-2</v>
      </c>
      <c r="J193" t="s">
        <v>257</v>
      </c>
      <c r="K193" s="1">
        <v>245.22</v>
      </c>
      <c r="L193" s="9">
        <f t="shared" si="26"/>
        <v>-3.2922814290940222E-3</v>
      </c>
      <c r="M193" s="9">
        <f t="shared" ca="1" si="33"/>
        <v>3.467197784497774E-2</v>
      </c>
      <c r="N193" s="9">
        <f t="shared" ca="1" si="33"/>
        <v>-2.0504431960694115E-2</v>
      </c>
      <c r="O193" s="9">
        <f t="shared" ca="1" si="33"/>
        <v>-3.7520751823345189E-2</v>
      </c>
      <c r="P193" s="9">
        <f t="shared" ca="1" si="33"/>
        <v>-8.8650025042472935E-3</v>
      </c>
      <c r="Q193" s="9">
        <f t="shared" ca="1" si="33"/>
        <v>8.6134218327443991E-3</v>
      </c>
    </row>
    <row r="194" spans="1:17">
      <c r="A194" t="s">
        <v>258</v>
      </c>
      <c r="B194" s="1">
        <v>403.41</v>
      </c>
      <c r="C194" s="9">
        <f t="shared" si="24"/>
        <v>-2.0231213872832332E-2</v>
      </c>
      <c r="D194" s="9">
        <f t="shared" ca="1" si="32"/>
        <v>1.5573864588950149E-2</v>
      </c>
      <c r="E194" s="9">
        <f t="shared" ca="1" si="32"/>
        <v>9.0123886723430576E-3</v>
      </c>
      <c r="F194" s="9">
        <f t="shared" ca="1" si="32"/>
        <v>-7.6573384125989121E-3</v>
      </c>
      <c r="G194" s="9">
        <f t="shared" ca="1" si="32"/>
        <v>1.0775813951564248E-2</v>
      </c>
      <c r="H194" s="9">
        <f t="shared" ca="1" si="32"/>
        <v>-3.2396363834169837E-3</v>
      </c>
      <c r="J194" t="s">
        <v>258</v>
      </c>
      <c r="K194" s="1">
        <v>244.19</v>
      </c>
      <c r="L194" s="9">
        <f t="shared" si="26"/>
        <v>-4.2003099257809364E-3</v>
      </c>
      <c r="M194" s="9">
        <f t="shared" ca="1" si="33"/>
        <v>-1.6701596111316441E-2</v>
      </c>
      <c r="N194" s="9">
        <f t="shared" ca="1" si="33"/>
        <v>-4.6384598038525316E-3</v>
      </c>
      <c r="O194" s="9">
        <f t="shared" ca="1" si="33"/>
        <v>-6.1023857085109445E-3</v>
      </c>
      <c r="P194" s="9">
        <f t="shared" ca="1" si="33"/>
        <v>1.3499701464418845E-2</v>
      </c>
      <c r="Q194" s="9">
        <f t="shared" ca="1" si="33"/>
        <v>-2.1754617145278324E-2</v>
      </c>
    </row>
    <row r="195" spans="1:17">
      <c r="A195" t="s">
        <v>259</v>
      </c>
      <c r="B195" s="1">
        <v>397.36</v>
      </c>
      <c r="C195" s="9">
        <f t="shared" si="24"/>
        <v>-1.4997149302198783E-2</v>
      </c>
      <c r="D195" s="9">
        <f t="shared" ca="1" si="32"/>
        <v>-6.6231028308143423E-3</v>
      </c>
      <c r="E195" s="9">
        <f t="shared" ca="1" si="32"/>
        <v>3.717372521650409E-2</v>
      </c>
      <c r="F195" s="9">
        <f t="shared" ca="1" si="32"/>
        <v>-1.4352577637900314E-2</v>
      </c>
      <c r="G195" s="9">
        <f t="shared" ca="1" si="32"/>
        <v>1.1689414474380195E-2</v>
      </c>
      <c r="H195" s="9">
        <f t="shared" ca="1" si="32"/>
        <v>1.4923631752275051E-2</v>
      </c>
      <c r="J195" t="s">
        <v>259</v>
      </c>
      <c r="K195" s="1">
        <v>238</v>
      </c>
      <c r="L195" s="9">
        <f t="shared" si="26"/>
        <v>-2.5349113395306926E-2</v>
      </c>
      <c r="M195" s="9">
        <f t="shared" ca="1" si="33"/>
        <v>-1.8489584715811865E-2</v>
      </c>
      <c r="N195" s="9">
        <f t="shared" ca="1" si="33"/>
        <v>1.3701887120913536E-2</v>
      </c>
      <c r="O195" s="9">
        <f t="shared" ca="1" si="33"/>
        <v>-3.2085961210219752E-3</v>
      </c>
      <c r="P195" s="9">
        <f t="shared" ca="1" si="33"/>
        <v>-3.7663130198067891E-2</v>
      </c>
      <c r="Q195" s="9">
        <f t="shared" ca="1" si="33"/>
        <v>-6.8571724643897306E-3</v>
      </c>
    </row>
    <row r="196" spans="1:17">
      <c r="A196" t="s">
        <v>260</v>
      </c>
      <c r="B196" s="1">
        <v>390.34</v>
      </c>
      <c r="C196" s="9">
        <f t="shared" si="24"/>
        <v>-1.7666599557076803E-2</v>
      </c>
      <c r="D196" s="9">
        <f t="shared" ca="1" si="32"/>
        <v>2.0795470994342875E-2</v>
      </c>
      <c r="E196" s="9">
        <f t="shared" ca="1" si="32"/>
        <v>1.279787920847898E-2</v>
      </c>
      <c r="F196" s="9">
        <f t="shared" ca="1" si="32"/>
        <v>-2.2899747643019427E-2</v>
      </c>
      <c r="G196" s="9">
        <f t="shared" ca="1" si="32"/>
        <v>-1.4081830155617895E-2</v>
      </c>
      <c r="H196" s="9">
        <f t="shared" ca="1" si="32"/>
        <v>2.5466512841025205E-2</v>
      </c>
      <c r="J196" t="s">
        <v>260</v>
      </c>
      <c r="K196" s="1">
        <v>241.51</v>
      </c>
      <c r="L196" s="9">
        <f t="shared" si="26"/>
        <v>1.4747899159663827E-2</v>
      </c>
      <c r="M196" s="9">
        <f t="shared" ca="1" si="33"/>
        <v>-5.1769066254554255E-3</v>
      </c>
      <c r="N196" s="9">
        <f t="shared" ca="1" si="33"/>
        <v>-4.3921384629324642E-2</v>
      </c>
      <c r="O196" s="9">
        <f t="shared" ca="1" si="33"/>
        <v>-4.6333861862785951E-2</v>
      </c>
      <c r="P196" s="9">
        <f t="shared" ca="1" si="33"/>
        <v>2.351116477964215E-3</v>
      </c>
      <c r="Q196" s="9">
        <f t="shared" ca="1" si="33"/>
        <v>6.5112194394814369E-3</v>
      </c>
    </row>
    <row r="197" spans="1:17">
      <c r="A197" t="s">
        <v>261</v>
      </c>
      <c r="B197" s="1">
        <v>390.74</v>
      </c>
      <c r="C197" s="9">
        <f t="shared" si="24"/>
        <v>1.0247476558898246E-3</v>
      </c>
      <c r="D197" s="9">
        <f t="shared" ca="1" si="32"/>
        <v>-1.5679559037376972E-2</v>
      </c>
      <c r="E197" s="9">
        <f t="shared" ca="1" si="32"/>
        <v>1.1545624598709116E-2</v>
      </c>
      <c r="F197" s="9">
        <f t="shared" ca="1" si="32"/>
        <v>9.090803260023355E-3</v>
      </c>
      <c r="G197" s="9">
        <f t="shared" ca="1" si="32"/>
        <v>3.2161607071099517E-2</v>
      </c>
      <c r="H197" s="9">
        <f t="shared" ca="1" si="32"/>
        <v>-3.0522231094046923E-2</v>
      </c>
      <c r="J197" t="s">
        <v>261</v>
      </c>
      <c r="K197" s="1">
        <v>238.55</v>
      </c>
      <c r="L197" s="9">
        <f t="shared" si="26"/>
        <v>-1.2256221274481303E-2</v>
      </c>
      <c r="M197" s="9">
        <f t="shared" ca="1" si="33"/>
        <v>1.8940707895206209E-2</v>
      </c>
      <c r="N197" s="9">
        <f t="shared" ca="1" si="33"/>
        <v>1.4425308585514329E-2</v>
      </c>
      <c r="O197" s="9">
        <f t="shared" ca="1" si="33"/>
        <v>4.2734658407018252E-5</v>
      </c>
      <c r="P197" s="9">
        <f t="shared" ca="1" si="33"/>
        <v>6.2308115154962544E-3</v>
      </c>
      <c r="Q197" s="9">
        <f t="shared" ca="1" si="33"/>
        <v>7.3998391521581872E-3</v>
      </c>
    </row>
    <row r="198" spans="1:17">
      <c r="A198" t="s">
        <v>262</v>
      </c>
      <c r="B198" s="1">
        <v>399.76</v>
      </c>
      <c r="C198" s="9">
        <f t="shared" si="24"/>
        <v>2.3084403951476637E-2</v>
      </c>
      <c r="D198" s="9">
        <f t="shared" ca="1" si="32"/>
        <v>3.7073968073932873E-2</v>
      </c>
      <c r="E198" s="9">
        <f t="shared" ca="1" si="32"/>
        <v>1.6779103751201209E-2</v>
      </c>
      <c r="F198" s="9">
        <f t="shared" ca="1" si="32"/>
        <v>-7.0713779952766651E-3</v>
      </c>
      <c r="G198" s="9">
        <f t="shared" ca="1" si="32"/>
        <v>-7.3919659352707093E-3</v>
      </c>
      <c r="H198" s="9">
        <f t="shared" ca="1" si="32"/>
        <v>-4.2164550201771893E-2</v>
      </c>
      <c r="J198" t="s">
        <v>262</v>
      </c>
      <c r="K198" s="1">
        <v>246.02</v>
      </c>
      <c r="L198" s="9">
        <f t="shared" si="26"/>
        <v>3.131418989729616E-2</v>
      </c>
      <c r="M198" s="9">
        <f t="shared" ca="1" si="33"/>
        <v>-1.6102255523168678E-2</v>
      </c>
      <c r="N198" s="9">
        <f t="shared" ca="1" si="33"/>
        <v>-6.6785211840249097E-3</v>
      </c>
      <c r="O198" s="9">
        <f t="shared" ca="1" si="33"/>
        <v>2.0819408506726755E-2</v>
      </c>
      <c r="P198" s="9">
        <f t="shared" ca="1" si="33"/>
        <v>-4.9123390303256352E-3</v>
      </c>
      <c r="Q198" s="9">
        <f t="shared" ca="1" si="33"/>
        <v>-1.7543479393175229E-2</v>
      </c>
    </row>
    <row r="199" spans="1:17">
      <c r="A199" t="s">
        <v>263</v>
      </c>
      <c r="B199" s="1">
        <v>393.83</v>
      </c>
      <c r="C199" s="9">
        <f t="shared" si="24"/>
        <v>-1.483390034020414E-2</v>
      </c>
      <c r="D199" s="9">
        <f t="shared" ca="1" si="32"/>
        <v>-4.0498253511682338E-4</v>
      </c>
      <c r="E199" s="9">
        <f t="shared" ca="1" si="32"/>
        <v>8.7328572873766573E-3</v>
      </c>
      <c r="F199" s="9">
        <f t="shared" ca="1" si="32"/>
        <v>-4.7000022799799706E-3</v>
      </c>
      <c r="G199" s="9">
        <f t="shared" ca="1" si="32"/>
        <v>3.4141625771040983E-2</v>
      </c>
      <c r="H199" s="9">
        <f t="shared" ca="1" si="32"/>
        <v>-2.2339428847554046E-2</v>
      </c>
      <c r="J199" t="s">
        <v>263</v>
      </c>
      <c r="K199" s="1">
        <v>246</v>
      </c>
      <c r="L199" s="9">
        <f t="shared" si="26"/>
        <v>-8.1294203723316114E-5</v>
      </c>
      <c r="M199" s="9">
        <f t="shared" ca="1" si="33"/>
        <v>2.7172425126290707E-2</v>
      </c>
      <c r="N199" s="9">
        <f t="shared" ca="1" si="33"/>
        <v>2.6013869014814367E-2</v>
      </c>
      <c r="O199" s="9">
        <f t="shared" ca="1" si="33"/>
        <v>-2.6130932911478052E-2</v>
      </c>
      <c r="P199" s="9">
        <f t="shared" ca="1" si="33"/>
        <v>-1.5977149377561551E-2</v>
      </c>
      <c r="Q199" s="9">
        <f t="shared" ca="1" si="33"/>
        <v>3.0731432245265759E-2</v>
      </c>
    </row>
    <row r="200" spans="1:17">
      <c r="A200" t="s">
        <v>264</v>
      </c>
      <c r="B200" s="1">
        <v>378.91</v>
      </c>
      <c r="C200" s="9">
        <f t="shared" si="24"/>
        <v>-3.7884366350963511E-2</v>
      </c>
      <c r="D200" s="9">
        <f t="shared" ca="1" si="32"/>
        <v>1.8303853027819558E-2</v>
      </c>
      <c r="E200" s="9">
        <f t="shared" ca="1" si="32"/>
        <v>1.3855748691023387E-2</v>
      </c>
      <c r="F200" s="9">
        <f t="shared" ca="1" si="32"/>
        <v>1.0363556170216767E-2</v>
      </c>
      <c r="G200" s="9">
        <f t="shared" ca="1" si="32"/>
        <v>-1.4823418230417926E-2</v>
      </c>
      <c r="H200" s="9">
        <f t="shared" ca="1" si="32"/>
        <v>1.6077043825396573E-2</v>
      </c>
      <c r="J200" t="s">
        <v>264</v>
      </c>
      <c r="K200" s="1">
        <v>237.5</v>
      </c>
      <c r="L200" s="9">
        <f t="shared" si="26"/>
        <v>-3.4552845528455285E-2</v>
      </c>
      <c r="M200" s="9">
        <f t="shared" ca="1" si="33"/>
        <v>1.8596906792379055E-2</v>
      </c>
      <c r="N200" s="9">
        <f t="shared" ca="1" si="33"/>
        <v>3.9283902705901388E-2</v>
      </c>
      <c r="O200" s="9">
        <f t="shared" ca="1" si="33"/>
        <v>1.6709816343330034E-3</v>
      </c>
      <c r="P200" s="9">
        <f t="shared" ca="1" si="33"/>
        <v>-2.8531255830646862E-2</v>
      </c>
      <c r="Q200" s="9">
        <f t="shared" ca="1" si="33"/>
        <v>2.6590407519221128E-3</v>
      </c>
    </row>
    <row r="201" spans="1:17">
      <c r="A201" t="s">
        <v>265</v>
      </c>
      <c r="B201" s="1">
        <v>379.4</v>
      </c>
      <c r="C201" s="9">
        <f t="shared" si="24"/>
        <v>1.2931830777755989E-3</v>
      </c>
      <c r="D201" s="9">
        <f t="shared" ca="1" si="32"/>
        <v>-5.3754651388595474E-3</v>
      </c>
      <c r="E201" s="9">
        <f t="shared" ca="1" si="32"/>
        <v>8.7926243061898692E-3</v>
      </c>
      <c r="F201" s="9">
        <f t="shared" ca="1" si="32"/>
        <v>1.1903082735597583E-2</v>
      </c>
      <c r="G201" s="9">
        <f t="shared" ca="1" si="32"/>
        <v>-9.9181575101638213E-3</v>
      </c>
      <c r="H201" s="9">
        <f t="shared" ca="1" si="32"/>
        <v>2.1746167482729058E-2</v>
      </c>
      <c r="J201" t="s">
        <v>265</v>
      </c>
      <c r="K201" s="1">
        <v>244.39</v>
      </c>
      <c r="L201" s="9">
        <f t="shared" si="26"/>
        <v>2.9010526315789417E-2</v>
      </c>
      <c r="M201" s="9">
        <f t="shared" ca="1" si="33"/>
        <v>-4.1477814028488512E-2</v>
      </c>
      <c r="N201" s="9">
        <f t="shared" ca="1" si="33"/>
        <v>2.7403716056332759E-2</v>
      </c>
      <c r="O201" s="9">
        <f t="shared" ca="1" si="33"/>
        <v>-2.463475212278834E-3</v>
      </c>
      <c r="P201" s="9">
        <f t="shared" ca="1" si="33"/>
        <v>2.4052032615075821E-2</v>
      </c>
      <c r="Q201" s="9">
        <f t="shared" ca="1" si="33"/>
        <v>6.9400134314497432E-3</v>
      </c>
    </row>
    <row r="202" spans="1:17">
      <c r="A202" t="s">
        <v>266</v>
      </c>
      <c r="B202" s="1">
        <v>367.34</v>
      </c>
      <c r="C202" s="9">
        <f t="shared" si="24"/>
        <v>-3.1787032156035851E-2</v>
      </c>
      <c r="D202" s="9">
        <f t="shared" ca="1" si="32"/>
        <v>-2.1271298554986336E-2</v>
      </c>
      <c r="E202" s="9">
        <f t="shared" ca="1" si="32"/>
        <v>-1.1863274815014058E-2</v>
      </c>
      <c r="F202" s="9">
        <f t="shared" ca="1" si="32"/>
        <v>-3.6045612873599558E-3</v>
      </c>
      <c r="G202" s="9">
        <f t="shared" ca="1" si="32"/>
        <v>2.2128876915465664E-2</v>
      </c>
      <c r="H202" s="9">
        <f t="shared" ca="1" si="32"/>
        <v>-1.4941851939315061E-2</v>
      </c>
      <c r="J202" t="s">
        <v>266</v>
      </c>
      <c r="K202" s="1">
        <v>232.79</v>
      </c>
      <c r="L202" s="9">
        <f t="shared" si="26"/>
        <v>-4.7465117230655898E-2</v>
      </c>
      <c r="M202" s="9">
        <f t="shared" ca="1" si="33"/>
        <v>3.313588225267728E-2</v>
      </c>
      <c r="N202" s="9">
        <f t="shared" ca="1" si="33"/>
        <v>5.7717081215091269E-3</v>
      </c>
      <c r="O202" s="9">
        <f t="shared" ca="1" si="33"/>
        <v>7.8758210108438188E-3</v>
      </c>
      <c r="P202" s="9">
        <f t="shared" ca="1" si="33"/>
        <v>-2.0378130773559947E-2</v>
      </c>
      <c r="Q202" s="9">
        <f t="shared" ca="1" si="33"/>
        <v>3.9219625434845425E-2</v>
      </c>
    </row>
    <row r="203" spans="1:17">
      <c r="A203" t="s">
        <v>267</v>
      </c>
      <c r="B203" s="1">
        <v>373.94</v>
      </c>
      <c r="C203" s="9">
        <f t="shared" si="24"/>
        <v>1.7967006043447552E-2</v>
      </c>
      <c r="D203" s="9">
        <f t="shared" ca="1" si="32"/>
        <v>7.2825016805660378E-3</v>
      </c>
      <c r="E203" s="9">
        <f t="shared" ca="1" si="32"/>
        <v>1.1812950723087396E-2</v>
      </c>
      <c r="F203" s="9">
        <f t="shared" ca="1" si="32"/>
        <v>-8.5133469138778221E-3</v>
      </c>
      <c r="G203" s="9">
        <f t="shared" ca="1" si="32"/>
        <v>9.0107570011940252E-3</v>
      </c>
      <c r="H203" s="9">
        <f t="shared" ca="1" si="32"/>
        <v>-3.2494262508171577E-2</v>
      </c>
      <c r="J203" t="s">
        <v>267</v>
      </c>
      <c r="K203" s="1">
        <v>234.11</v>
      </c>
      <c r="L203" s="9">
        <f t="shared" si="26"/>
        <v>5.6703466643757104E-3</v>
      </c>
      <c r="M203" s="9">
        <f t="shared" ca="1" si="33"/>
        <v>3.08684399664646E-2</v>
      </c>
      <c r="N203" s="9">
        <f t="shared" ca="1" si="33"/>
        <v>1.5557866791063765E-2</v>
      </c>
      <c r="O203" s="9">
        <f t="shared" ca="1" si="33"/>
        <v>2.4921223420788313E-2</v>
      </c>
      <c r="P203" s="9">
        <f t="shared" ca="1" si="33"/>
        <v>2.2894537601130593E-2</v>
      </c>
      <c r="Q203" s="9">
        <f t="shared" ca="1" si="33"/>
        <v>-1.9905226794293369E-2</v>
      </c>
    </row>
    <row r="204" spans="1:17">
      <c r="A204" t="s">
        <v>268</v>
      </c>
      <c r="B204" s="1">
        <v>365.46</v>
      </c>
      <c r="C204" s="9">
        <f t="shared" si="24"/>
        <v>-2.2677434882601537E-2</v>
      </c>
      <c r="D204" s="9">
        <f t="shared" ca="1" si="32"/>
        <v>1.316962442761711E-2</v>
      </c>
      <c r="E204" s="9">
        <f t="shared" ca="1" si="32"/>
        <v>9.0691344296274738E-3</v>
      </c>
      <c r="F204" s="9">
        <f t="shared" ca="1" si="32"/>
        <v>2.1027681339191941E-2</v>
      </c>
      <c r="G204" s="9">
        <f t="shared" ca="1" si="32"/>
        <v>5.9856519940336061E-3</v>
      </c>
      <c r="H204" s="9">
        <f t="shared" ca="1" si="32"/>
        <v>2.906398277733995E-4</v>
      </c>
      <c r="J204" t="s">
        <v>268</v>
      </c>
      <c r="K204" s="1">
        <v>234.27</v>
      </c>
      <c r="L204" s="9">
        <f t="shared" si="26"/>
        <v>6.8343940882489677E-4</v>
      </c>
      <c r="M204" s="9">
        <f t="shared" ca="1" si="33"/>
        <v>-1.6573821260965637E-2</v>
      </c>
      <c r="N204" s="9">
        <f t="shared" ca="1" si="33"/>
        <v>-1.5767415664983027E-2</v>
      </c>
      <c r="O204" s="9">
        <f t="shared" ca="1" si="33"/>
        <v>2.4005325110783072E-3</v>
      </c>
      <c r="P204" s="9">
        <f t="shared" ca="1" si="33"/>
        <v>-8.6555190929221738E-3</v>
      </c>
      <c r="Q204" s="9">
        <f t="shared" ca="1" si="33"/>
        <v>-5.3607716998377557E-3</v>
      </c>
    </row>
    <row r="205" spans="1:17">
      <c r="A205" t="s">
        <v>269</v>
      </c>
      <c r="B205" s="1">
        <v>352.83</v>
      </c>
      <c r="C205" s="9">
        <f t="shared" si="24"/>
        <v>-3.4559185683795755E-2</v>
      </c>
      <c r="D205" s="9">
        <f t="shared" ca="1" si="32"/>
        <v>-1.3785932410974863E-2</v>
      </c>
      <c r="E205" s="9">
        <f t="shared" ca="1" si="32"/>
        <v>3.7678397421721528E-2</v>
      </c>
      <c r="F205" s="9">
        <f t="shared" ca="1" si="32"/>
        <v>1.7661292807798702E-2</v>
      </c>
      <c r="G205" s="9">
        <f t="shared" ca="1" si="32"/>
        <v>7.5821805791276686E-3</v>
      </c>
      <c r="H205" s="9">
        <f t="shared" ca="1" si="32"/>
        <v>-1.8517719146309741E-2</v>
      </c>
      <c r="J205" t="s">
        <v>269</v>
      </c>
      <c r="K205" s="1">
        <v>227.01</v>
      </c>
      <c r="L205" s="9">
        <f t="shared" si="26"/>
        <v>-3.0989883467793654E-2</v>
      </c>
      <c r="M205" s="9">
        <f t="shared" ca="1" si="33"/>
        <v>1.3413294615311565E-2</v>
      </c>
      <c r="N205" s="9">
        <f t="shared" ca="1" si="33"/>
        <v>1.0958737708890658E-2</v>
      </c>
      <c r="O205" s="9">
        <f t="shared" ca="1" si="33"/>
        <v>-4.7409448211236673E-5</v>
      </c>
      <c r="P205" s="9">
        <f t="shared" ca="1" si="33"/>
        <v>1.7153460296658414E-3</v>
      </c>
      <c r="Q205" s="9">
        <f t="shared" ca="1" si="33"/>
        <v>-1.8703139409115958E-3</v>
      </c>
    </row>
    <row r="206" spans="1:17">
      <c r="A206" t="s">
        <v>270</v>
      </c>
      <c r="B206" s="1">
        <v>372.97</v>
      </c>
      <c r="C206" s="9">
        <f t="shared" si="24"/>
        <v>5.7081313947226833E-2</v>
      </c>
      <c r="D206" s="9">
        <f t="shared" ca="1" si="32"/>
        <v>-9.6073599421341044E-3</v>
      </c>
      <c r="E206" s="9">
        <f t="shared" ca="1" si="32"/>
        <v>-3.3173168039682529E-3</v>
      </c>
      <c r="F206" s="9">
        <f t="shared" ca="1" si="32"/>
        <v>-1.471581885518413E-2</v>
      </c>
      <c r="G206" s="9">
        <f t="shared" ca="1" si="32"/>
        <v>5.8882389036964853E-3</v>
      </c>
      <c r="H206" s="9">
        <f t="shared" ca="1" si="32"/>
        <v>3.3333712622262056E-2</v>
      </c>
      <c r="J206" t="s">
        <v>270</v>
      </c>
      <c r="K206" s="1">
        <v>232.69</v>
      </c>
      <c r="L206" s="9">
        <f t="shared" si="26"/>
        <v>2.5020924188361778E-2</v>
      </c>
      <c r="M206" s="9">
        <f t="shared" ca="1" si="33"/>
        <v>1.290843716648059E-2</v>
      </c>
      <c r="N206" s="9">
        <f t="shared" ca="1" si="33"/>
        <v>5.3750643559854752E-3</v>
      </c>
      <c r="O206" s="9">
        <f t="shared" ca="1" si="33"/>
        <v>1.5429115594417552E-2</v>
      </c>
      <c r="P206" s="9">
        <f t="shared" ca="1" si="33"/>
        <v>5.0733613703563855E-3</v>
      </c>
      <c r="Q206" s="9">
        <f t="shared" ca="1" si="33"/>
        <v>1.8886111153192789E-2</v>
      </c>
    </row>
    <row r="207" spans="1:17">
      <c r="A207" t="s">
        <v>271</v>
      </c>
      <c r="B207" s="1">
        <v>368.57</v>
      </c>
      <c r="C207" s="9">
        <f t="shared" si="24"/>
        <v>-1.1797195484891637E-2</v>
      </c>
      <c r="D207" s="9">
        <f t="shared" ca="1" si="32"/>
        <v>1.4703375425427828E-2</v>
      </c>
      <c r="E207" s="9">
        <f t="shared" ca="1" si="32"/>
        <v>2.8751851841873319E-2</v>
      </c>
      <c r="F207" s="9">
        <f t="shared" ca="1" si="32"/>
        <v>-1.2383573643946478E-2</v>
      </c>
      <c r="G207" s="9">
        <f t="shared" ca="1" si="32"/>
        <v>5.7012362087327222E-3</v>
      </c>
      <c r="H207" s="9">
        <f t="shared" ca="1" si="32"/>
        <v>9.1545756396327199E-3</v>
      </c>
      <c r="J207" t="s">
        <v>271</v>
      </c>
      <c r="K207" s="1">
        <v>240.14</v>
      </c>
      <c r="L207" s="9">
        <f t="shared" si="26"/>
        <v>3.20168464480639E-2</v>
      </c>
      <c r="M207" s="9">
        <f t="shared" ca="1" si="33"/>
        <v>1.8286043425543778E-4</v>
      </c>
      <c r="N207" s="9">
        <f t="shared" ca="1" si="33"/>
        <v>-1.0071195773694521E-2</v>
      </c>
      <c r="O207" s="9">
        <f t="shared" ca="1" si="33"/>
        <v>-3.4260347596091925E-3</v>
      </c>
      <c r="P207" s="9">
        <f t="shared" ca="1" si="33"/>
        <v>-6.0229428827521213E-3</v>
      </c>
      <c r="Q207" s="9">
        <f t="shared" ca="1" si="33"/>
        <v>3.1366960052118718E-2</v>
      </c>
    </row>
    <row r="208" spans="1:17">
      <c r="A208" t="s">
        <v>272</v>
      </c>
      <c r="B208" s="1">
        <v>373.02</v>
      </c>
      <c r="C208" s="9">
        <f t="shared" ref="C208:C265" si="34">(B208-B207)/B207</f>
        <v>1.2073690208101551E-2</v>
      </c>
      <c r="D208" s="9">
        <f t="shared" ref="D208:H223" ca="1" si="35">NORMINV(RAND(), $C$6, $C$7)</f>
        <v>-1.6948907393614658E-3</v>
      </c>
      <c r="E208" s="9">
        <f t="shared" ca="1" si="35"/>
        <v>5.4739294151106991E-3</v>
      </c>
      <c r="F208" s="9">
        <f t="shared" ca="1" si="35"/>
        <v>3.4569947172960733E-2</v>
      </c>
      <c r="G208" s="9">
        <f t="shared" ca="1" si="35"/>
        <v>-1.6327711603696466E-2</v>
      </c>
      <c r="H208" s="9">
        <f t="shared" ca="1" si="35"/>
        <v>1.306315243335638E-2</v>
      </c>
      <c r="J208" t="s">
        <v>272</v>
      </c>
      <c r="K208" s="1">
        <v>238.34</v>
      </c>
      <c r="L208" s="9">
        <f t="shared" ref="L208:L265" si="36">(K208-K207)/K207</f>
        <v>-7.4956275505954151E-3</v>
      </c>
      <c r="M208" s="9">
        <f t="shared" ref="M208:Q223" ca="1" si="37">NORMINV(RAND(), $L$6, $L$7)</f>
        <v>-2.1617971321488628E-4</v>
      </c>
      <c r="N208" s="9">
        <f t="shared" ca="1" si="37"/>
        <v>-6.2117978278867867E-3</v>
      </c>
      <c r="O208" s="9">
        <f t="shared" ca="1" si="37"/>
        <v>-1.4841927574783321E-4</v>
      </c>
      <c r="P208" s="9">
        <f t="shared" ca="1" si="37"/>
        <v>1.0754684309993599E-2</v>
      </c>
      <c r="Q208" s="9">
        <f t="shared" ca="1" si="37"/>
        <v>3.6180133522707499E-2</v>
      </c>
    </row>
    <row r="209" spans="1:17">
      <c r="A209" t="s">
        <v>273</v>
      </c>
      <c r="B209" s="1">
        <v>384.28</v>
      </c>
      <c r="C209" s="9">
        <f t="shared" si="34"/>
        <v>3.0186049005415237E-2</v>
      </c>
      <c r="D209" s="9">
        <f t="shared" ca="1" si="35"/>
        <v>1.1860669981006869E-2</v>
      </c>
      <c r="E209" s="9">
        <f t="shared" ca="1" si="35"/>
        <v>2.183373547109612E-2</v>
      </c>
      <c r="F209" s="9">
        <f t="shared" ca="1" si="35"/>
        <v>-2.5071919767048225E-2</v>
      </c>
      <c r="G209" s="9">
        <f t="shared" ca="1" si="35"/>
        <v>-1.2525328887836651E-3</v>
      </c>
      <c r="H209" s="9">
        <f t="shared" ca="1" si="35"/>
        <v>-2.6239844739054299E-3</v>
      </c>
      <c r="J209" t="s">
        <v>273</v>
      </c>
      <c r="K209" s="1">
        <v>241.7</v>
      </c>
      <c r="L209" s="9">
        <f t="shared" si="36"/>
        <v>1.4097507762020581E-2</v>
      </c>
      <c r="M209" s="9">
        <f t="shared" ca="1" si="37"/>
        <v>-1.0438853328971889E-2</v>
      </c>
      <c r="N209" s="9">
        <f t="shared" ca="1" si="37"/>
        <v>3.2246495071926069E-2</v>
      </c>
      <c r="O209" s="9">
        <f t="shared" ca="1" si="37"/>
        <v>1.890148965832705E-3</v>
      </c>
      <c r="P209" s="9">
        <f t="shared" ca="1" si="37"/>
        <v>3.3929221243446467E-2</v>
      </c>
      <c r="Q209" s="9">
        <f t="shared" ca="1" si="37"/>
        <v>-5.991933227917778E-3</v>
      </c>
    </row>
    <row r="210" spans="1:17">
      <c r="A210" t="s">
        <v>274</v>
      </c>
      <c r="B210" s="1">
        <v>390.49</v>
      </c>
      <c r="C210" s="9">
        <f t="shared" si="34"/>
        <v>1.6160091599875186E-2</v>
      </c>
      <c r="D210" s="9">
        <f t="shared" ca="1" si="35"/>
        <v>-4.9404799196028065E-3</v>
      </c>
      <c r="E210" s="9">
        <f t="shared" ca="1" si="35"/>
        <v>-1.0922926308143597E-2</v>
      </c>
      <c r="F210" s="9">
        <f t="shared" ca="1" si="35"/>
        <v>4.4330318653377082E-2</v>
      </c>
      <c r="G210" s="9">
        <f t="shared" ca="1" si="35"/>
        <v>2.6432196467855145E-2</v>
      </c>
      <c r="H210" s="9">
        <f t="shared" ca="1" si="35"/>
        <v>3.1274309992167119E-2</v>
      </c>
      <c r="J210" t="s">
        <v>274</v>
      </c>
      <c r="K210" s="1">
        <v>242.67</v>
      </c>
      <c r="L210" s="9">
        <f t="shared" si="36"/>
        <v>4.0132395531650763E-3</v>
      </c>
      <c r="M210" s="9">
        <f t="shared" ca="1" si="37"/>
        <v>6.8857244700592443E-3</v>
      </c>
      <c r="N210" s="9">
        <f t="shared" ca="1" si="37"/>
        <v>1.5303344657428995E-2</v>
      </c>
      <c r="O210" s="9">
        <f t="shared" ca="1" si="37"/>
        <v>-9.3903549760712083E-3</v>
      </c>
      <c r="P210" s="9">
        <f t="shared" ca="1" si="37"/>
        <v>1.552154740207814E-2</v>
      </c>
      <c r="Q210" s="9">
        <f t="shared" ca="1" si="37"/>
        <v>-1.6198304389274481E-2</v>
      </c>
    </row>
    <row r="211" spans="1:17">
      <c r="A211" t="s">
        <v>275</v>
      </c>
      <c r="B211" s="1">
        <v>386.74</v>
      </c>
      <c r="C211" s="9">
        <f t="shared" si="34"/>
        <v>-9.6033189070142636E-3</v>
      </c>
      <c r="D211" s="9">
        <f t="shared" ca="1" si="35"/>
        <v>3.2818039844749097E-2</v>
      </c>
      <c r="E211" s="9">
        <f t="shared" ca="1" si="35"/>
        <v>1.7377042792940854E-2</v>
      </c>
      <c r="F211" s="9">
        <f t="shared" ca="1" si="35"/>
        <v>3.4493261995996789E-2</v>
      </c>
      <c r="G211" s="9">
        <f t="shared" ca="1" si="35"/>
        <v>2.5063258330143629E-2</v>
      </c>
      <c r="H211" s="9">
        <f t="shared" ca="1" si="35"/>
        <v>2.201263233154296E-2</v>
      </c>
      <c r="J211" t="s">
        <v>275</v>
      </c>
      <c r="K211" s="1">
        <v>244.16</v>
      </c>
      <c r="L211" s="9">
        <f t="shared" si="36"/>
        <v>6.1400255490996385E-3</v>
      </c>
      <c r="M211" s="9">
        <f t="shared" ca="1" si="37"/>
        <v>-1.4903134546445311E-2</v>
      </c>
      <c r="N211" s="9">
        <f t="shared" ca="1" si="37"/>
        <v>8.3225339053658743E-3</v>
      </c>
      <c r="O211" s="9">
        <f t="shared" ca="1" si="37"/>
        <v>2.1669652020135724E-2</v>
      </c>
      <c r="P211" s="9">
        <f t="shared" ca="1" si="37"/>
        <v>2.493415484459888E-2</v>
      </c>
      <c r="Q211" s="9">
        <f t="shared" ca="1" si="37"/>
        <v>-4.8309334206699797E-3</v>
      </c>
    </row>
    <row r="212" spans="1:17">
      <c r="A212" t="s">
        <v>276</v>
      </c>
      <c r="B212" s="1">
        <v>388.84</v>
      </c>
      <c r="C212" s="9">
        <f t="shared" si="34"/>
        <v>5.4300046542896151E-3</v>
      </c>
      <c r="D212" s="9">
        <f t="shared" ca="1" si="35"/>
        <v>-1.7540470612263169E-3</v>
      </c>
      <c r="E212" s="9">
        <f t="shared" ca="1" si="35"/>
        <v>3.5038092143342095E-2</v>
      </c>
      <c r="F212" s="9">
        <f t="shared" ca="1" si="35"/>
        <v>-3.9367358404122373E-2</v>
      </c>
      <c r="G212" s="9">
        <f t="shared" ca="1" si="35"/>
        <v>-3.0139199449939601E-3</v>
      </c>
      <c r="H212" s="9">
        <f t="shared" ca="1" si="35"/>
        <v>-2.5879420852598085E-3</v>
      </c>
      <c r="J212" t="s">
        <v>276</v>
      </c>
      <c r="K212" s="1">
        <v>245.98</v>
      </c>
      <c r="L212" s="9">
        <f t="shared" si="36"/>
        <v>7.4541284403669443E-3</v>
      </c>
      <c r="M212" s="9">
        <f t="shared" ca="1" si="37"/>
        <v>7.7023664464626084E-4</v>
      </c>
      <c r="N212" s="9">
        <f t="shared" ca="1" si="37"/>
        <v>-3.320825717616768E-3</v>
      </c>
      <c r="O212" s="9">
        <f t="shared" ca="1" si="37"/>
        <v>-1.9664800077226485E-4</v>
      </c>
      <c r="P212" s="9">
        <f t="shared" ca="1" si="37"/>
        <v>-2.5022084451670899E-3</v>
      </c>
      <c r="Q212" s="9">
        <f t="shared" ca="1" si="37"/>
        <v>8.2023577249656521E-3</v>
      </c>
    </row>
    <row r="213" spans="1:17">
      <c r="A213" t="s">
        <v>277</v>
      </c>
      <c r="B213" s="1">
        <v>383.34</v>
      </c>
      <c r="C213" s="9">
        <f t="shared" si="34"/>
        <v>-1.4144635325583788E-2</v>
      </c>
      <c r="D213" s="9">
        <f t="shared" ca="1" si="35"/>
        <v>1.5447282388432747E-2</v>
      </c>
      <c r="E213" s="9">
        <f t="shared" ca="1" si="35"/>
        <v>-5.1306852106149563E-3</v>
      </c>
      <c r="F213" s="9">
        <f t="shared" ca="1" si="35"/>
        <v>3.0736264379147844E-2</v>
      </c>
      <c r="G213" s="9">
        <f t="shared" ca="1" si="35"/>
        <v>-8.7832737265075046E-3</v>
      </c>
      <c r="H213" s="9">
        <f t="shared" ca="1" si="35"/>
        <v>-2.7527855159356202E-2</v>
      </c>
      <c r="J213" t="s">
        <v>277</v>
      </c>
      <c r="K213" s="1">
        <v>243.62</v>
      </c>
      <c r="L213" s="9">
        <f t="shared" si="36"/>
        <v>-9.5942759573948502E-3</v>
      </c>
      <c r="M213" s="9">
        <f t="shared" ca="1" si="37"/>
        <v>-3.3904365819814625E-2</v>
      </c>
      <c r="N213" s="9">
        <f t="shared" ca="1" si="37"/>
        <v>-3.4646703664418216E-2</v>
      </c>
      <c r="O213" s="9">
        <f t="shared" ca="1" si="37"/>
        <v>1.4438443954549147E-2</v>
      </c>
      <c r="P213" s="9">
        <f t="shared" ca="1" si="37"/>
        <v>-4.381651507141187E-3</v>
      </c>
      <c r="Q213" s="9">
        <f t="shared" ca="1" si="37"/>
        <v>-2.1558638723050957E-2</v>
      </c>
    </row>
    <row r="214" spans="1:17">
      <c r="A214" t="s">
        <v>278</v>
      </c>
      <c r="B214" s="1">
        <v>384.36</v>
      </c>
      <c r="C214" s="9">
        <f t="shared" si="34"/>
        <v>2.6608232900298396E-3</v>
      </c>
      <c r="D214" s="9">
        <f t="shared" ca="1" si="35"/>
        <v>-1.4757802983119919E-2</v>
      </c>
      <c r="E214" s="9">
        <f t="shared" ca="1" si="35"/>
        <v>-3.8355603453604798E-3</v>
      </c>
      <c r="F214" s="9">
        <f t="shared" ca="1" si="35"/>
        <v>-4.249234303184582E-2</v>
      </c>
      <c r="G214" s="9">
        <f t="shared" ca="1" si="35"/>
        <v>1.0221599805973165E-2</v>
      </c>
      <c r="H214" s="9">
        <f t="shared" ca="1" si="35"/>
        <v>3.952410946158872E-2</v>
      </c>
      <c r="J214" t="s">
        <v>278</v>
      </c>
      <c r="K214" s="1">
        <v>247.04</v>
      </c>
      <c r="L214" s="9">
        <f t="shared" si="36"/>
        <v>1.4038256300796271E-2</v>
      </c>
      <c r="M214" s="9">
        <f t="shared" ca="1" si="37"/>
        <v>2.5922095167490054E-3</v>
      </c>
      <c r="N214" s="9">
        <f t="shared" ca="1" si="37"/>
        <v>1.7294975718722953E-2</v>
      </c>
      <c r="O214" s="9">
        <f t="shared" ca="1" si="37"/>
        <v>3.2912690048570955E-3</v>
      </c>
      <c r="P214" s="9">
        <f t="shared" ca="1" si="37"/>
        <v>1.1829797587681679E-2</v>
      </c>
      <c r="Q214" s="9">
        <f t="shared" ca="1" si="37"/>
        <v>6.1601132748404057E-3</v>
      </c>
    </row>
    <row r="215" spans="1:17">
      <c r="A215" t="s">
        <v>279</v>
      </c>
      <c r="B215" s="1">
        <v>385.1</v>
      </c>
      <c r="C215" s="9">
        <f t="shared" si="34"/>
        <v>1.9252783848475623E-3</v>
      </c>
      <c r="D215" s="9">
        <f t="shared" ca="1" si="35"/>
        <v>2.1727611718475773E-2</v>
      </c>
      <c r="E215" s="9">
        <f t="shared" ca="1" si="35"/>
        <v>2.3607047796580301E-2</v>
      </c>
      <c r="F215" s="9">
        <f t="shared" ca="1" si="35"/>
        <v>2.4726198559295906E-2</v>
      </c>
      <c r="G215" s="9">
        <f t="shared" ca="1" si="35"/>
        <v>1.7965754841559791E-2</v>
      </c>
      <c r="H215" s="9">
        <f t="shared" ca="1" si="35"/>
        <v>8.4957168733702597E-4</v>
      </c>
      <c r="J215" t="s">
        <v>279</v>
      </c>
      <c r="K215" s="1">
        <v>245.34</v>
      </c>
      <c r="L215" s="9">
        <f t="shared" si="36"/>
        <v>-6.881476683937778E-3</v>
      </c>
      <c r="M215" s="9">
        <f t="shared" ca="1" si="37"/>
        <v>3.2815359414328012E-2</v>
      </c>
      <c r="N215" s="9">
        <f t="shared" ca="1" si="37"/>
        <v>9.9724029160360248E-3</v>
      </c>
      <c r="O215" s="9">
        <f t="shared" ca="1" si="37"/>
        <v>-1.6914216510030836E-2</v>
      </c>
      <c r="P215" s="9">
        <f t="shared" ca="1" si="37"/>
        <v>3.0031705562989463E-2</v>
      </c>
      <c r="Q215" s="9">
        <f t="shared" ca="1" si="37"/>
        <v>3.602502271696386E-2</v>
      </c>
    </row>
    <row r="216" spans="1:17">
      <c r="A216" t="s">
        <v>280</v>
      </c>
      <c r="B216" s="1">
        <v>390.99</v>
      </c>
      <c r="C216" s="9">
        <f t="shared" si="34"/>
        <v>1.5294728641911155E-2</v>
      </c>
      <c r="D216" s="9">
        <f t="shared" ca="1" si="35"/>
        <v>-1.9295900986774972E-2</v>
      </c>
      <c r="E216" s="9">
        <f t="shared" ca="1" si="35"/>
        <v>6.1007811852345113E-3</v>
      </c>
      <c r="F216" s="9">
        <f t="shared" ca="1" si="35"/>
        <v>-9.5572278085518918E-3</v>
      </c>
      <c r="G216" s="9">
        <f t="shared" ca="1" si="35"/>
        <v>-1.8949914735956346E-2</v>
      </c>
      <c r="H216" s="9">
        <f t="shared" ca="1" si="35"/>
        <v>6.6594478691208428E-3</v>
      </c>
      <c r="J216" t="s">
        <v>280</v>
      </c>
      <c r="K216" s="1">
        <v>247.31</v>
      </c>
      <c r="L216" s="9">
        <f t="shared" si="36"/>
        <v>8.0296731067090524E-3</v>
      </c>
      <c r="M216" s="9">
        <f t="shared" ca="1" si="37"/>
        <v>-1.4958806184595587E-2</v>
      </c>
      <c r="N216" s="9">
        <f t="shared" ca="1" si="37"/>
        <v>4.0262092999123276E-2</v>
      </c>
      <c r="O216" s="9">
        <f t="shared" ca="1" si="37"/>
        <v>1.6503036906773159E-2</v>
      </c>
      <c r="P216" s="9">
        <f t="shared" ca="1" si="37"/>
        <v>2.4011303594326523E-2</v>
      </c>
      <c r="Q216" s="9">
        <f t="shared" ca="1" si="37"/>
        <v>-6.7558721313426403E-3</v>
      </c>
    </row>
    <row r="217" spans="1:17">
      <c r="A217" t="s">
        <v>281</v>
      </c>
      <c r="B217" s="1">
        <v>384.93</v>
      </c>
      <c r="C217" s="9">
        <f t="shared" si="34"/>
        <v>-1.549911762449168E-2</v>
      </c>
      <c r="D217" s="9">
        <f t="shared" ca="1" si="35"/>
        <v>1.3375273354762322E-2</v>
      </c>
      <c r="E217" s="9">
        <f t="shared" ca="1" si="35"/>
        <v>-1.757533535644636E-3</v>
      </c>
      <c r="F217" s="9">
        <f t="shared" ca="1" si="35"/>
        <v>-3.3614774716924332E-2</v>
      </c>
      <c r="G217" s="9">
        <f t="shared" ca="1" si="35"/>
        <v>-2.6063782220887181E-2</v>
      </c>
      <c r="H217" s="9">
        <f t="shared" ca="1" si="35"/>
        <v>-1.1927634769585402E-5</v>
      </c>
      <c r="J217" t="s">
        <v>281</v>
      </c>
      <c r="K217" s="1">
        <v>247.49</v>
      </c>
      <c r="L217" s="9">
        <f t="shared" si="36"/>
        <v>7.2783146658043278E-4</v>
      </c>
      <c r="M217" s="9">
        <f t="shared" ca="1" si="37"/>
        <v>-1.4341032110590152E-2</v>
      </c>
      <c r="N217" s="9">
        <f t="shared" ca="1" si="37"/>
        <v>3.2759670823736591E-2</v>
      </c>
      <c r="O217" s="9">
        <f t="shared" ca="1" si="37"/>
        <v>-2.8203119128770526E-4</v>
      </c>
      <c r="P217" s="9">
        <f t="shared" ca="1" si="37"/>
        <v>3.2673317351269641E-3</v>
      </c>
      <c r="Q217" s="9">
        <f t="shared" ca="1" si="37"/>
        <v>9.8656008687309296E-4</v>
      </c>
    </row>
    <row r="218" spans="1:17">
      <c r="A218" t="s">
        <v>282</v>
      </c>
      <c r="B218" s="1">
        <v>395.63</v>
      </c>
      <c r="C218" s="9">
        <f t="shared" si="34"/>
        <v>2.7797261839815002E-2</v>
      </c>
      <c r="D218" s="9">
        <f t="shared" ca="1" si="35"/>
        <v>-5.0388354087537932E-2</v>
      </c>
      <c r="E218" s="9">
        <f t="shared" ca="1" si="35"/>
        <v>-3.6388668329161274E-2</v>
      </c>
      <c r="F218" s="9">
        <f t="shared" ca="1" si="35"/>
        <v>-1.5094333270787717E-2</v>
      </c>
      <c r="G218" s="9">
        <f t="shared" ca="1" si="35"/>
        <v>-8.4156624055523859E-3</v>
      </c>
      <c r="H218" s="9">
        <f t="shared" ca="1" si="35"/>
        <v>-1.3623931770676044E-2</v>
      </c>
      <c r="J218" t="s">
        <v>282</v>
      </c>
      <c r="K218" s="1">
        <v>254.96</v>
      </c>
      <c r="L218" s="9">
        <f t="shared" si="36"/>
        <v>3.0183037698492864E-2</v>
      </c>
      <c r="M218" s="9">
        <f t="shared" ca="1" si="37"/>
        <v>4.6986298382518622E-3</v>
      </c>
      <c r="N218" s="9">
        <f t="shared" ca="1" si="37"/>
        <v>-4.0396927424921784E-2</v>
      </c>
      <c r="O218" s="9">
        <f t="shared" ca="1" si="37"/>
        <v>4.1094237601095075E-3</v>
      </c>
      <c r="P218" s="9">
        <f t="shared" ca="1" si="37"/>
        <v>-2.1863415067934953E-2</v>
      </c>
      <c r="Q218" s="9">
        <f t="shared" ca="1" si="37"/>
        <v>-1.7111191270438707E-2</v>
      </c>
    </row>
    <row r="219" spans="1:17">
      <c r="A219" t="s">
        <v>283</v>
      </c>
      <c r="B219" s="1">
        <v>401.1</v>
      </c>
      <c r="C219" s="9">
        <f t="shared" si="34"/>
        <v>1.3826049591790379E-2</v>
      </c>
      <c r="D219" s="9">
        <f t="shared" ca="1" si="35"/>
        <v>-6.9190870464512222E-3</v>
      </c>
      <c r="E219" s="9">
        <f t="shared" ca="1" si="35"/>
        <v>-5.0447521593605903E-3</v>
      </c>
      <c r="F219" s="9">
        <f t="shared" ca="1" si="35"/>
        <v>-3.4600521071245761E-2</v>
      </c>
      <c r="G219" s="9">
        <f t="shared" ca="1" si="35"/>
        <v>2.2758288651786068E-2</v>
      </c>
      <c r="H219" s="9">
        <f t="shared" ca="1" si="35"/>
        <v>9.1909330110269624E-3</v>
      </c>
      <c r="J219" t="s">
        <v>283</v>
      </c>
      <c r="K219" s="1">
        <v>249.89</v>
      </c>
      <c r="L219" s="9">
        <f t="shared" si="36"/>
        <v>-1.988547223093827E-2</v>
      </c>
      <c r="M219" s="9">
        <f t="shared" ca="1" si="37"/>
        <v>-2.9753659986474383E-2</v>
      </c>
      <c r="N219" s="9">
        <f t="shared" ca="1" si="37"/>
        <v>-3.6529343454788335E-3</v>
      </c>
      <c r="O219" s="9">
        <f t="shared" ca="1" si="37"/>
        <v>5.3621061504242895E-3</v>
      </c>
      <c r="P219" s="9">
        <f t="shared" ca="1" si="37"/>
        <v>5.1138511344104845E-3</v>
      </c>
      <c r="Q219" s="9">
        <f t="shared" ca="1" si="37"/>
        <v>8.1904755638724323E-3</v>
      </c>
    </row>
    <row r="220" spans="1:17">
      <c r="A220" t="s">
        <v>284</v>
      </c>
      <c r="B220" s="1">
        <v>393.82</v>
      </c>
      <c r="C220" s="9">
        <f t="shared" si="34"/>
        <v>-1.8150087260034975E-2</v>
      </c>
      <c r="D220" s="9">
        <f t="shared" ca="1" si="35"/>
        <v>9.6010483131871889E-3</v>
      </c>
      <c r="E220" s="9">
        <f t="shared" ca="1" si="35"/>
        <v>7.4469308859559154E-3</v>
      </c>
      <c r="F220" s="9">
        <f t="shared" ca="1" si="35"/>
        <v>1.3888693136327511E-2</v>
      </c>
      <c r="G220" s="9">
        <f t="shared" ca="1" si="35"/>
        <v>8.0299835288137247E-3</v>
      </c>
      <c r="H220" s="9">
        <f t="shared" ca="1" si="35"/>
        <v>4.1571602441073288E-2</v>
      </c>
      <c r="J220" t="s">
        <v>284</v>
      </c>
      <c r="K220" s="1">
        <v>247.23</v>
      </c>
      <c r="L220" s="9">
        <f t="shared" si="36"/>
        <v>-1.0644683660810743E-2</v>
      </c>
      <c r="M220" s="9">
        <f t="shared" ca="1" si="37"/>
        <v>2.4453534623885029E-2</v>
      </c>
      <c r="N220" s="9">
        <f t="shared" ca="1" si="37"/>
        <v>2.7715671357274634E-2</v>
      </c>
      <c r="O220" s="9">
        <f t="shared" ca="1" si="37"/>
        <v>-2.0089838819356838E-2</v>
      </c>
      <c r="P220" s="9">
        <f t="shared" ca="1" si="37"/>
        <v>2.4466447258837072E-2</v>
      </c>
      <c r="Q220" s="9">
        <f t="shared" ca="1" si="37"/>
        <v>1.2600339414655914E-2</v>
      </c>
    </row>
    <row r="221" spans="1:17">
      <c r="A221" t="s">
        <v>285</v>
      </c>
      <c r="B221" s="1">
        <v>402.29</v>
      </c>
      <c r="C221" s="9">
        <f t="shared" si="34"/>
        <v>2.1507287593316812E-2</v>
      </c>
      <c r="D221" s="9">
        <f t="shared" ca="1" si="35"/>
        <v>3.1100589557188429E-2</v>
      </c>
      <c r="E221" s="9">
        <f t="shared" ca="1" si="35"/>
        <v>8.9071622307485415E-3</v>
      </c>
      <c r="F221" s="9">
        <f t="shared" ca="1" si="35"/>
        <v>-4.5081324623735347E-5</v>
      </c>
      <c r="G221" s="9">
        <f t="shared" ca="1" si="35"/>
        <v>6.9275072584117142E-3</v>
      </c>
      <c r="H221" s="9">
        <f t="shared" ca="1" si="35"/>
        <v>3.0079379702862313E-2</v>
      </c>
      <c r="J221" t="s">
        <v>285</v>
      </c>
      <c r="K221" s="1">
        <v>249.99</v>
      </c>
      <c r="L221" s="9">
        <f t="shared" si="36"/>
        <v>1.1163693726489583E-2</v>
      </c>
      <c r="M221" s="9">
        <f t="shared" ca="1" si="37"/>
        <v>-2.4151890799790136E-2</v>
      </c>
      <c r="N221" s="9">
        <f t="shared" ca="1" si="37"/>
        <v>-8.1713914468545795E-3</v>
      </c>
      <c r="O221" s="9">
        <f t="shared" ca="1" si="37"/>
        <v>1.2156194923894401E-2</v>
      </c>
      <c r="P221" s="9">
        <f t="shared" ca="1" si="37"/>
        <v>8.5463818958791023E-3</v>
      </c>
      <c r="Q221" s="9">
        <f t="shared" ca="1" si="37"/>
        <v>3.897344046329014E-2</v>
      </c>
    </row>
    <row r="222" spans="1:17">
      <c r="A222" t="s">
        <v>286</v>
      </c>
      <c r="B222" s="1">
        <v>397.75</v>
      </c>
      <c r="C222" s="9">
        <f t="shared" si="34"/>
        <v>-1.1285391135747894E-2</v>
      </c>
      <c r="D222" s="9">
        <f t="shared" ca="1" si="35"/>
        <v>-3.8351237576364173E-3</v>
      </c>
      <c r="E222" s="9">
        <f t="shared" ca="1" si="35"/>
        <v>-2.9566899161079089E-3</v>
      </c>
      <c r="F222" s="9">
        <f t="shared" ca="1" si="35"/>
        <v>1.5854054766244248E-2</v>
      </c>
      <c r="G222" s="9">
        <f t="shared" ca="1" si="35"/>
        <v>2.6422630709860801E-2</v>
      </c>
      <c r="H222" s="9">
        <f t="shared" ca="1" si="35"/>
        <v>1.77408586321086E-2</v>
      </c>
      <c r="J222" t="s">
        <v>286</v>
      </c>
      <c r="K222" s="1">
        <v>247.55</v>
      </c>
      <c r="L222" s="9">
        <f t="shared" si="36"/>
        <v>-9.7603904156166148E-3</v>
      </c>
      <c r="M222" s="9">
        <f t="shared" ca="1" si="37"/>
        <v>2.5586478383922084E-2</v>
      </c>
      <c r="N222" s="9">
        <f t="shared" ca="1" si="37"/>
        <v>-7.8022530544477608E-3</v>
      </c>
      <c r="O222" s="9">
        <f t="shared" ca="1" si="37"/>
        <v>2.9219362420864779E-2</v>
      </c>
      <c r="P222" s="9">
        <f t="shared" ca="1" si="37"/>
        <v>1.5097780505536961E-2</v>
      </c>
      <c r="Q222" s="9">
        <f t="shared" ca="1" si="37"/>
        <v>-1.8235815808256089E-2</v>
      </c>
    </row>
    <row r="223" spans="1:17">
      <c r="A223" t="s">
        <v>287</v>
      </c>
      <c r="B223" s="1">
        <v>390.34</v>
      </c>
      <c r="C223" s="9">
        <f t="shared" si="34"/>
        <v>-1.862979258328102E-2</v>
      </c>
      <c r="D223" s="9">
        <f t="shared" ca="1" si="35"/>
        <v>7.3605709435744047E-3</v>
      </c>
      <c r="E223" s="9">
        <f t="shared" ca="1" si="35"/>
        <v>-1.107842059611438E-2</v>
      </c>
      <c r="F223" s="9">
        <f t="shared" ca="1" si="35"/>
        <v>-2.8476759543141817E-2</v>
      </c>
      <c r="G223" s="9">
        <f t="shared" ca="1" si="35"/>
        <v>1.5373191234793372E-2</v>
      </c>
      <c r="H223" s="9">
        <f t="shared" ca="1" si="35"/>
        <v>-2.5775786955338277E-3</v>
      </c>
      <c r="J223" t="s">
        <v>287</v>
      </c>
      <c r="K223" s="1">
        <v>244.85</v>
      </c>
      <c r="L223" s="9">
        <f t="shared" si="36"/>
        <v>-1.0906887497475325E-2</v>
      </c>
      <c r="M223" s="9">
        <f t="shared" ca="1" si="37"/>
        <v>-2.1544799648680241E-2</v>
      </c>
      <c r="N223" s="9">
        <f t="shared" ca="1" si="37"/>
        <v>-1.2224074091436448E-2</v>
      </c>
      <c r="O223" s="9">
        <f t="shared" ca="1" si="37"/>
        <v>8.5510206402087774E-4</v>
      </c>
      <c r="P223" s="9">
        <f t="shared" ca="1" si="37"/>
        <v>1.3906736968343981E-2</v>
      </c>
      <c r="Q223" s="9">
        <f t="shared" ca="1" si="37"/>
        <v>-1.0075321858434256E-2</v>
      </c>
    </row>
    <row r="224" spans="1:17">
      <c r="A224" t="s">
        <v>288</v>
      </c>
      <c r="B224" s="1">
        <v>381.58</v>
      </c>
      <c r="C224" s="9">
        <f t="shared" si="34"/>
        <v>-2.2441973663985221E-2</v>
      </c>
      <c r="D224" s="9">
        <f t="shared" ref="D224:H239" ca="1" si="38">NORMINV(RAND(), $C$6, $C$7)</f>
        <v>-4.4043613376303359E-2</v>
      </c>
      <c r="E224" s="9">
        <f t="shared" ca="1" si="38"/>
        <v>-1.1279535964012025E-2</v>
      </c>
      <c r="F224" s="9">
        <f t="shared" ca="1" si="38"/>
        <v>-3.5089363330671436E-3</v>
      </c>
      <c r="G224" s="9">
        <f t="shared" ca="1" si="38"/>
        <v>1.6712828107747189E-2</v>
      </c>
      <c r="H224" s="9">
        <f t="shared" ca="1" si="38"/>
        <v>-2.0177583249317059E-2</v>
      </c>
      <c r="J224" t="s">
        <v>288</v>
      </c>
      <c r="K224" s="1">
        <v>233.66</v>
      </c>
      <c r="L224" s="9">
        <f t="shared" si="36"/>
        <v>-4.5701449867265667E-2</v>
      </c>
      <c r="M224" s="9">
        <f t="shared" ref="M224:Q239" ca="1" si="39">NORMINV(RAND(), $L$6, $L$7)</f>
        <v>9.9428949062059461E-3</v>
      </c>
      <c r="N224" s="9">
        <f t="shared" ca="1" si="39"/>
        <v>3.8859311428688622E-3</v>
      </c>
      <c r="O224" s="9">
        <f t="shared" ca="1" si="39"/>
        <v>-1.1378377903548655E-2</v>
      </c>
      <c r="P224" s="9">
        <f t="shared" ca="1" si="39"/>
        <v>-3.2233276934470535E-3</v>
      </c>
      <c r="Q224" s="9">
        <f t="shared" ca="1" si="39"/>
        <v>-9.364861029611515E-3</v>
      </c>
    </row>
    <row r="225" spans="1:17">
      <c r="A225" t="s">
        <v>289</v>
      </c>
      <c r="B225" s="1">
        <v>381.7</v>
      </c>
      <c r="C225" s="9">
        <f t="shared" si="34"/>
        <v>3.1448189108445034E-4</v>
      </c>
      <c r="D225" s="9">
        <f t="shared" ca="1" si="38"/>
        <v>-6.1641228236839207E-3</v>
      </c>
      <c r="E225" s="9">
        <f t="shared" ca="1" si="38"/>
        <v>2.6361964764633802E-2</v>
      </c>
      <c r="F225" s="9">
        <f t="shared" ca="1" si="38"/>
        <v>-9.8188583993572866E-4</v>
      </c>
      <c r="G225" s="9">
        <f t="shared" ca="1" si="38"/>
        <v>2.2699410444461249E-2</v>
      </c>
      <c r="H225" s="9">
        <f t="shared" ca="1" si="38"/>
        <v>3.1213284314282148E-3</v>
      </c>
      <c r="J225" t="s">
        <v>289</v>
      </c>
      <c r="K225" s="1">
        <v>232.11</v>
      </c>
      <c r="L225" s="9">
        <f t="shared" si="36"/>
        <v>-6.6335701446545532E-3</v>
      </c>
      <c r="M225" s="9">
        <f t="shared" ca="1" si="39"/>
        <v>-8.1964547140387783E-3</v>
      </c>
      <c r="N225" s="9">
        <f t="shared" ca="1" si="39"/>
        <v>-4.7432012357777387E-2</v>
      </c>
      <c r="O225" s="9">
        <f t="shared" ca="1" si="39"/>
        <v>2.455995167162146E-2</v>
      </c>
      <c r="P225" s="9">
        <f t="shared" ca="1" si="39"/>
        <v>4.2821066018820596E-2</v>
      </c>
      <c r="Q225" s="9">
        <f t="shared" ca="1" si="39"/>
        <v>6.0152435213827266E-2</v>
      </c>
    </row>
    <row r="226" spans="1:17">
      <c r="A226" t="s">
        <v>290</v>
      </c>
      <c r="B226" s="1">
        <v>389.1</v>
      </c>
      <c r="C226" s="9">
        <f t="shared" si="34"/>
        <v>1.9386953104532444E-2</v>
      </c>
      <c r="D226" s="9">
        <f t="shared" ca="1" si="38"/>
        <v>1.4897326645092905E-2</v>
      </c>
      <c r="E226" s="9">
        <f t="shared" ca="1" si="38"/>
        <v>-3.5131426429546746E-2</v>
      </c>
      <c r="F226" s="9">
        <f t="shared" ca="1" si="38"/>
        <v>5.4496549261272478E-3</v>
      </c>
      <c r="G226" s="9">
        <f t="shared" ca="1" si="38"/>
        <v>-1.362861486769198E-2</v>
      </c>
      <c r="H226" s="9">
        <f t="shared" ca="1" si="38"/>
        <v>-2.8414370817247656E-2</v>
      </c>
      <c r="J226" t="s">
        <v>290</v>
      </c>
      <c r="K226" s="1">
        <v>231.39</v>
      </c>
      <c r="L226" s="9">
        <f t="shared" si="36"/>
        <v>-3.1019775106631651E-3</v>
      </c>
      <c r="M226" s="9">
        <f t="shared" ca="1" si="39"/>
        <v>-1.7741485134180852E-2</v>
      </c>
      <c r="N226" s="9">
        <f t="shared" ca="1" si="39"/>
        <v>-1.9814260289016974E-2</v>
      </c>
      <c r="O226" s="9">
        <f t="shared" ca="1" si="39"/>
        <v>2.7156790401719318E-2</v>
      </c>
      <c r="P226" s="9">
        <f t="shared" ca="1" si="39"/>
        <v>1.5262971669789705E-2</v>
      </c>
      <c r="Q226" s="9">
        <f t="shared" ca="1" si="39"/>
        <v>-1.9800166524609284E-2</v>
      </c>
    </row>
    <row r="227" spans="1:17">
      <c r="A227" t="s">
        <v>291</v>
      </c>
      <c r="B227" s="1">
        <v>393.35</v>
      </c>
      <c r="C227" s="9">
        <f t="shared" si="34"/>
        <v>1.0922641994345925E-2</v>
      </c>
      <c r="D227" s="9">
        <f t="shared" ca="1" si="38"/>
        <v>1.1886894869467274E-2</v>
      </c>
      <c r="E227" s="9">
        <f t="shared" ca="1" si="38"/>
        <v>-1.1844922862819974E-2</v>
      </c>
      <c r="F227" s="9">
        <f t="shared" ca="1" si="38"/>
        <v>-9.689943788146237E-3</v>
      </c>
      <c r="G227" s="9">
        <f t="shared" ca="1" si="38"/>
        <v>3.9672671819320918E-3</v>
      </c>
      <c r="H227" s="9">
        <f t="shared" ca="1" si="38"/>
        <v>1.8905596208358025E-2</v>
      </c>
      <c r="J227" t="s">
        <v>291</v>
      </c>
      <c r="K227" s="1">
        <v>230.86</v>
      </c>
      <c r="L227" s="9">
        <f t="shared" si="36"/>
        <v>-2.2905052076579485E-3</v>
      </c>
      <c r="M227" s="9">
        <f t="shared" ca="1" si="39"/>
        <v>3.4172811411835244E-3</v>
      </c>
      <c r="N227" s="9">
        <f t="shared" ca="1" si="39"/>
        <v>-2.2936908496404191E-2</v>
      </c>
      <c r="O227" s="9">
        <f t="shared" ca="1" si="39"/>
        <v>-3.3460038160870786E-2</v>
      </c>
      <c r="P227" s="9">
        <f t="shared" ca="1" si="39"/>
        <v>5.5418408154351111E-3</v>
      </c>
      <c r="Q227" s="9">
        <f t="shared" ca="1" si="39"/>
        <v>-1.453925431227006E-2</v>
      </c>
    </row>
    <row r="228" spans="1:17">
      <c r="A228" t="s">
        <v>292</v>
      </c>
      <c r="B228" s="1">
        <v>390.54</v>
      </c>
      <c r="C228" s="9">
        <f t="shared" si="34"/>
        <v>-7.1437650946993827E-3</v>
      </c>
      <c r="D228" s="9">
        <f t="shared" ca="1" si="38"/>
        <v>-2.506775618102974E-2</v>
      </c>
      <c r="E228" s="9">
        <f t="shared" ca="1" si="38"/>
        <v>5.0209057702028902E-3</v>
      </c>
      <c r="F228" s="9">
        <f t="shared" ca="1" si="38"/>
        <v>-2.0576674057535011E-3</v>
      </c>
      <c r="G228" s="9">
        <f t="shared" ca="1" si="38"/>
        <v>-3.2192019320381474E-2</v>
      </c>
      <c r="H228" s="9">
        <f t="shared" ca="1" si="38"/>
        <v>4.7260169920776782E-3</v>
      </c>
      <c r="J228" t="s">
        <v>292</v>
      </c>
      <c r="K228" s="1">
        <v>226.65</v>
      </c>
      <c r="L228" s="9">
        <f t="shared" si="36"/>
        <v>-1.8236160443558899E-2</v>
      </c>
      <c r="M228" s="9">
        <f t="shared" ca="1" si="39"/>
        <v>-4.0781490187695182E-2</v>
      </c>
      <c r="N228" s="9">
        <f t="shared" ca="1" si="39"/>
        <v>-3.9986887092091403E-2</v>
      </c>
      <c r="O228" s="9">
        <f t="shared" ca="1" si="39"/>
        <v>-2.4381861719761136E-3</v>
      </c>
      <c r="P228" s="9">
        <f t="shared" ca="1" si="39"/>
        <v>1.8568716598690287E-2</v>
      </c>
      <c r="Q228" s="9">
        <f t="shared" ca="1" si="39"/>
        <v>-5.8518075829747732E-3</v>
      </c>
    </row>
    <row r="229" spans="1:17">
      <c r="A229" t="s">
        <v>293</v>
      </c>
      <c r="B229" s="1">
        <v>451.1</v>
      </c>
      <c r="C229" s="9">
        <f t="shared" si="34"/>
        <v>0.15506734265376146</v>
      </c>
      <c r="D229" s="9">
        <f t="shared" ca="1" si="38"/>
        <v>-2.5072755717031065E-2</v>
      </c>
      <c r="E229" s="9">
        <f t="shared" ca="1" si="38"/>
        <v>2.7785248339190872E-2</v>
      </c>
      <c r="F229" s="9">
        <f t="shared" ca="1" si="38"/>
        <v>-1.2214056865854493E-2</v>
      </c>
      <c r="G229" s="9">
        <f t="shared" ca="1" si="38"/>
        <v>4.2711136385493401E-3</v>
      </c>
      <c r="H229" s="9">
        <f t="shared" ca="1" si="38"/>
        <v>-1.7652636272412964E-3</v>
      </c>
      <c r="J229" t="s">
        <v>293</v>
      </c>
      <c r="K229" s="1">
        <v>235.5</v>
      </c>
      <c r="L229" s="9">
        <f t="shared" si="36"/>
        <v>3.9046988749172708E-2</v>
      </c>
      <c r="M229" s="9">
        <f t="shared" ca="1" si="39"/>
        <v>-1.3823008256715823E-2</v>
      </c>
      <c r="N229" s="9">
        <f t="shared" ca="1" si="39"/>
        <v>4.5066289810922408E-2</v>
      </c>
      <c r="O229" s="9">
        <f t="shared" ca="1" si="39"/>
        <v>1.9383861557755481E-3</v>
      </c>
      <c r="P229" s="9">
        <f t="shared" ca="1" si="39"/>
        <v>-1.2818180050016949E-2</v>
      </c>
      <c r="Q229" s="9">
        <f t="shared" ca="1" si="39"/>
        <v>-1.8190270538435021E-3</v>
      </c>
    </row>
    <row r="230" spans="1:17">
      <c r="A230" t="s">
        <v>294</v>
      </c>
      <c r="B230" s="1">
        <v>464.72</v>
      </c>
      <c r="C230" s="9">
        <f t="shared" si="34"/>
        <v>3.0192861893150087E-2</v>
      </c>
      <c r="D230" s="9">
        <f t="shared" ca="1" si="38"/>
        <v>3.0949498627335995E-2</v>
      </c>
      <c r="E230" s="9">
        <f t="shared" ca="1" si="38"/>
        <v>-9.9682624901003998E-3</v>
      </c>
      <c r="F230" s="9">
        <f t="shared" ca="1" si="38"/>
        <v>1.4679483918971848E-2</v>
      </c>
      <c r="G230" s="9">
        <f t="shared" ca="1" si="38"/>
        <v>3.437473352725184E-3</v>
      </c>
      <c r="H230" s="9">
        <f t="shared" ca="1" si="38"/>
        <v>1.4606710826117605E-2</v>
      </c>
      <c r="J230" t="s">
        <v>294</v>
      </c>
      <c r="K230" s="1">
        <v>271.58</v>
      </c>
      <c r="L230" s="9">
        <f t="shared" si="36"/>
        <v>0.15320594479830141</v>
      </c>
      <c r="M230" s="9">
        <f t="shared" ca="1" si="39"/>
        <v>-1.7359775324698786E-2</v>
      </c>
      <c r="N230" s="9">
        <f t="shared" ca="1" si="39"/>
        <v>1.4484585508956321E-2</v>
      </c>
      <c r="O230" s="9">
        <f t="shared" ca="1" si="39"/>
        <v>-4.8204227016291935E-3</v>
      </c>
      <c r="P230" s="9">
        <f t="shared" ca="1" si="39"/>
        <v>-1.7377223624306126E-3</v>
      </c>
      <c r="Q230" s="9">
        <f t="shared" ca="1" si="39"/>
        <v>-4.0515821119903603E-3</v>
      </c>
    </row>
    <row r="231" spans="1:17">
      <c r="A231" t="s">
        <v>295</v>
      </c>
      <c r="B231" s="1">
        <v>487.65</v>
      </c>
      <c r="C231" s="9">
        <f t="shared" si="34"/>
        <v>4.9341538991220409E-2</v>
      </c>
      <c r="D231" s="9">
        <f t="shared" ca="1" si="38"/>
        <v>-8.1062210375962198E-3</v>
      </c>
      <c r="E231" s="9">
        <f t="shared" ca="1" si="38"/>
        <v>2.2633950664702081E-2</v>
      </c>
      <c r="F231" s="9">
        <f t="shared" ca="1" si="38"/>
        <v>-1.4599724689570975E-2</v>
      </c>
      <c r="G231" s="9">
        <f t="shared" ca="1" si="38"/>
        <v>1.1880978985453761E-2</v>
      </c>
      <c r="H231" s="9">
        <f t="shared" ca="1" si="38"/>
        <v>5.7841104004033139E-2</v>
      </c>
      <c r="J231" t="s">
        <v>295</v>
      </c>
      <c r="K231" s="1">
        <v>284.02</v>
      </c>
      <c r="L231" s="9">
        <f t="shared" si="36"/>
        <v>4.5806024007658881E-2</v>
      </c>
      <c r="M231" s="9">
        <f t="shared" ca="1" si="39"/>
        <v>-1.7669706832382625E-2</v>
      </c>
      <c r="N231" s="9">
        <f t="shared" ca="1" si="39"/>
        <v>9.6431458136978336E-3</v>
      </c>
      <c r="O231" s="9">
        <f t="shared" ca="1" si="39"/>
        <v>-1.0115369103292451E-3</v>
      </c>
      <c r="P231" s="9">
        <f t="shared" ca="1" si="39"/>
        <v>4.0914912523325533E-4</v>
      </c>
      <c r="Q231" s="9">
        <f t="shared" ca="1" si="39"/>
        <v>3.5140933862826469E-2</v>
      </c>
    </row>
    <row r="232" spans="1:17">
      <c r="A232" t="s">
        <v>296</v>
      </c>
      <c r="B232" s="1">
        <v>492.81</v>
      </c>
      <c r="C232" s="9">
        <f t="shared" si="34"/>
        <v>1.058135958166723E-2</v>
      </c>
      <c r="D232" s="9">
        <f t="shared" ca="1" si="38"/>
        <v>5.0247847976759592E-3</v>
      </c>
      <c r="E232" s="9">
        <f t="shared" ca="1" si="38"/>
        <v>-5.0180885779473661E-2</v>
      </c>
      <c r="F232" s="9">
        <f t="shared" ca="1" si="38"/>
        <v>-5.0410738071756014E-2</v>
      </c>
      <c r="G232" s="9">
        <f t="shared" ca="1" si="38"/>
        <v>-2.6126131259639657E-2</v>
      </c>
      <c r="H232" s="9">
        <f t="shared" ca="1" si="38"/>
        <v>8.4577476386559598E-4</v>
      </c>
      <c r="J232" t="s">
        <v>296</v>
      </c>
      <c r="K232" s="1">
        <v>277.42</v>
      </c>
      <c r="L232" s="9">
        <f t="shared" si="36"/>
        <v>-2.323780015491855E-2</v>
      </c>
      <c r="M232" s="9">
        <f t="shared" ca="1" si="39"/>
        <v>-1.8523338696284825E-2</v>
      </c>
      <c r="N232" s="9">
        <f t="shared" ca="1" si="39"/>
        <v>3.4287943271719135E-2</v>
      </c>
      <c r="O232" s="9">
        <f t="shared" ca="1" si="39"/>
        <v>7.1108821875665671E-3</v>
      </c>
      <c r="P232" s="9">
        <f t="shared" ca="1" si="39"/>
        <v>7.3269655351798045E-3</v>
      </c>
      <c r="Q232" s="9">
        <f t="shared" ca="1" si="39"/>
        <v>-9.0292664692364581E-3</v>
      </c>
    </row>
    <row r="233" spans="1:17">
      <c r="A233" t="s">
        <v>297</v>
      </c>
      <c r="B233" s="1">
        <v>487.46</v>
      </c>
      <c r="C233" s="9">
        <f t="shared" si="34"/>
        <v>-1.0856110874373538E-2</v>
      </c>
      <c r="D233" s="9">
        <f t="shared" ca="1" si="38"/>
        <v>-2.8077566654915913E-3</v>
      </c>
      <c r="E233" s="9">
        <f t="shared" ca="1" si="38"/>
        <v>2.0341564797319123E-2</v>
      </c>
      <c r="F233" s="9">
        <f t="shared" ca="1" si="38"/>
        <v>-1.306073636512102E-2</v>
      </c>
      <c r="G233" s="9">
        <f t="shared" ca="1" si="38"/>
        <v>-1.4656227992938954E-3</v>
      </c>
      <c r="H233" s="9">
        <f t="shared" ca="1" si="38"/>
        <v>9.281226513673425E-3</v>
      </c>
      <c r="J233" t="s">
        <v>297</v>
      </c>
      <c r="K233" s="1">
        <v>272.64999999999998</v>
      </c>
      <c r="L233" s="9">
        <f t="shared" si="36"/>
        <v>-1.7194146060125579E-2</v>
      </c>
      <c r="M233" s="9">
        <f t="shared" ca="1" si="39"/>
        <v>1.0839463720189001E-2</v>
      </c>
      <c r="N233" s="9">
        <f t="shared" ca="1" si="39"/>
        <v>-3.0027286363781013E-2</v>
      </c>
      <c r="O233" s="9">
        <f t="shared" ca="1" si="39"/>
        <v>-1.414988582011E-2</v>
      </c>
      <c r="P233" s="9">
        <f t="shared" ca="1" si="39"/>
        <v>1.3402785859864066E-2</v>
      </c>
      <c r="Q233" s="9">
        <f t="shared" ca="1" si="39"/>
        <v>2.2980892890326742E-3</v>
      </c>
    </row>
    <row r="234" spans="1:17">
      <c r="A234" t="s">
        <v>298</v>
      </c>
      <c r="B234" s="1">
        <v>499.86</v>
      </c>
      <c r="C234" s="9">
        <f t="shared" si="34"/>
        <v>2.5437984655151263E-2</v>
      </c>
      <c r="D234" s="9">
        <f t="shared" ca="1" si="38"/>
        <v>-1.5748031352013688E-2</v>
      </c>
      <c r="E234" s="9">
        <f t="shared" ca="1" si="38"/>
        <v>-1.525630387678141E-2</v>
      </c>
      <c r="F234" s="9">
        <f t="shared" ca="1" si="38"/>
        <v>-1.0165925852687769E-2</v>
      </c>
      <c r="G234" s="9">
        <f t="shared" ca="1" si="38"/>
        <v>-3.7653799140666827E-2</v>
      </c>
      <c r="H234" s="9">
        <f t="shared" ca="1" si="38"/>
        <v>5.1056008027131441E-4</v>
      </c>
      <c r="J234" t="s">
        <v>298</v>
      </c>
      <c r="K234" s="1">
        <v>272.26</v>
      </c>
      <c r="L234" s="9">
        <f t="shared" si="36"/>
        <v>-1.430405281496374E-3</v>
      </c>
      <c r="M234" s="9">
        <f t="shared" ca="1" si="39"/>
        <v>-1.2811402043040552E-2</v>
      </c>
      <c r="N234" s="9">
        <f t="shared" ca="1" si="39"/>
        <v>1.370593758141705E-2</v>
      </c>
      <c r="O234" s="9">
        <f t="shared" ca="1" si="39"/>
        <v>2.0954320201660451E-2</v>
      </c>
      <c r="P234" s="9">
        <f t="shared" ca="1" si="39"/>
        <v>2.2203893429122563E-2</v>
      </c>
      <c r="Q234" s="9">
        <f t="shared" ca="1" si="39"/>
        <v>-2.7428053489866256E-2</v>
      </c>
    </row>
    <row r="235" spans="1:17">
      <c r="A235" t="s">
        <v>299</v>
      </c>
      <c r="B235" s="1">
        <v>499.99</v>
      </c>
      <c r="C235" s="9">
        <f t="shared" si="34"/>
        <v>2.6007282038969999E-4</v>
      </c>
      <c r="D235" s="9">
        <f t="shared" ca="1" si="38"/>
        <v>-2.323769060073844E-2</v>
      </c>
      <c r="E235" s="9">
        <f t="shared" ca="1" si="38"/>
        <v>2.0437338391300259E-2</v>
      </c>
      <c r="F235" s="9">
        <f t="shared" ca="1" si="38"/>
        <v>-4.8672118019642947E-2</v>
      </c>
      <c r="G235" s="9">
        <f t="shared" ca="1" si="38"/>
        <v>-1.7630193459816531E-2</v>
      </c>
      <c r="H235" s="9">
        <f t="shared" ca="1" si="38"/>
        <v>-1.4509505288665649E-2</v>
      </c>
      <c r="J235" t="s">
        <v>299</v>
      </c>
      <c r="K235" s="1">
        <v>274.48</v>
      </c>
      <c r="L235" s="9">
        <f t="shared" si="36"/>
        <v>8.153970469404347E-3</v>
      </c>
      <c r="M235" s="9">
        <f t="shared" ca="1" si="39"/>
        <v>8.8855421117779894E-3</v>
      </c>
      <c r="N235" s="9">
        <f t="shared" ca="1" si="39"/>
        <v>-3.3598353335028697E-2</v>
      </c>
      <c r="O235" s="9">
        <f t="shared" ca="1" si="39"/>
        <v>3.0075785111553541E-2</v>
      </c>
      <c r="P235" s="9">
        <f t="shared" ca="1" si="39"/>
        <v>2.2250883609833311E-2</v>
      </c>
      <c r="Q235" s="9">
        <f t="shared" ca="1" si="39"/>
        <v>3.5059380446843006E-3</v>
      </c>
    </row>
    <row r="236" spans="1:17">
      <c r="A236" t="s">
        <v>300</v>
      </c>
      <c r="B236" s="1">
        <v>506.06</v>
      </c>
      <c r="C236" s="9">
        <f t="shared" si="34"/>
        <v>1.2140242804856084E-2</v>
      </c>
      <c r="D236" s="9">
        <f t="shared" ca="1" si="38"/>
        <v>-2.5370800068841196E-2</v>
      </c>
      <c r="E236" s="9">
        <f t="shared" ca="1" si="38"/>
        <v>2.8764947158572148E-2</v>
      </c>
      <c r="F236" s="9">
        <f t="shared" ca="1" si="38"/>
        <v>-1.5575634819511237E-4</v>
      </c>
      <c r="G236" s="9">
        <f t="shared" ca="1" si="38"/>
        <v>2.1455558985604653E-4</v>
      </c>
      <c r="H236" s="9">
        <f t="shared" ca="1" si="38"/>
        <v>-1.0760279434038735E-2</v>
      </c>
      <c r="J236" t="s">
        <v>300</v>
      </c>
      <c r="K236" s="1">
        <v>278.08999999999997</v>
      </c>
      <c r="L236" s="9">
        <f t="shared" si="36"/>
        <v>1.3152142232585094E-2</v>
      </c>
      <c r="M236" s="9">
        <f t="shared" ca="1" si="39"/>
        <v>1.3235294242681335E-2</v>
      </c>
      <c r="N236" s="9">
        <f t="shared" ca="1" si="39"/>
        <v>-2.0197231439847297E-2</v>
      </c>
      <c r="O236" s="9">
        <f t="shared" ca="1" si="39"/>
        <v>3.505241865436904E-2</v>
      </c>
      <c r="P236" s="9">
        <f t="shared" ca="1" si="39"/>
        <v>7.1148639335917151E-3</v>
      </c>
      <c r="Q236" s="9">
        <f t="shared" ca="1" si="39"/>
        <v>-2.6124832516578704E-2</v>
      </c>
    </row>
    <row r="237" spans="1:17">
      <c r="A237" t="s">
        <v>301</v>
      </c>
      <c r="B237" s="1">
        <v>503.81</v>
      </c>
      <c r="C237" s="9">
        <f t="shared" si="34"/>
        <v>-4.4461131091174961E-3</v>
      </c>
      <c r="D237" s="9">
        <f t="shared" ca="1" si="38"/>
        <v>-3.7645688233457861E-2</v>
      </c>
      <c r="E237" s="9">
        <f t="shared" ca="1" si="38"/>
        <v>-3.2121725637063024E-2</v>
      </c>
      <c r="F237" s="9">
        <f t="shared" ca="1" si="38"/>
        <v>-8.9168241707239231E-3</v>
      </c>
      <c r="G237" s="9">
        <f t="shared" ca="1" si="38"/>
        <v>4.0956896107364332E-2</v>
      </c>
      <c r="H237" s="9">
        <f t="shared" ca="1" si="38"/>
        <v>-1.5888312719330801E-2</v>
      </c>
      <c r="J237" t="s">
        <v>301</v>
      </c>
      <c r="K237" s="1">
        <v>272.27</v>
      </c>
      <c r="L237" s="9">
        <f t="shared" si="36"/>
        <v>-2.0928476392534767E-2</v>
      </c>
      <c r="M237" s="9">
        <f t="shared" ca="1" si="39"/>
        <v>3.0556284092636793E-3</v>
      </c>
      <c r="N237" s="9">
        <f t="shared" ca="1" si="39"/>
        <v>-1.602318952370483E-2</v>
      </c>
      <c r="O237" s="9">
        <f t="shared" ca="1" si="39"/>
        <v>3.9802089205538753E-4</v>
      </c>
      <c r="P237" s="9">
        <f t="shared" ca="1" si="39"/>
        <v>1.7381246004601627E-3</v>
      </c>
      <c r="Q237" s="9">
        <f t="shared" ca="1" si="39"/>
        <v>-1.4276803131713752E-2</v>
      </c>
    </row>
    <row r="238" spans="1:17">
      <c r="A238" t="s">
        <v>302</v>
      </c>
      <c r="B238" s="1">
        <v>492.43</v>
      </c>
      <c r="C238" s="9">
        <f t="shared" si="34"/>
        <v>-2.2587880351719887E-2</v>
      </c>
      <c r="D238" s="9">
        <f t="shared" ca="1" si="38"/>
        <v>3.1985347841822512E-2</v>
      </c>
      <c r="E238" s="9">
        <f t="shared" ca="1" si="38"/>
        <v>-3.1326646964671833E-3</v>
      </c>
      <c r="F238" s="9">
        <f t="shared" ca="1" si="38"/>
        <v>-1.6918426775958968E-3</v>
      </c>
      <c r="G238" s="9">
        <f t="shared" ca="1" si="38"/>
        <v>-9.2456625129500886E-3</v>
      </c>
      <c r="H238" s="9">
        <f t="shared" ca="1" si="38"/>
        <v>-1.3905972395803603E-2</v>
      </c>
      <c r="J238" t="s">
        <v>302</v>
      </c>
      <c r="K238" s="1">
        <v>267.27999999999997</v>
      </c>
      <c r="L238" s="9">
        <f t="shared" si="36"/>
        <v>-1.832739559995596E-2</v>
      </c>
      <c r="M238" s="9">
        <f t="shared" ca="1" si="39"/>
        <v>-4.7375855771673109E-2</v>
      </c>
      <c r="N238" s="9">
        <f t="shared" ca="1" si="39"/>
        <v>-1.0617868801999168E-2</v>
      </c>
      <c r="O238" s="9">
        <f t="shared" ca="1" si="39"/>
        <v>9.8345615098905902E-3</v>
      </c>
      <c r="P238" s="9">
        <f t="shared" ca="1" si="39"/>
        <v>1.5639756707169265E-2</v>
      </c>
      <c r="Q238" s="9">
        <f t="shared" ca="1" si="39"/>
        <v>-2.5857784461044413E-2</v>
      </c>
    </row>
    <row r="239" spans="1:17">
      <c r="A239" t="s">
        <v>303</v>
      </c>
      <c r="B239" s="1">
        <v>496.88</v>
      </c>
      <c r="C239" s="9">
        <f t="shared" si="34"/>
        <v>9.0368174156732709E-3</v>
      </c>
      <c r="D239" s="9">
        <f t="shared" ca="1" si="38"/>
        <v>1.2526390427211914E-2</v>
      </c>
      <c r="E239" s="9">
        <f t="shared" ca="1" si="38"/>
        <v>1.5297428250949744E-2</v>
      </c>
      <c r="F239" s="9">
        <f t="shared" ca="1" si="38"/>
        <v>-6.0236868001286373E-3</v>
      </c>
      <c r="G239" s="9">
        <f t="shared" ca="1" si="38"/>
        <v>-1.8398519665657361E-2</v>
      </c>
      <c r="H239" s="9">
        <f t="shared" ca="1" si="38"/>
        <v>-1.7801734093909306E-3</v>
      </c>
      <c r="J239" t="s">
        <v>303</v>
      </c>
      <c r="K239" s="1">
        <v>265.13</v>
      </c>
      <c r="L239" s="9">
        <f t="shared" si="36"/>
        <v>-8.0439988027535825E-3</v>
      </c>
      <c r="M239" s="9">
        <f t="shared" ca="1" si="39"/>
        <v>2.3948569688660239E-2</v>
      </c>
      <c r="N239" s="9">
        <f t="shared" ca="1" si="39"/>
        <v>4.7315380365453696E-3</v>
      </c>
      <c r="O239" s="9">
        <f t="shared" ca="1" si="39"/>
        <v>1.5990188990645911E-2</v>
      </c>
      <c r="P239" s="9">
        <f t="shared" ca="1" si="39"/>
        <v>1.0208001262114292E-2</v>
      </c>
      <c r="Q239" s="9">
        <f t="shared" ca="1" si="39"/>
        <v>1.6451693595937442E-2</v>
      </c>
    </row>
    <row r="240" spans="1:17">
      <c r="A240" t="s">
        <v>304</v>
      </c>
      <c r="B240" s="1">
        <v>495.4</v>
      </c>
      <c r="C240" s="9">
        <f t="shared" si="34"/>
        <v>-2.978586379005028E-3</v>
      </c>
      <c r="D240" s="9">
        <f t="shared" ref="D240:H255" ca="1" si="40">NORMINV(RAND(), $C$6, $C$7)</f>
        <v>2.7215473082214392E-3</v>
      </c>
      <c r="E240" s="9">
        <f t="shared" ca="1" si="40"/>
        <v>-5.330205970391389E-3</v>
      </c>
      <c r="F240" s="9">
        <f t="shared" ca="1" si="40"/>
        <v>-3.140254624649276E-2</v>
      </c>
      <c r="G240" s="9">
        <f t="shared" ca="1" si="40"/>
        <v>5.2595233785589588E-3</v>
      </c>
      <c r="H240" s="9">
        <f t="shared" ca="1" si="40"/>
        <v>-1.2235142484684419E-2</v>
      </c>
      <c r="J240" t="s">
        <v>304</v>
      </c>
      <c r="K240" s="1">
        <v>262.64999999999998</v>
      </c>
      <c r="L240" s="9">
        <f t="shared" si="36"/>
        <v>-9.3539018594652364E-3</v>
      </c>
      <c r="M240" s="9">
        <f t="shared" ref="M240:Q255" ca="1" si="41">NORMINV(RAND(), $L$6, $L$7)</f>
        <v>3.4757460312533676E-2</v>
      </c>
      <c r="N240" s="9">
        <f t="shared" ca="1" si="41"/>
        <v>-1.3716524838590686E-2</v>
      </c>
      <c r="O240" s="9">
        <f t="shared" ca="1" si="41"/>
        <v>-3.0421645992414124E-2</v>
      </c>
      <c r="P240" s="9">
        <f t="shared" ca="1" si="41"/>
        <v>3.2566613891457534E-2</v>
      </c>
      <c r="Q240" s="9">
        <f t="shared" ca="1" si="41"/>
        <v>-3.0944590776743664E-3</v>
      </c>
    </row>
    <row r="241" spans="1:17">
      <c r="A241" t="s">
        <v>305</v>
      </c>
      <c r="B241" s="1">
        <v>480.35</v>
      </c>
      <c r="C241" s="9">
        <f t="shared" si="34"/>
        <v>-3.0379491320145245E-2</v>
      </c>
      <c r="D241" s="9">
        <f t="shared" ca="1" si="40"/>
        <v>2.2761409767830552E-2</v>
      </c>
      <c r="E241" s="9">
        <f t="shared" ca="1" si="40"/>
        <v>-1.4649942968650573E-3</v>
      </c>
      <c r="F241" s="9">
        <f t="shared" ca="1" si="40"/>
        <v>5.1893673954590165E-3</v>
      </c>
      <c r="G241" s="9">
        <f t="shared" ca="1" si="40"/>
        <v>-3.614397807104229E-2</v>
      </c>
      <c r="H241" s="9">
        <f t="shared" ca="1" si="40"/>
        <v>-1.2319056777237871E-2</v>
      </c>
      <c r="J241" t="s">
        <v>305</v>
      </c>
      <c r="K241" s="1">
        <v>261.31</v>
      </c>
      <c r="L241" s="9">
        <f t="shared" si="36"/>
        <v>-5.1018465638681711E-3</v>
      </c>
      <c r="M241" s="9">
        <f t="shared" ca="1" si="41"/>
        <v>-5.1886824550267186E-3</v>
      </c>
      <c r="N241" s="9">
        <f t="shared" ca="1" si="41"/>
        <v>1.0440739496046115E-2</v>
      </c>
      <c r="O241" s="9">
        <f t="shared" ca="1" si="41"/>
        <v>2.3754895807096211E-2</v>
      </c>
      <c r="P241" s="9">
        <f t="shared" ca="1" si="41"/>
        <v>3.6595625990196695E-2</v>
      </c>
      <c r="Q241" s="9">
        <f t="shared" ca="1" si="41"/>
        <v>-2.3660835989152643E-2</v>
      </c>
    </row>
    <row r="242" spans="1:17">
      <c r="A242" t="s">
        <v>306</v>
      </c>
      <c r="B242" s="1">
        <v>481.63</v>
      </c>
      <c r="C242" s="9">
        <f t="shared" si="34"/>
        <v>2.6647236390131626E-3</v>
      </c>
      <c r="D242" s="9">
        <f t="shared" ca="1" si="40"/>
        <v>6.7245920331773981E-3</v>
      </c>
      <c r="E242" s="9">
        <f t="shared" ca="1" si="40"/>
        <v>1.4081693899787556E-2</v>
      </c>
      <c r="F242" s="9">
        <f t="shared" ca="1" si="40"/>
        <v>7.8902316991836358E-4</v>
      </c>
      <c r="G242" s="9">
        <f t="shared" ca="1" si="40"/>
        <v>7.320025276556434E-3</v>
      </c>
      <c r="H242" s="9">
        <f t="shared" ca="1" si="40"/>
        <v>-7.5651444562501689E-3</v>
      </c>
      <c r="J242" t="s">
        <v>306</v>
      </c>
      <c r="K242" s="1">
        <v>259.45</v>
      </c>
      <c r="L242" s="9">
        <f t="shared" si="36"/>
        <v>-7.1179824729249302E-3</v>
      </c>
      <c r="M242" s="9">
        <f t="shared" ca="1" si="41"/>
        <v>1.2942163252303575E-2</v>
      </c>
      <c r="N242" s="9">
        <f t="shared" ca="1" si="41"/>
        <v>-3.5315567958321574E-2</v>
      </c>
      <c r="O242" s="9">
        <f t="shared" ca="1" si="41"/>
        <v>-8.0130963872381E-3</v>
      </c>
      <c r="P242" s="9">
        <f t="shared" ca="1" si="41"/>
        <v>3.9300201931147666E-2</v>
      </c>
      <c r="Q242" s="9">
        <f t="shared" ca="1" si="41"/>
        <v>-1.3342314879845385E-2</v>
      </c>
    </row>
    <row r="243" spans="1:17">
      <c r="A243" t="s">
        <v>307</v>
      </c>
      <c r="B243" s="1">
        <v>484.31</v>
      </c>
      <c r="C243" s="9">
        <f t="shared" si="34"/>
        <v>5.564437431223152E-3</v>
      </c>
      <c r="D243" s="9">
        <f t="shared" ca="1" si="40"/>
        <v>1.3177160737526068E-2</v>
      </c>
      <c r="E243" s="9">
        <f t="shared" ca="1" si="40"/>
        <v>1.2898159817497055E-2</v>
      </c>
      <c r="F243" s="9">
        <f t="shared" ca="1" si="40"/>
        <v>-4.4479588726357273E-2</v>
      </c>
      <c r="G243" s="9">
        <f t="shared" ca="1" si="40"/>
        <v>3.2070501248228141E-2</v>
      </c>
      <c r="H243" s="9">
        <f t="shared" ca="1" si="40"/>
        <v>-1.8223408716793097E-2</v>
      </c>
      <c r="J243" t="s">
        <v>307</v>
      </c>
      <c r="K243" s="1">
        <v>265.83999999999997</v>
      </c>
      <c r="L243" s="9">
        <f t="shared" si="36"/>
        <v>2.4629022933127718E-2</v>
      </c>
      <c r="M243" s="9">
        <f t="shared" ca="1" si="41"/>
        <v>2.1199295912444925E-2</v>
      </c>
      <c r="N243" s="9">
        <f t="shared" ca="1" si="41"/>
        <v>1.0036233577935753E-2</v>
      </c>
      <c r="O243" s="9">
        <f t="shared" ca="1" si="41"/>
        <v>-3.4639986456941253E-2</v>
      </c>
      <c r="P243" s="9">
        <f t="shared" ca="1" si="41"/>
        <v>-1.2095757270906405E-2</v>
      </c>
      <c r="Q243" s="9">
        <f t="shared" ca="1" si="41"/>
        <v>1.8216366645995029E-2</v>
      </c>
    </row>
    <row r="244" spans="1:17">
      <c r="A244" t="s">
        <v>308</v>
      </c>
      <c r="B244" s="1">
        <v>481.15</v>
      </c>
      <c r="C244" s="9">
        <f t="shared" si="34"/>
        <v>-6.5247465466334066E-3</v>
      </c>
      <c r="D244" s="9">
        <f t="shared" ca="1" si="40"/>
        <v>3.851263596617293E-2</v>
      </c>
      <c r="E244" s="9">
        <f t="shared" ca="1" si="40"/>
        <v>1.0265457945322992E-2</v>
      </c>
      <c r="F244" s="9">
        <f t="shared" ca="1" si="40"/>
        <v>1.1422198913727252E-2</v>
      </c>
      <c r="G244" s="9">
        <f t="shared" ca="1" si="40"/>
        <v>-4.0489007659186647E-3</v>
      </c>
      <c r="H244" s="9">
        <f t="shared" ca="1" si="40"/>
        <v>-1.4086647774895353E-2</v>
      </c>
      <c r="J244" t="s">
        <v>308</v>
      </c>
      <c r="K244" s="1">
        <v>260.11</v>
      </c>
      <c r="L244" s="9">
        <f t="shared" si="36"/>
        <v>-2.1554318386999557E-2</v>
      </c>
      <c r="M244" s="9">
        <f t="shared" ca="1" si="41"/>
        <v>5.0464371744314028E-2</v>
      </c>
      <c r="N244" s="9">
        <f t="shared" ca="1" si="41"/>
        <v>-1.551574860736071E-3</v>
      </c>
      <c r="O244" s="9">
        <f t="shared" ca="1" si="41"/>
        <v>5.9568117348569793E-3</v>
      </c>
      <c r="P244" s="9">
        <f t="shared" ca="1" si="41"/>
        <v>4.418919804363361E-2</v>
      </c>
      <c r="Q244" s="9">
        <f t="shared" ca="1" si="41"/>
        <v>-9.625306817455194E-3</v>
      </c>
    </row>
    <row r="245" spans="1:17">
      <c r="A245" t="s">
        <v>309</v>
      </c>
      <c r="B245" s="1">
        <v>483.24</v>
      </c>
      <c r="C245" s="9">
        <f t="shared" si="34"/>
        <v>4.3437597422841777E-3</v>
      </c>
      <c r="D245" s="9">
        <f t="shared" ca="1" si="40"/>
        <v>4.0737486782469495E-2</v>
      </c>
      <c r="E245" s="9">
        <f t="shared" ca="1" si="40"/>
        <v>1.704267471342278E-2</v>
      </c>
      <c r="F245" s="9">
        <f t="shared" ca="1" si="40"/>
        <v>-4.6683439520539056E-2</v>
      </c>
      <c r="G245" s="9">
        <f t="shared" ca="1" si="40"/>
        <v>1.3557788553713198E-2</v>
      </c>
      <c r="H245" s="9">
        <f t="shared" ca="1" si="40"/>
        <v>-4.5920339059398151E-3</v>
      </c>
      <c r="J245" t="s">
        <v>309</v>
      </c>
      <c r="K245" s="1">
        <v>258.63</v>
      </c>
      <c r="L245" s="9">
        <f t="shared" si="36"/>
        <v>-5.6899004267426017E-3</v>
      </c>
      <c r="M245" s="9">
        <f t="shared" ca="1" si="41"/>
        <v>-8.7878198945161926E-3</v>
      </c>
      <c r="N245" s="9">
        <f t="shared" ca="1" si="41"/>
        <v>1.8654904595172463E-3</v>
      </c>
      <c r="O245" s="9">
        <f t="shared" ca="1" si="41"/>
        <v>-1.3234006220641243E-2</v>
      </c>
      <c r="P245" s="9">
        <f t="shared" ca="1" si="41"/>
        <v>2.4778792643332274E-2</v>
      </c>
      <c r="Q245" s="9">
        <f t="shared" ca="1" si="41"/>
        <v>-1.5721320655804907E-2</v>
      </c>
    </row>
    <row r="246" spans="1:17">
      <c r="A246" t="s">
        <v>310</v>
      </c>
      <c r="B246" s="1">
        <v>487.31</v>
      </c>
      <c r="C246" s="9">
        <f t="shared" si="34"/>
        <v>8.4223160334409262E-3</v>
      </c>
      <c r="D246" s="9">
        <f t="shared" ca="1" si="40"/>
        <v>3.3596358944276046E-2</v>
      </c>
      <c r="E246" s="9">
        <f t="shared" ca="1" si="40"/>
        <v>1.9230687658088601E-2</v>
      </c>
      <c r="F246" s="9">
        <f t="shared" ca="1" si="40"/>
        <v>-3.9872483394992244E-3</v>
      </c>
      <c r="G246" s="9">
        <f t="shared" ca="1" si="40"/>
        <v>3.4881200265108554E-2</v>
      </c>
      <c r="H246" s="9">
        <f t="shared" ca="1" si="40"/>
        <v>-3.101070885810563E-3</v>
      </c>
      <c r="J246" t="s">
        <v>310</v>
      </c>
      <c r="K246" s="1">
        <v>262.07</v>
      </c>
      <c r="L246" s="9">
        <f t="shared" si="36"/>
        <v>1.3300854502571232E-2</v>
      </c>
      <c r="M246" s="9">
        <f t="shared" ca="1" si="41"/>
        <v>-1.582696105549385E-2</v>
      </c>
      <c r="N246" s="9">
        <f t="shared" ca="1" si="41"/>
        <v>-1.0984882477107624E-2</v>
      </c>
      <c r="O246" s="9">
        <f t="shared" ca="1" si="41"/>
        <v>-1.942525843035086E-2</v>
      </c>
      <c r="P246" s="9">
        <f t="shared" ca="1" si="41"/>
        <v>-6.3068497447237651E-3</v>
      </c>
      <c r="Q246" s="9">
        <f t="shared" ca="1" si="41"/>
        <v>1.1650248540554586E-2</v>
      </c>
    </row>
    <row r="247" spans="1:17">
      <c r="A247" t="s">
        <v>311</v>
      </c>
      <c r="B247" s="1">
        <v>491.71</v>
      </c>
      <c r="C247" s="9">
        <f t="shared" si="34"/>
        <v>9.02916008290406E-3</v>
      </c>
      <c r="D247" s="9">
        <f t="shared" ca="1" si="40"/>
        <v>-2.8504689569275297E-2</v>
      </c>
      <c r="E247" s="9">
        <f t="shared" ca="1" si="40"/>
        <v>2.2252662637501544E-2</v>
      </c>
      <c r="F247" s="9">
        <f t="shared" ca="1" si="40"/>
        <v>-7.0347961853824154E-3</v>
      </c>
      <c r="G247" s="9">
        <f t="shared" ca="1" si="40"/>
        <v>-3.0269445649574217E-3</v>
      </c>
      <c r="H247" s="9">
        <f t="shared" ca="1" si="40"/>
        <v>-2.0639776361388782E-2</v>
      </c>
      <c r="J247" t="s">
        <v>311</v>
      </c>
      <c r="K247" s="1">
        <v>261.06</v>
      </c>
      <c r="L247" s="9">
        <f t="shared" si="36"/>
        <v>-3.8539321555309306E-3</v>
      </c>
      <c r="M247" s="9">
        <f t="shared" ca="1" si="41"/>
        <v>2.0297909016709715E-4</v>
      </c>
      <c r="N247" s="9">
        <f t="shared" ca="1" si="41"/>
        <v>5.8237715315885168E-2</v>
      </c>
      <c r="O247" s="9">
        <f t="shared" ca="1" si="41"/>
        <v>1.519002773135336E-2</v>
      </c>
      <c r="P247" s="9">
        <f t="shared" ca="1" si="41"/>
        <v>1.6643141391596204E-2</v>
      </c>
      <c r="Q247" s="9">
        <f t="shared" ca="1" si="41"/>
        <v>-1.2506955791913286E-3</v>
      </c>
    </row>
    <row r="248" spans="1:17">
      <c r="A248" t="s">
        <v>312</v>
      </c>
      <c r="B248" s="1">
        <v>496.37</v>
      </c>
      <c r="C248" s="9">
        <f t="shared" si="34"/>
        <v>9.4771308291473136E-3</v>
      </c>
      <c r="D248" s="9">
        <f t="shared" ca="1" si="40"/>
        <v>3.4793658999283002E-2</v>
      </c>
      <c r="E248" s="9">
        <f t="shared" ca="1" si="40"/>
        <v>-1.4941396195248332E-2</v>
      </c>
      <c r="F248" s="9">
        <f t="shared" ca="1" si="40"/>
        <v>5.9621454473637679E-3</v>
      </c>
      <c r="G248" s="9">
        <f t="shared" ca="1" si="40"/>
        <v>4.3437236217831549E-2</v>
      </c>
      <c r="H248" s="9">
        <f t="shared" ca="1" si="40"/>
        <v>2.4590987815533739E-2</v>
      </c>
      <c r="J248" t="s">
        <v>312</v>
      </c>
      <c r="K248" s="1">
        <v>260.27999999999997</v>
      </c>
      <c r="L248" s="9">
        <f t="shared" si="36"/>
        <v>-2.9878188922088009E-3</v>
      </c>
      <c r="M248" s="9">
        <f t="shared" ca="1" si="41"/>
        <v>2.2606580664890984E-2</v>
      </c>
      <c r="N248" s="9">
        <f t="shared" ca="1" si="41"/>
        <v>-5.499038360364761E-3</v>
      </c>
      <c r="O248" s="9">
        <f t="shared" ca="1" si="41"/>
        <v>1.9606689139250153E-2</v>
      </c>
      <c r="P248" s="9">
        <f t="shared" ca="1" si="41"/>
        <v>9.4766827727727765E-3</v>
      </c>
      <c r="Q248" s="9">
        <f t="shared" ca="1" si="41"/>
        <v>1.4714488358495951E-2</v>
      </c>
    </row>
    <row r="249" spans="1:17">
      <c r="A249" t="s">
        <v>313</v>
      </c>
      <c r="B249" s="1">
        <v>505.06</v>
      </c>
      <c r="C249" s="9">
        <f t="shared" si="34"/>
        <v>1.7507101557306039E-2</v>
      </c>
      <c r="D249" s="9">
        <f t="shared" ca="1" si="40"/>
        <v>-2.6243473044469771E-3</v>
      </c>
      <c r="E249" s="9">
        <f t="shared" ca="1" si="40"/>
        <v>-4.1056798346820701E-3</v>
      </c>
      <c r="F249" s="9">
        <f t="shared" ca="1" si="40"/>
        <v>3.8773505061575717E-2</v>
      </c>
      <c r="G249" s="9">
        <f t="shared" ca="1" si="40"/>
        <v>2.797586657480134E-3</v>
      </c>
      <c r="H249" s="9">
        <f t="shared" ca="1" si="40"/>
        <v>2.1984427497661222E-2</v>
      </c>
      <c r="J249" t="s">
        <v>313</v>
      </c>
      <c r="K249" s="1">
        <v>256.26</v>
      </c>
      <c r="L249" s="9">
        <f t="shared" si="36"/>
        <v>-1.5444905486399194E-2</v>
      </c>
      <c r="M249" s="9">
        <f t="shared" ca="1" si="41"/>
        <v>-7.5699735341103157E-3</v>
      </c>
      <c r="N249" s="9">
        <f t="shared" ca="1" si="41"/>
        <v>-1.3555006714615412E-2</v>
      </c>
      <c r="O249" s="9">
        <f t="shared" ca="1" si="41"/>
        <v>5.1485448929413724E-4</v>
      </c>
      <c r="P249" s="9">
        <f t="shared" ca="1" si="41"/>
        <v>-4.7032124173148329E-3</v>
      </c>
      <c r="Q249" s="9">
        <f t="shared" ca="1" si="41"/>
        <v>-7.25148622585833E-3</v>
      </c>
    </row>
    <row r="250" spans="1:17">
      <c r="A250" t="s">
        <v>314</v>
      </c>
      <c r="B250" s="1">
        <v>513.53</v>
      </c>
      <c r="C250" s="9">
        <f t="shared" si="34"/>
        <v>1.6770284718647232E-2</v>
      </c>
      <c r="D250" s="9">
        <f t="shared" ca="1" si="40"/>
        <v>2.6697662258476133E-2</v>
      </c>
      <c r="E250" s="9">
        <f t="shared" ca="1" si="40"/>
        <v>-1.871141650178031E-2</v>
      </c>
      <c r="F250" s="9">
        <f t="shared" ca="1" si="40"/>
        <v>1.4996268036293108E-2</v>
      </c>
      <c r="G250" s="9">
        <f t="shared" ca="1" si="40"/>
        <v>9.4349889987756785E-3</v>
      </c>
      <c r="H250" s="9">
        <f t="shared" ca="1" si="40"/>
        <v>2.0392712036703281E-3</v>
      </c>
      <c r="J250" t="s">
        <v>314</v>
      </c>
      <c r="K250" s="1">
        <v>266.43</v>
      </c>
      <c r="L250" s="9">
        <f t="shared" si="36"/>
        <v>3.9686256146101682E-2</v>
      </c>
      <c r="M250" s="9">
        <f t="shared" ca="1" si="41"/>
        <v>1.3159370079628295E-2</v>
      </c>
      <c r="N250" s="9">
        <f t="shared" ca="1" si="41"/>
        <v>-8.8243514576337289E-3</v>
      </c>
      <c r="O250" s="9">
        <f t="shared" ca="1" si="41"/>
        <v>3.5863165659709602E-2</v>
      </c>
      <c r="P250" s="9">
        <f t="shared" ca="1" si="41"/>
        <v>2.4625795720445237E-2</v>
      </c>
      <c r="Q250" s="9">
        <f t="shared" ca="1" si="41"/>
        <v>-1.1596340189177819E-2</v>
      </c>
    </row>
    <row r="251" spans="1:17">
      <c r="A251" t="s">
        <v>315</v>
      </c>
      <c r="B251" s="1">
        <v>507.29</v>
      </c>
      <c r="C251" s="9">
        <f t="shared" si="34"/>
        <v>-1.2151188830253252E-2</v>
      </c>
      <c r="D251" s="9">
        <f t="shared" ca="1" si="40"/>
        <v>-3.3218108470514866E-2</v>
      </c>
      <c r="E251" s="9">
        <f t="shared" ca="1" si="40"/>
        <v>1.7046106301223107E-2</v>
      </c>
      <c r="F251" s="9">
        <f t="shared" ca="1" si="40"/>
        <v>1.3005384251710226E-2</v>
      </c>
      <c r="G251" s="9">
        <f t="shared" ca="1" si="40"/>
        <v>1.5432795607108597E-3</v>
      </c>
      <c r="H251" s="9">
        <f t="shared" ca="1" si="40"/>
        <v>1.4674898686299063E-2</v>
      </c>
      <c r="J251" t="s">
        <v>315</v>
      </c>
      <c r="K251" s="1">
        <v>259.77</v>
      </c>
      <c r="L251" s="9">
        <f t="shared" si="36"/>
        <v>-2.4997185001689091E-2</v>
      </c>
      <c r="M251" s="9">
        <f t="shared" ca="1" si="41"/>
        <v>-8.4704811099234265E-3</v>
      </c>
      <c r="N251" s="9">
        <f t="shared" ca="1" si="41"/>
        <v>-5.4159264278557922E-3</v>
      </c>
      <c r="O251" s="9">
        <f t="shared" ca="1" si="41"/>
        <v>9.1682165319869231E-3</v>
      </c>
      <c r="P251" s="9">
        <f t="shared" ca="1" si="41"/>
        <v>2.2036862976524855E-2</v>
      </c>
      <c r="Q251" s="9">
        <f t="shared" ca="1" si="41"/>
        <v>3.3382750329611771E-2</v>
      </c>
    </row>
    <row r="252" spans="1:17">
      <c r="A252" t="s">
        <v>316</v>
      </c>
      <c r="B252" s="1">
        <v>501.02</v>
      </c>
      <c r="C252" s="9">
        <f t="shared" si="34"/>
        <v>-1.2359794200555971E-2</v>
      </c>
      <c r="D252" s="9">
        <f t="shared" ca="1" si="40"/>
        <v>-2.9437358874791739E-2</v>
      </c>
      <c r="E252" s="9">
        <f t="shared" ca="1" si="40"/>
        <v>-1.6953905084831015E-3</v>
      </c>
      <c r="F252" s="9">
        <f t="shared" ca="1" si="40"/>
        <v>-2.4222044909310656E-2</v>
      </c>
      <c r="G252" s="9">
        <f t="shared" ca="1" si="40"/>
        <v>1.094384408119454E-2</v>
      </c>
      <c r="H252" s="9">
        <f t="shared" ca="1" si="40"/>
        <v>5.4269278395095821E-2</v>
      </c>
      <c r="J252" t="s">
        <v>316</v>
      </c>
      <c r="K252" s="1">
        <v>254.92</v>
      </c>
      <c r="L252" s="9">
        <f t="shared" si="36"/>
        <v>-1.8670362243523097E-2</v>
      </c>
      <c r="M252" s="9">
        <f t="shared" ca="1" si="41"/>
        <v>-3.2003920638209046E-2</v>
      </c>
      <c r="N252" s="9">
        <f t="shared" ca="1" si="41"/>
        <v>1.259569466159954E-2</v>
      </c>
      <c r="O252" s="9">
        <f t="shared" ca="1" si="41"/>
        <v>-3.0631463597026429E-2</v>
      </c>
      <c r="P252" s="9">
        <f t="shared" ca="1" si="41"/>
        <v>-1.948956381213162E-2</v>
      </c>
      <c r="Q252" s="9">
        <f t="shared" ca="1" si="41"/>
        <v>2.6438717349630832E-2</v>
      </c>
    </row>
    <row r="253" spans="1:17">
      <c r="A253" t="s">
        <v>317</v>
      </c>
      <c r="B253" s="1">
        <v>496.82</v>
      </c>
      <c r="C253" s="9">
        <f t="shared" si="34"/>
        <v>-8.3828988862719826E-3</v>
      </c>
      <c r="D253" s="9">
        <f t="shared" ca="1" si="40"/>
        <v>-9.2898947364160548E-3</v>
      </c>
      <c r="E253" s="9">
        <f t="shared" ca="1" si="40"/>
        <v>1.8606413450551036E-2</v>
      </c>
      <c r="F253" s="9">
        <f t="shared" ca="1" si="40"/>
        <v>7.1400753537563758E-3</v>
      </c>
      <c r="G253" s="9">
        <f t="shared" ca="1" si="40"/>
        <v>-3.5719459099836953E-2</v>
      </c>
      <c r="H253" s="9">
        <f t="shared" ca="1" si="40"/>
        <v>-7.4639624195434314E-3</v>
      </c>
      <c r="J253" t="s">
        <v>317</v>
      </c>
      <c r="K253" s="1">
        <v>254.98</v>
      </c>
      <c r="L253" s="9">
        <f t="shared" si="36"/>
        <v>2.3536795857524823E-4</v>
      </c>
      <c r="M253" s="9">
        <f t="shared" ca="1" si="41"/>
        <v>-9.6286027031067794E-3</v>
      </c>
      <c r="N253" s="9">
        <f t="shared" ca="1" si="41"/>
        <v>-3.1639144342330457E-3</v>
      </c>
      <c r="O253" s="9">
        <f t="shared" ca="1" si="41"/>
        <v>-2.5181021025074087E-3</v>
      </c>
      <c r="P253" s="9">
        <f t="shared" ca="1" si="41"/>
        <v>-6.7223830168155075E-3</v>
      </c>
      <c r="Q253" s="9">
        <f t="shared" ca="1" si="41"/>
        <v>4.514647269107279E-4</v>
      </c>
    </row>
    <row r="254" spans="1:17">
      <c r="A254" t="s">
        <v>318</v>
      </c>
      <c r="B254" s="1">
        <v>510.12</v>
      </c>
      <c r="C254" s="9">
        <f t="shared" si="34"/>
        <v>2.6770258846262249E-2</v>
      </c>
      <c r="D254" s="9">
        <f t="shared" ca="1" si="40"/>
        <v>-2.2172760412138431E-2</v>
      </c>
      <c r="E254" s="9">
        <f t="shared" ca="1" si="40"/>
        <v>1.8298613713690848E-2</v>
      </c>
      <c r="F254" s="9">
        <f t="shared" ca="1" si="40"/>
        <v>-3.8286587027516169E-3</v>
      </c>
      <c r="G254" s="9">
        <f t="shared" ca="1" si="40"/>
        <v>3.0788360006920892E-2</v>
      </c>
      <c r="H254" s="9">
        <f t="shared" ca="1" si="40"/>
        <v>1.177147047638622E-2</v>
      </c>
      <c r="J254" t="s">
        <v>318</v>
      </c>
      <c r="K254" s="1">
        <v>258.89999999999998</v>
      </c>
      <c r="L254" s="9">
        <f t="shared" si="36"/>
        <v>1.5373754804298327E-2</v>
      </c>
      <c r="M254" s="9">
        <f t="shared" ca="1" si="41"/>
        <v>-9.07986126232334E-3</v>
      </c>
      <c r="N254" s="9">
        <f t="shared" ca="1" si="41"/>
        <v>5.0061551776465915E-2</v>
      </c>
      <c r="O254" s="9">
        <f t="shared" ca="1" si="41"/>
        <v>2.2265427125168148E-2</v>
      </c>
      <c r="P254" s="9">
        <f t="shared" ca="1" si="41"/>
        <v>-2.8033604354667292E-2</v>
      </c>
      <c r="Q254" s="9">
        <f t="shared" ca="1" si="41"/>
        <v>-3.8990863313541194E-2</v>
      </c>
    </row>
    <row r="255" spans="1:17">
      <c r="A255" t="s">
        <v>319</v>
      </c>
      <c r="B255" s="1">
        <v>499.7</v>
      </c>
      <c r="C255" s="9">
        <f t="shared" si="34"/>
        <v>-2.0426566298125962E-2</v>
      </c>
      <c r="D255" s="9">
        <f t="shared" ca="1" si="40"/>
        <v>-5.2966457321634783E-3</v>
      </c>
      <c r="E255" s="9">
        <f t="shared" ca="1" si="40"/>
        <v>-2.501627666317275E-2</v>
      </c>
      <c r="F255" s="9">
        <f t="shared" ca="1" si="40"/>
        <v>-2.1773289464550573E-2</v>
      </c>
      <c r="G255" s="9">
        <f t="shared" ca="1" si="40"/>
        <v>1.2649823841925692E-2</v>
      </c>
      <c r="H255" s="9">
        <f t="shared" ca="1" si="40"/>
        <v>-2.9802002188777651E-2</v>
      </c>
      <c r="J255" t="s">
        <v>319</v>
      </c>
      <c r="K255" s="1">
        <v>258.51</v>
      </c>
      <c r="L255" s="9">
        <f t="shared" si="36"/>
        <v>-1.5063731170335511E-3</v>
      </c>
      <c r="M255" s="9">
        <f t="shared" ca="1" si="41"/>
        <v>1.7657946848202748E-2</v>
      </c>
      <c r="N255" s="9">
        <f t="shared" ca="1" si="41"/>
        <v>-2.193986623654769E-2</v>
      </c>
      <c r="O255" s="9">
        <f t="shared" ca="1" si="41"/>
        <v>-2.9060941980380811E-2</v>
      </c>
      <c r="P255" s="9">
        <f t="shared" ca="1" si="41"/>
        <v>-4.6928950593378418E-3</v>
      </c>
      <c r="Q255" s="9">
        <f t="shared" ca="1" si="41"/>
        <v>1.768523450392186E-2</v>
      </c>
    </row>
    <row r="256" spans="1:17">
      <c r="A256" t="s">
        <v>320</v>
      </c>
      <c r="B256" s="1">
        <v>493.95</v>
      </c>
      <c r="C256" s="9">
        <f t="shared" si="34"/>
        <v>-1.1506904142485492E-2</v>
      </c>
      <c r="D256" s="9">
        <f t="shared" ref="D256:H265" ca="1" si="42">NORMINV(RAND(), $C$6, $C$7)</f>
        <v>2.8698841217974988E-2</v>
      </c>
      <c r="E256" s="9">
        <f t="shared" ca="1" si="42"/>
        <v>3.9310552597278565E-3</v>
      </c>
      <c r="F256" s="9">
        <f t="shared" ca="1" si="42"/>
        <v>-1.2794515947082167E-2</v>
      </c>
      <c r="G256" s="9">
        <f t="shared" ca="1" si="42"/>
        <v>-2.2658113293912482E-2</v>
      </c>
      <c r="H256" s="9">
        <f t="shared" ca="1" si="42"/>
        <v>-2.2940153864825091E-2</v>
      </c>
      <c r="J256" t="s">
        <v>320</v>
      </c>
      <c r="K256" s="1">
        <v>256.97000000000003</v>
      </c>
      <c r="L256" s="9">
        <f t="shared" si="36"/>
        <v>-5.9572163552665805E-3</v>
      </c>
      <c r="M256" s="9">
        <f t="shared" ref="M256:Q265" ca="1" si="43">NORMINV(RAND(), $L$6, $L$7)</f>
        <v>2.0133236807111776E-2</v>
      </c>
      <c r="N256" s="9">
        <f t="shared" ca="1" si="43"/>
        <v>7.6922674508965328E-3</v>
      </c>
      <c r="O256" s="9">
        <f t="shared" ca="1" si="43"/>
        <v>-1.8829744036818009E-2</v>
      </c>
      <c r="P256" s="9">
        <f t="shared" ca="1" si="43"/>
        <v>-5.8709556792793688E-2</v>
      </c>
      <c r="Q256" s="9">
        <f t="shared" ca="1" si="43"/>
        <v>-6.1035498230363611E-3</v>
      </c>
    </row>
    <row r="257" spans="1:17">
      <c r="A257" t="s">
        <v>321</v>
      </c>
      <c r="B257" s="1">
        <v>491.65</v>
      </c>
      <c r="C257" s="9">
        <f t="shared" si="34"/>
        <v>-4.6563417349934433E-3</v>
      </c>
      <c r="D257" s="9">
        <f t="shared" ca="1" si="42"/>
        <v>4.4470579266795221E-3</v>
      </c>
      <c r="E257" s="9">
        <f t="shared" ca="1" si="42"/>
        <v>-2.9768523364544993E-2</v>
      </c>
      <c r="F257" s="9">
        <f t="shared" ca="1" si="42"/>
        <v>-1.6230282332933103E-2</v>
      </c>
      <c r="G257" s="9">
        <f t="shared" ca="1" si="42"/>
        <v>2.7274655872040481E-3</v>
      </c>
      <c r="H257" s="9">
        <f t="shared" ca="1" si="42"/>
        <v>1.3912050698446605E-2</v>
      </c>
      <c r="J257" t="s">
        <v>321</v>
      </c>
      <c r="K257" s="1">
        <v>252.4</v>
      </c>
      <c r="L257" s="9">
        <f t="shared" si="36"/>
        <v>-1.7784177141300622E-2</v>
      </c>
      <c r="M257" s="9">
        <f t="shared" ca="1" si="43"/>
        <v>2.808777125999623E-2</v>
      </c>
      <c r="N257" s="9">
        <f t="shared" ca="1" si="43"/>
        <v>-1.0184805329354764E-2</v>
      </c>
      <c r="O257" s="9">
        <f t="shared" ca="1" si="43"/>
        <v>7.8680755492386602E-4</v>
      </c>
      <c r="P257" s="9">
        <f t="shared" ca="1" si="43"/>
        <v>1.5792264710216802E-2</v>
      </c>
      <c r="Q257" s="9">
        <f t="shared" ca="1" si="43"/>
        <v>1.234400172358107E-2</v>
      </c>
    </row>
    <row r="258" spans="1:17">
      <c r="A258" t="s">
        <v>322</v>
      </c>
      <c r="B258" s="1">
        <v>492.44</v>
      </c>
      <c r="C258" s="9">
        <f t="shared" si="34"/>
        <v>1.6068341299705492E-3</v>
      </c>
      <c r="D258" s="9">
        <f t="shared" ca="1" si="42"/>
        <v>5.5741059812589953E-3</v>
      </c>
      <c r="E258" s="9">
        <f t="shared" ca="1" si="42"/>
        <v>-1.7772366133150655E-2</v>
      </c>
      <c r="F258" s="9">
        <f t="shared" ca="1" si="42"/>
        <v>-4.1714773309019217E-2</v>
      </c>
      <c r="G258" s="9">
        <f t="shared" ca="1" si="42"/>
        <v>3.1009971130278081E-2</v>
      </c>
      <c r="H258" s="9">
        <f t="shared" ca="1" si="42"/>
        <v>9.1938431265386634E-3</v>
      </c>
      <c r="J258" t="s">
        <v>322</v>
      </c>
      <c r="K258" s="1">
        <v>251.89</v>
      </c>
      <c r="L258" s="9">
        <f t="shared" si="36"/>
        <v>-2.0206022187005518E-3</v>
      </c>
      <c r="M258" s="9">
        <f t="shared" ca="1" si="43"/>
        <v>4.1706876826035936E-3</v>
      </c>
      <c r="N258" s="9">
        <f t="shared" ca="1" si="43"/>
        <v>-2.2857211709325184E-2</v>
      </c>
      <c r="O258" s="9">
        <f t="shared" ca="1" si="43"/>
        <v>-2.4471157008959899E-2</v>
      </c>
      <c r="P258" s="9">
        <f t="shared" ca="1" si="43"/>
        <v>-1.844938911314847E-2</v>
      </c>
      <c r="Q258" s="9">
        <f t="shared" ca="1" si="43"/>
        <v>1.5005091159993687E-2</v>
      </c>
    </row>
    <row r="259" spans="1:17">
      <c r="A259" t="s">
        <v>323</v>
      </c>
      <c r="B259" s="1">
        <v>495.63</v>
      </c>
      <c r="C259" s="9">
        <f t="shared" si="34"/>
        <v>6.477946551864182E-3</v>
      </c>
      <c r="D259" s="9">
        <f t="shared" ca="1" si="42"/>
        <v>7.4031337293001438E-3</v>
      </c>
      <c r="E259" s="9">
        <f t="shared" ca="1" si="42"/>
        <v>9.3543710617287664E-3</v>
      </c>
      <c r="F259" s="9">
        <f t="shared" ca="1" si="42"/>
        <v>1.2907183730820485E-2</v>
      </c>
      <c r="G259" s="9">
        <f t="shared" ca="1" si="42"/>
        <v>-1.5139291315373765E-3</v>
      </c>
      <c r="H259" s="9">
        <f t="shared" ca="1" si="42"/>
        <v>3.9226130618163463E-2</v>
      </c>
      <c r="J259" t="s">
        <v>323</v>
      </c>
      <c r="K259" s="1">
        <v>256.77999999999997</v>
      </c>
      <c r="L259" s="9">
        <f t="shared" si="36"/>
        <v>1.9413235936321358E-2</v>
      </c>
      <c r="M259" s="9">
        <f t="shared" ca="1" si="43"/>
        <v>4.9279413096071166E-2</v>
      </c>
      <c r="N259" s="9">
        <f t="shared" ca="1" si="43"/>
        <v>9.2704504166046149E-3</v>
      </c>
      <c r="O259" s="9">
        <f t="shared" ca="1" si="43"/>
        <v>2.3497756676087896E-2</v>
      </c>
      <c r="P259" s="9">
        <f t="shared" ca="1" si="43"/>
        <v>-1.7092992438583567E-2</v>
      </c>
      <c r="Q259" s="9">
        <f t="shared" ca="1" si="43"/>
        <v>-5.0895465010772668E-2</v>
      </c>
    </row>
    <row r="260" spans="1:17">
      <c r="A260" t="s">
        <v>324</v>
      </c>
      <c r="B260" s="1">
        <v>505.41</v>
      </c>
      <c r="C260" s="9">
        <f t="shared" si="34"/>
        <v>1.9732461715392592E-2</v>
      </c>
      <c r="D260" s="9">
        <f t="shared" ca="1" si="42"/>
        <v>-5.1174596859144563E-4</v>
      </c>
      <c r="E260" s="9">
        <f t="shared" ca="1" si="42"/>
        <v>3.3511107587874066E-3</v>
      </c>
      <c r="F260" s="9">
        <f t="shared" ca="1" si="42"/>
        <v>6.6220829809253146E-3</v>
      </c>
      <c r="G260" s="9">
        <f t="shared" ca="1" si="42"/>
        <v>1.7624160436998548E-2</v>
      </c>
      <c r="H260" s="9">
        <f t="shared" ca="1" si="42"/>
        <v>1.3010742184395734E-3</v>
      </c>
      <c r="J260" t="s">
        <v>324</v>
      </c>
      <c r="K260" s="1">
        <v>253.54</v>
      </c>
      <c r="L260" s="9">
        <f t="shared" si="36"/>
        <v>-1.2617805125009662E-2</v>
      </c>
      <c r="M260" s="9">
        <f t="shared" ca="1" si="43"/>
        <v>-9.354465665130372E-3</v>
      </c>
      <c r="N260" s="9">
        <f t="shared" ca="1" si="43"/>
        <v>5.0144571804155616E-2</v>
      </c>
      <c r="O260" s="9">
        <f t="shared" ca="1" si="43"/>
        <v>-2.3292227890027883E-2</v>
      </c>
      <c r="P260" s="9">
        <f t="shared" ca="1" si="43"/>
        <v>-4.7328516617585331E-3</v>
      </c>
      <c r="Q260" s="9">
        <f t="shared" ca="1" si="43"/>
        <v>-2.8402617840164096E-2</v>
      </c>
    </row>
    <row r="261" spans="1:17">
      <c r="A261" t="s">
        <v>325</v>
      </c>
      <c r="B261" s="1">
        <v>497.12</v>
      </c>
      <c r="C261" s="9">
        <f t="shared" si="34"/>
        <v>-1.6402524682930731E-2</v>
      </c>
      <c r="D261" s="9">
        <f t="shared" ca="1" si="42"/>
        <v>-1.3881118973523385E-2</v>
      </c>
      <c r="E261" s="9">
        <f t="shared" ca="1" si="42"/>
        <v>-1.4552877540878587E-2</v>
      </c>
      <c r="F261" s="9">
        <f t="shared" ca="1" si="42"/>
        <v>8.8375105513922407E-3</v>
      </c>
      <c r="G261" s="9">
        <f t="shared" ca="1" si="42"/>
        <v>-9.7902362293909289E-3</v>
      </c>
      <c r="H261" s="9">
        <f t="shared" ca="1" si="42"/>
        <v>-3.0049687881691505E-5</v>
      </c>
      <c r="J261" t="s">
        <v>325</v>
      </c>
      <c r="K261" s="1">
        <v>248.42</v>
      </c>
      <c r="L261" s="9">
        <f t="shared" si="36"/>
        <v>-2.0194052220556934E-2</v>
      </c>
      <c r="M261" s="9">
        <f t="shared" ca="1" si="43"/>
        <v>6.0547862000302124E-3</v>
      </c>
      <c r="N261" s="9">
        <f t="shared" ca="1" si="43"/>
        <v>-2.1614757257096592E-2</v>
      </c>
      <c r="O261" s="9">
        <f t="shared" ca="1" si="43"/>
        <v>9.7407122296858161E-4</v>
      </c>
      <c r="P261" s="9">
        <f t="shared" ca="1" si="43"/>
        <v>4.4878105749787062E-3</v>
      </c>
      <c r="Q261" s="9">
        <f t="shared" ca="1" si="43"/>
        <v>-7.5015028100099655E-3</v>
      </c>
    </row>
    <row r="262" spans="1:17">
      <c r="A262" t="s">
        <v>326</v>
      </c>
      <c r="B262" s="1">
        <v>490.3</v>
      </c>
      <c r="C262" s="9">
        <f t="shared" si="34"/>
        <v>-1.3719021564209835E-2</v>
      </c>
      <c r="D262" s="9">
        <f t="shared" ca="1" si="42"/>
        <v>-2.1816677743411565E-2</v>
      </c>
      <c r="E262" s="9">
        <f t="shared" ca="1" si="42"/>
        <v>-1.6783197767600785E-2</v>
      </c>
      <c r="F262" s="9">
        <f t="shared" ca="1" si="42"/>
        <v>1.2954366912778424E-2</v>
      </c>
      <c r="G262" s="9">
        <f t="shared" ca="1" si="42"/>
        <v>-1.8847282431854524E-2</v>
      </c>
      <c r="H262" s="9">
        <f t="shared" ca="1" si="42"/>
        <v>-1.4947306246997661E-2</v>
      </c>
      <c r="J262" t="s">
        <v>326</v>
      </c>
      <c r="K262" s="1">
        <v>245.96</v>
      </c>
      <c r="L262" s="9">
        <f t="shared" si="36"/>
        <v>-9.9025843329843804E-3</v>
      </c>
      <c r="M262" s="9">
        <f t="shared" ca="1" si="43"/>
        <v>-5.1660948349823172E-3</v>
      </c>
      <c r="N262" s="9">
        <f t="shared" ca="1" si="43"/>
        <v>-8.2241109358090585E-3</v>
      </c>
      <c r="O262" s="9">
        <f t="shared" ca="1" si="43"/>
        <v>-1.3190105814853543E-2</v>
      </c>
      <c r="P262" s="9">
        <f t="shared" ca="1" si="43"/>
        <v>-2.6585677204813331E-3</v>
      </c>
      <c r="Q262" s="9">
        <f t="shared" ca="1" si="43"/>
        <v>-1.3745940536303451E-2</v>
      </c>
    </row>
    <row r="263" spans="1:17">
      <c r="A263" t="s">
        <v>327</v>
      </c>
      <c r="B263" s="1">
        <v>497.75</v>
      </c>
      <c r="C263" s="9">
        <f t="shared" si="34"/>
        <v>1.5194778706914111E-2</v>
      </c>
      <c r="D263" s="9">
        <f t="shared" ca="1" si="42"/>
        <v>3.8874098475359024E-4</v>
      </c>
      <c r="E263" s="9">
        <f t="shared" ca="1" si="42"/>
        <v>-9.5772432940346725E-4</v>
      </c>
      <c r="F263" s="9">
        <f t="shared" ca="1" si="42"/>
        <v>-2.5279423840432167E-2</v>
      </c>
      <c r="G263" s="9">
        <f t="shared" ca="1" si="42"/>
        <v>2.9055406981890866E-2</v>
      </c>
      <c r="H263" s="9">
        <f t="shared" ca="1" si="42"/>
        <v>-1.6585557738726053E-2</v>
      </c>
      <c r="J263" t="s">
        <v>327</v>
      </c>
      <c r="K263" s="1">
        <v>251.19</v>
      </c>
      <c r="L263" s="9">
        <f t="shared" si="36"/>
        <v>2.1263620100829359E-2</v>
      </c>
      <c r="M263" s="9">
        <f t="shared" ca="1" si="43"/>
        <v>-1.3538074449686355E-2</v>
      </c>
      <c r="N263" s="9">
        <f t="shared" ca="1" si="43"/>
        <v>1.9561620722984567E-3</v>
      </c>
      <c r="O263" s="9">
        <f t="shared" ca="1" si="43"/>
        <v>2.6352013142866774E-2</v>
      </c>
      <c r="P263" s="9">
        <f t="shared" ca="1" si="43"/>
        <v>-2.988238015091766E-2</v>
      </c>
      <c r="Q263" s="9">
        <f t="shared" ca="1" si="43"/>
        <v>-2.5228476280403436E-2</v>
      </c>
    </row>
    <row r="264" spans="1:17">
      <c r="A264" t="s">
        <v>328</v>
      </c>
      <c r="B264" s="1">
        <v>493.78</v>
      </c>
      <c r="C264" s="9">
        <f t="shared" si="34"/>
        <v>-7.9758915118031681E-3</v>
      </c>
      <c r="D264" s="9">
        <f t="shared" ca="1" si="42"/>
        <v>1.2127703214397365E-2</v>
      </c>
      <c r="E264" s="9">
        <f t="shared" ca="1" si="42"/>
        <v>-2.7406533218520285E-2</v>
      </c>
      <c r="F264" s="9">
        <f t="shared" ca="1" si="42"/>
        <v>3.5936057682197001E-2</v>
      </c>
      <c r="G264" s="9">
        <f t="shared" ca="1" si="42"/>
        <v>-5.175948547719013E-3</v>
      </c>
      <c r="H264" s="9">
        <f t="shared" ca="1" si="42"/>
        <v>-3.6080792640463565E-2</v>
      </c>
      <c r="J264" t="s">
        <v>328</v>
      </c>
      <c r="K264" s="1">
        <v>253.71</v>
      </c>
      <c r="L264" s="9">
        <f t="shared" si="36"/>
        <v>1.0032246506628489E-2</v>
      </c>
      <c r="M264" s="9">
        <f t="shared" ca="1" si="43"/>
        <v>-4.1796599549203201E-2</v>
      </c>
      <c r="N264" s="9">
        <f t="shared" ca="1" si="43"/>
        <v>-1.1978096538118682E-2</v>
      </c>
      <c r="O264" s="9">
        <f t="shared" ca="1" si="43"/>
        <v>3.4632674098981513E-2</v>
      </c>
      <c r="P264" s="9">
        <f t="shared" ca="1" si="43"/>
        <v>1.6540209940326206E-2</v>
      </c>
      <c r="Q264" s="9">
        <f t="shared" ca="1" si="43"/>
        <v>2.0566505143576184E-2</v>
      </c>
    </row>
    <row r="265" spans="1:17">
      <c r="A265" t="s">
        <v>329</v>
      </c>
      <c r="B265" s="1">
        <v>501.61</v>
      </c>
      <c r="C265" s="9">
        <f t="shared" si="34"/>
        <v>1.5857264368747299E-2</v>
      </c>
      <c r="D265" s="9">
        <f t="shared" ca="1" si="42"/>
        <v>3.4076491495660235E-2</v>
      </c>
      <c r="E265" s="9">
        <f t="shared" ca="1" si="42"/>
        <v>-7.3517381254325316E-3</v>
      </c>
      <c r="F265" s="9">
        <f t="shared" ca="1" si="42"/>
        <v>1.5982258734793264E-2</v>
      </c>
      <c r="G265" s="9">
        <f t="shared" ca="1" si="42"/>
        <v>-1.586133069366627E-2</v>
      </c>
      <c r="H265" s="9">
        <f t="shared" ca="1" si="42"/>
        <v>-2.1269370732594078E-2</v>
      </c>
      <c r="J265" t="s">
        <v>329</v>
      </c>
      <c r="K265" s="1">
        <v>258.45</v>
      </c>
      <c r="L265" s="9">
        <f t="shared" si="36"/>
        <v>1.8682748019392143E-2</v>
      </c>
      <c r="M265" s="9">
        <f t="shared" ca="1" si="43"/>
        <v>3.404302788279588E-3</v>
      </c>
      <c r="N265" s="9">
        <f t="shared" ca="1" si="43"/>
        <v>-7.098763782512333E-4</v>
      </c>
      <c r="O265" s="9">
        <f t="shared" ca="1" si="43"/>
        <v>2.5216190292400104E-2</v>
      </c>
      <c r="P265" s="9">
        <f t="shared" ca="1" si="43"/>
        <v>-4.2545971225107235E-3</v>
      </c>
      <c r="Q265" s="9">
        <f t="shared" ca="1" si="43"/>
        <v>-3.9530418448540321E-2</v>
      </c>
    </row>
  </sheetData>
  <mergeCells count="8">
    <mergeCell ref="S25:V26"/>
    <mergeCell ref="S28:V29"/>
    <mergeCell ref="S2:V2"/>
    <mergeCell ref="A13:H13"/>
    <mergeCell ref="J13:Q13"/>
    <mergeCell ref="S17:V17"/>
    <mergeCell ref="S19:V20"/>
    <mergeCell ref="S22:V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TUGAS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Geovany Bramanthya Samuel Sihombing</dc:creator>
  <cp:lastModifiedBy>Geovany Bramanthya Samuel Sihombing</cp:lastModifiedBy>
  <dcterms:created xsi:type="dcterms:W3CDTF">2026-09-22T05:12:11Z</dcterms:created>
  <dcterms:modified xsi:type="dcterms:W3CDTF">2026-09-22T05:12:11Z</dcterms:modified>
</cp:coreProperties>
</file>