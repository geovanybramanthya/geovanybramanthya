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va\.gemini\antigravity\scratch\"/>
    </mc:Choice>
  </mc:AlternateContent>
  <xr:revisionPtr revIDLastSave="0" documentId="8_{F29CE59F-6F76-4871-8B0B-3377F7B83BEC}" xr6:coauthVersionLast="47" xr6:coauthVersionMax="47" xr10:uidLastSave="{00000000-0000-0000-0000-000000000000}"/>
  <bookViews>
    <workbookView xWindow="-120" yWindow="-120" windowWidth="29040" windowHeight="16440" xr2:uid="{F74DB8FE-CCBF-4538-AB77-A5FE677BA0A6}"/>
  </bookViews>
  <sheets>
    <sheet name="TUGAS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3" i="1" l="1"/>
  <c r="C263" i="1"/>
  <c r="J262" i="1"/>
  <c r="C262" i="1"/>
  <c r="J261" i="1"/>
  <c r="C261" i="1"/>
  <c r="J260" i="1"/>
  <c r="C260" i="1"/>
  <c r="J259" i="1"/>
  <c r="C259" i="1"/>
  <c r="J258" i="1"/>
  <c r="C258" i="1"/>
  <c r="J257" i="1"/>
  <c r="C257" i="1"/>
  <c r="J256" i="1"/>
  <c r="C256" i="1"/>
  <c r="J255" i="1"/>
  <c r="C255" i="1"/>
  <c r="J254" i="1"/>
  <c r="C254" i="1"/>
  <c r="J253" i="1"/>
  <c r="C253" i="1"/>
  <c r="J252" i="1"/>
  <c r="C252" i="1"/>
  <c r="J251" i="1"/>
  <c r="C251" i="1"/>
  <c r="J250" i="1"/>
  <c r="C250" i="1"/>
  <c r="J249" i="1"/>
  <c r="C249" i="1"/>
  <c r="J248" i="1"/>
  <c r="C248" i="1"/>
  <c r="J247" i="1"/>
  <c r="C247" i="1"/>
  <c r="J246" i="1"/>
  <c r="C246" i="1"/>
  <c r="J245" i="1"/>
  <c r="C245" i="1"/>
  <c r="J244" i="1"/>
  <c r="C244" i="1"/>
  <c r="J243" i="1"/>
  <c r="C243" i="1"/>
  <c r="J242" i="1"/>
  <c r="C242" i="1"/>
  <c r="J241" i="1"/>
  <c r="C241" i="1"/>
  <c r="J240" i="1"/>
  <c r="C240" i="1"/>
  <c r="J239" i="1"/>
  <c r="C239" i="1"/>
  <c r="J238" i="1"/>
  <c r="C238" i="1"/>
  <c r="J237" i="1"/>
  <c r="C237" i="1"/>
  <c r="J236" i="1"/>
  <c r="C236" i="1"/>
  <c r="J235" i="1"/>
  <c r="C235" i="1"/>
  <c r="J234" i="1"/>
  <c r="C234" i="1"/>
  <c r="J233" i="1"/>
  <c r="C233" i="1"/>
  <c r="J232" i="1"/>
  <c r="C232" i="1"/>
  <c r="J231" i="1"/>
  <c r="C231" i="1"/>
  <c r="J230" i="1"/>
  <c r="C230" i="1"/>
  <c r="J229" i="1"/>
  <c r="C229" i="1"/>
  <c r="J228" i="1"/>
  <c r="C228" i="1"/>
  <c r="J227" i="1"/>
  <c r="C227" i="1"/>
  <c r="J226" i="1"/>
  <c r="C226" i="1"/>
  <c r="J225" i="1"/>
  <c r="C225" i="1"/>
  <c r="J224" i="1"/>
  <c r="C224" i="1"/>
  <c r="J223" i="1"/>
  <c r="C223" i="1"/>
  <c r="J222" i="1"/>
  <c r="C222" i="1"/>
  <c r="J221" i="1"/>
  <c r="C221" i="1"/>
  <c r="J220" i="1"/>
  <c r="C220" i="1"/>
  <c r="J219" i="1"/>
  <c r="C219" i="1"/>
  <c r="J218" i="1"/>
  <c r="C218" i="1"/>
  <c r="J217" i="1"/>
  <c r="C217" i="1"/>
  <c r="J216" i="1"/>
  <c r="C216" i="1"/>
  <c r="J215" i="1"/>
  <c r="C215" i="1"/>
  <c r="J214" i="1"/>
  <c r="C214" i="1"/>
  <c r="J213" i="1"/>
  <c r="C213" i="1"/>
  <c r="J212" i="1"/>
  <c r="C212" i="1"/>
  <c r="J211" i="1"/>
  <c r="C211" i="1"/>
  <c r="J210" i="1"/>
  <c r="C210" i="1"/>
  <c r="J209" i="1"/>
  <c r="C209" i="1"/>
  <c r="J208" i="1"/>
  <c r="C208" i="1"/>
  <c r="J207" i="1"/>
  <c r="C207" i="1"/>
  <c r="J206" i="1"/>
  <c r="C206" i="1"/>
  <c r="J205" i="1"/>
  <c r="C205" i="1"/>
  <c r="J204" i="1"/>
  <c r="C204" i="1"/>
  <c r="J203" i="1"/>
  <c r="C203" i="1"/>
  <c r="J202" i="1"/>
  <c r="C202" i="1"/>
  <c r="J201" i="1"/>
  <c r="C201" i="1"/>
  <c r="J200" i="1"/>
  <c r="C200" i="1"/>
  <c r="J199" i="1"/>
  <c r="C199" i="1"/>
  <c r="J198" i="1"/>
  <c r="C198" i="1"/>
  <c r="J197" i="1"/>
  <c r="C197" i="1"/>
  <c r="J196" i="1"/>
  <c r="C196" i="1"/>
  <c r="J195" i="1"/>
  <c r="C195" i="1"/>
  <c r="J194" i="1"/>
  <c r="C194" i="1"/>
  <c r="J193" i="1"/>
  <c r="C193" i="1"/>
  <c r="J192" i="1"/>
  <c r="C192" i="1"/>
  <c r="J191" i="1"/>
  <c r="C191" i="1"/>
  <c r="J190" i="1"/>
  <c r="C190" i="1"/>
  <c r="J189" i="1"/>
  <c r="C189" i="1"/>
  <c r="J188" i="1"/>
  <c r="C188" i="1"/>
  <c r="J187" i="1"/>
  <c r="C187" i="1"/>
  <c r="J186" i="1"/>
  <c r="C186" i="1"/>
  <c r="J185" i="1"/>
  <c r="C185" i="1"/>
  <c r="J184" i="1"/>
  <c r="C184" i="1"/>
  <c r="J183" i="1"/>
  <c r="C183" i="1"/>
  <c r="J182" i="1"/>
  <c r="C182" i="1"/>
  <c r="J181" i="1"/>
  <c r="C181" i="1"/>
  <c r="J180" i="1"/>
  <c r="C180" i="1"/>
  <c r="J179" i="1"/>
  <c r="C179" i="1"/>
  <c r="J178" i="1"/>
  <c r="C178" i="1"/>
  <c r="J177" i="1"/>
  <c r="C177" i="1"/>
  <c r="J176" i="1"/>
  <c r="C176" i="1"/>
  <c r="J175" i="1"/>
  <c r="C175" i="1"/>
  <c r="J174" i="1"/>
  <c r="C174" i="1"/>
  <c r="J173" i="1"/>
  <c r="C173" i="1"/>
  <c r="J172" i="1"/>
  <c r="C172" i="1"/>
  <c r="J171" i="1"/>
  <c r="C171" i="1"/>
  <c r="J170" i="1"/>
  <c r="C170" i="1"/>
  <c r="J169" i="1"/>
  <c r="C169" i="1"/>
  <c r="J168" i="1"/>
  <c r="C168" i="1"/>
  <c r="J167" i="1"/>
  <c r="C167" i="1"/>
  <c r="J166" i="1"/>
  <c r="C166" i="1"/>
  <c r="J165" i="1"/>
  <c r="C165" i="1"/>
  <c r="J164" i="1"/>
  <c r="C164" i="1"/>
  <c r="J163" i="1"/>
  <c r="C163" i="1"/>
  <c r="J162" i="1"/>
  <c r="C162" i="1"/>
  <c r="J161" i="1"/>
  <c r="C161" i="1"/>
  <c r="J160" i="1"/>
  <c r="C160" i="1"/>
  <c r="J159" i="1"/>
  <c r="C159" i="1"/>
  <c r="J158" i="1"/>
  <c r="C158" i="1"/>
  <c r="J157" i="1"/>
  <c r="C157" i="1"/>
  <c r="J156" i="1"/>
  <c r="C156" i="1"/>
  <c r="J155" i="1"/>
  <c r="C155" i="1"/>
  <c r="J154" i="1"/>
  <c r="C154" i="1"/>
  <c r="J153" i="1"/>
  <c r="C153" i="1"/>
  <c r="J152" i="1"/>
  <c r="C152" i="1"/>
  <c r="J151" i="1"/>
  <c r="C151" i="1"/>
  <c r="J150" i="1"/>
  <c r="C150" i="1"/>
  <c r="J149" i="1"/>
  <c r="C149" i="1"/>
  <c r="J148" i="1"/>
  <c r="C148" i="1"/>
  <c r="J147" i="1"/>
  <c r="C147" i="1"/>
  <c r="J146" i="1"/>
  <c r="C146" i="1"/>
  <c r="J145" i="1"/>
  <c r="C145" i="1"/>
  <c r="J144" i="1"/>
  <c r="C144" i="1"/>
  <c r="J143" i="1"/>
  <c r="C143" i="1"/>
  <c r="J142" i="1"/>
  <c r="C142" i="1"/>
  <c r="J141" i="1"/>
  <c r="C141" i="1"/>
  <c r="J140" i="1"/>
  <c r="C140" i="1"/>
  <c r="J139" i="1"/>
  <c r="C139" i="1"/>
  <c r="J138" i="1"/>
  <c r="C138" i="1"/>
  <c r="J137" i="1"/>
  <c r="C137" i="1"/>
  <c r="J136" i="1"/>
  <c r="C136" i="1"/>
  <c r="J135" i="1"/>
  <c r="C135" i="1"/>
  <c r="J134" i="1"/>
  <c r="C134" i="1"/>
  <c r="J133" i="1"/>
  <c r="C133" i="1"/>
  <c r="J132" i="1"/>
  <c r="C132" i="1"/>
  <c r="J131" i="1"/>
  <c r="C131" i="1"/>
  <c r="J130" i="1"/>
  <c r="C130" i="1"/>
  <c r="J129" i="1"/>
  <c r="C129" i="1"/>
  <c r="J128" i="1"/>
  <c r="C128" i="1"/>
  <c r="J127" i="1"/>
  <c r="C127" i="1"/>
  <c r="J126" i="1"/>
  <c r="C126" i="1"/>
  <c r="J125" i="1"/>
  <c r="C125" i="1"/>
  <c r="J124" i="1"/>
  <c r="C124" i="1"/>
  <c r="J123" i="1"/>
  <c r="C123" i="1"/>
  <c r="J122" i="1"/>
  <c r="C122" i="1"/>
  <c r="J121" i="1"/>
  <c r="C121" i="1"/>
  <c r="J120" i="1"/>
  <c r="C120" i="1"/>
  <c r="J119" i="1"/>
  <c r="C119" i="1"/>
  <c r="J118" i="1"/>
  <c r="C118" i="1"/>
  <c r="J117" i="1"/>
  <c r="C117" i="1"/>
  <c r="J116" i="1"/>
  <c r="C116" i="1"/>
  <c r="J115" i="1"/>
  <c r="C115" i="1"/>
  <c r="J114" i="1"/>
  <c r="C114" i="1"/>
  <c r="J113" i="1"/>
  <c r="C113" i="1"/>
  <c r="J112" i="1"/>
  <c r="C112" i="1"/>
  <c r="J111" i="1"/>
  <c r="C111" i="1"/>
  <c r="J110" i="1"/>
  <c r="C110" i="1"/>
  <c r="J109" i="1"/>
  <c r="C109" i="1"/>
  <c r="J108" i="1"/>
  <c r="C108" i="1"/>
  <c r="J107" i="1"/>
  <c r="C107" i="1"/>
  <c r="J106" i="1"/>
  <c r="C106" i="1"/>
  <c r="J105" i="1"/>
  <c r="C105" i="1"/>
  <c r="J104" i="1"/>
  <c r="C104" i="1"/>
  <c r="J103" i="1"/>
  <c r="C103" i="1"/>
  <c r="J102" i="1"/>
  <c r="C102" i="1"/>
  <c r="J101" i="1"/>
  <c r="C101" i="1"/>
  <c r="J100" i="1"/>
  <c r="C100" i="1"/>
  <c r="J99" i="1"/>
  <c r="C99" i="1"/>
  <c r="J98" i="1"/>
  <c r="C98" i="1"/>
  <c r="J97" i="1"/>
  <c r="C97" i="1"/>
  <c r="J96" i="1"/>
  <c r="C96" i="1"/>
  <c r="J95" i="1"/>
  <c r="C95" i="1"/>
  <c r="J94" i="1"/>
  <c r="C94" i="1"/>
  <c r="J93" i="1"/>
  <c r="C93" i="1"/>
  <c r="J92" i="1"/>
  <c r="C92" i="1"/>
  <c r="J91" i="1"/>
  <c r="C91" i="1"/>
  <c r="J90" i="1"/>
  <c r="C90" i="1"/>
  <c r="J89" i="1"/>
  <c r="C89" i="1"/>
  <c r="J88" i="1"/>
  <c r="C88" i="1"/>
  <c r="J87" i="1"/>
  <c r="C87" i="1"/>
  <c r="J86" i="1"/>
  <c r="C86" i="1"/>
  <c r="J85" i="1"/>
  <c r="C85" i="1"/>
  <c r="J84" i="1"/>
  <c r="C84" i="1"/>
  <c r="J83" i="1"/>
  <c r="C83" i="1"/>
  <c r="J82" i="1"/>
  <c r="C82" i="1"/>
  <c r="J81" i="1"/>
  <c r="C81" i="1"/>
  <c r="J80" i="1"/>
  <c r="C80" i="1"/>
  <c r="J79" i="1"/>
  <c r="C79" i="1"/>
  <c r="J78" i="1"/>
  <c r="C78" i="1"/>
  <c r="J77" i="1"/>
  <c r="C77" i="1"/>
  <c r="J76" i="1"/>
  <c r="C76" i="1"/>
  <c r="J75" i="1"/>
  <c r="C75" i="1"/>
  <c r="J74" i="1"/>
  <c r="C74" i="1"/>
  <c r="J73" i="1"/>
  <c r="C73" i="1"/>
  <c r="J72" i="1"/>
  <c r="C72" i="1"/>
  <c r="J71" i="1"/>
  <c r="C71" i="1"/>
  <c r="J70" i="1"/>
  <c r="C70" i="1"/>
  <c r="J69" i="1"/>
  <c r="C69" i="1"/>
  <c r="J68" i="1"/>
  <c r="C68" i="1"/>
  <c r="J67" i="1"/>
  <c r="C67" i="1"/>
  <c r="J66" i="1"/>
  <c r="C66" i="1"/>
  <c r="J65" i="1"/>
  <c r="C65" i="1"/>
  <c r="J64" i="1"/>
  <c r="C64" i="1"/>
  <c r="J63" i="1"/>
  <c r="C63" i="1"/>
  <c r="J62" i="1"/>
  <c r="C62" i="1"/>
  <c r="J61" i="1"/>
  <c r="C61" i="1"/>
  <c r="J60" i="1"/>
  <c r="C60" i="1"/>
  <c r="J59" i="1"/>
  <c r="C59" i="1"/>
  <c r="J58" i="1"/>
  <c r="C58" i="1"/>
  <c r="J57" i="1"/>
  <c r="C57" i="1"/>
  <c r="J56" i="1"/>
  <c r="C56" i="1"/>
  <c r="J55" i="1"/>
  <c r="C55" i="1"/>
  <c r="J54" i="1"/>
  <c r="C54" i="1"/>
  <c r="J53" i="1"/>
  <c r="C53" i="1"/>
  <c r="J52" i="1"/>
  <c r="C52" i="1"/>
  <c r="J51" i="1"/>
  <c r="C51" i="1"/>
  <c r="J50" i="1"/>
  <c r="C50" i="1"/>
  <c r="J49" i="1"/>
  <c r="C49" i="1"/>
  <c r="J48" i="1"/>
  <c r="C48" i="1"/>
  <c r="J47" i="1"/>
  <c r="C47" i="1"/>
  <c r="J46" i="1"/>
  <c r="C46" i="1"/>
  <c r="J45" i="1"/>
  <c r="C45" i="1"/>
  <c r="J44" i="1"/>
  <c r="C44" i="1"/>
  <c r="J43" i="1"/>
  <c r="C43" i="1"/>
  <c r="J42" i="1"/>
  <c r="C42" i="1"/>
  <c r="J41" i="1"/>
  <c r="C41" i="1"/>
  <c r="J40" i="1"/>
  <c r="C40" i="1"/>
  <c r="J39" i="1"/>
  <c r="C39" i="1"/>
  <c r="J38" i="1"/>
  <c r="C38" i="1"/>
  <c r="J37" i="1"/>
  <c r="C37" i="1"/>
  <c r="J36" i="1"/>
  <c r="C36" i="1"/>
  <c r="J35" i="1"/>
  <c r="C35" i="1"/>
  <c r="J34" i="1"/>
  <c r="C34" i="1"/>
  <c r="J33" i="1"/>
  <c r="C33" i="1"/>
  <c r="J32" i="1"/>
  <c r="C32" i="1"/>
  <c r="J31" i="1"/>
  <c r="C31" i="1"/>
  <c r="J30" i="1"/>
  <c r="C30" i="1"/>
  <c r="J29" i="1"/>
  <c r="C29" i="1"/>
  <c r="J28" i="1"/>
  <c r="C28" i="1"/>
  <c r="J27" i="1"/>
  <c r="C27" i="1"/>
  <c r="J26" i="1"/>
  <c r="C26" i="1"/>
  <c r="J25" i="1"/>
  <c r="C25" i="1"/>
  <c r="J24" i="1"/>
  <c r="C24" i="1"/>
  <c r="J23" i="1"/>
  <c r="C23" i="1"/>
  <c r="J22" i="1"/>
  <c r="C22" i="1"/>
  <c r="J21" i="1"/>
  <c r="C21" i="1"/>
  <c r="J20" i="1"/>
  <c r="C20" i="1"/>
  <c r="J19" i="1"/>
  <c r="C19" i="1"/>
  <c r="J18" i="1"/>
  <c r="C18" i="1"/>
  <c r="J17" i="1"/>
  <c r="C17" i="1"/>
  <c r="J16" i="1"/>
  <c r="J6" i="1" s="1"/>
  <c r="J8" i="1" s="1"/>
  <c r="C16" i="1"/>
  <c r="C6" i="1" s="1"/>
  <c r="C8" i="1" s="1"/>
  <c r="J15" i="1"/>
  <c r="C15" i="1"/>
  <c r="J14" i="1"/>
  <c r="C14" i="1"/>
  <c r="J7" i="1"/>
  <c r="C7" i="1"/>
  <c r="J5" i="1"/>
  <c r="C5" i="1"/>
  <c r="C9" i="1" l="1"/>
  <c r="J9" i="1"/>
</calcChain>
</file>

<file path=xl/sharedStrings.xml><?xml version="1.0" encoding="utf-8"?>
<sst xmlns="http://schemas.openxmlformats.org/spreadsheetml/2006/main" count="541" uniqueCount="276">
  <si>
    <t>Nilai Investasi (Vo)</t>
  </si>
  <si>
    <t>KESIMPULAN METODE SIMULASI HISTORIS (HISTORICAL SIMULATION)</t>
  </si>
  <si>
    <t>Holding Period (t)</t>
  </si>
  <si>
    <t>1. Saham Microsoft (MSFT):</t>
  </si>
  <si>
    <t>Tingkat Signifikansi (alfa)</t>
  </si>
  <si>
    <t>Pada tingkat kepercayaan 95% dan holding period 1 hari dengan modal $100.000, estimasi kerugian maksimum (VaR) adalah sebesar $2.810,75 (2,81%). Artinya, terdapat keyakinan 95% bahwa kerugian harian pasar saham MSFT tidak akan melebihi batas $2.810,75.</t>
  </si>
  <si>
    <t>Tingkat Kepercayaan (1-alfa)</t>
  </si>
  <si>
    <t>Nilai Persentil-alfa</t>
  </si>
  <si>
    <t>2. Saham Amazon (AMZN):</t>
  </si>
  <si>
    <t>Faktor Waktu (√t)</t>
  </si>
  <si>
    <t>Pada tingkat kepercayaan 95% dan holding period 1 hari dengan modal $100.000, estimasi kerugian maksimum (VaR) adalah sebesar $3.049,71 (3,05%). Artinya, terdapat keyakinan 95% bahwa kerugian harian pasar saham AMZN tidak akan melebihi batas $3.049,71.</t>
  </si>
  <si>
    <t>Nilai VaR ($)</t>
  </si>
  <si>
    <t>Nilai VaR (%)</t>
  </si>
  <si>
    <t>3. Perbandingan Risiko Pasar (AMZN vs MSFT):</t>
  </si>
  <si>
    <t>Berdasarkan metode Historical Simulation, saham Amazon memiliki potensi risiko kerugian yang lebih tinggi dibandingkan saham Microsoft ($3.049,71 vs $2.810,75 atau 3,05% vs 2,81%). Selisih potensi kerugian pada tingkat kepercayaan 95% adalah sebesar $238,96 per $100.000 investasi.</t>
  </si>
  <si>
    <t>MICROSOFT (MSFT)</t>
  </si>
  <si>
    <t>AMAZON (AMZN)</t>
  </si>
  <si>
    <t>Tanggal</t>
  </si>
  <si>
    <t>Penutupan</t>
  </si>
  <si>
    <t>Return</t>
  </si>
  <si>
    <t>Sorted Return</t>
  </si>
  <si>
    <t>Closing</t>
  </si>
  <si>
    <t>4. Karakteristik Metode Simulasi Historis:</t>
  </si>
  <si>
    <t>2025-09-22</t>
  </si>
  <si>
    <t>-</t>
  </si>
  <si>
    <t>Metode Simulasi Historis bersifat non-parametrik dan tidak mengasumsikan distribusi return berdistribusi normal. Kuantil 5% diambil langsung dari observasi return aktual di masa lalu, sehingga secara alami menangkap sifat ketidaksimetrisan (skewness) dan ekor gemuk (fat tails) empiris.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</si>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</sst>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0%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97D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vertical="top" wrapText="1"/>
    </xf>
    <xf numFmtId="165" fontId="0" fillId="0" borderId="0" xfId="0" applyNumberFormat="1"/>
    <xf numFmtId="2" fontId="0" fillId="0" borderId="0" xfId="0" applyNumberFormat="1"/>
    <xf numFmtId="164" fontId="1" fillId="3" borderId="0" xfId="0" applyNumberFormat="1" applyFont="1" applyFill="1"/>
    <xf numFmtId="10" fontId="1" fillId="0" borderId="0" xfId="0" applyNumberFormat="1" applyFont="1"/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3A74-E767-4A1B-B374-F1FA2B2AF09D}">
  <dimension ref="A2:P263"/>
  <sheetViews>
    <sheetView tabSelected="1" workbookViewId="0"/>
  </sheetViews>
  <sheetFormatPr defaultRowHeight="15"/>
  <cols>
    <col min="1" max="1" width="25" customWidth="1"/>
    <col min="2" max="2" width="14" customWidth="1"/>
    <col min="3" max="3" width="15" customWidth="1"/>
    <col min="4" max="4" width="16" customWidth="1"/>
    <col min="5" max="7" width="3" customWidth="1"/>
    <col min="8" max="8" width="25" customWidth="1"/>
    <col min="9" max="9" width="14" customWidth="1"/>
    <col min="10" max="10" width="15" customWidth="1"/>
    <col min="11" max="11" width="16" customWidth="1"/>
    <col min="12" max="12" width="3" customWidth="1"/>
    <col min="13" max="13" width="30" customWidth="1"/>
    <col min="14" max="15" width="18" customWidth="1"/>
    <col min="16" max="16" width="32" customWidth="1"/>
  </cols>
  <sheetData>
    <row r="2" spans="1:16">
      <c r="A2" t="s">
        <v>0</v>
      </c>
      <c r="C2" s="1">
        <v>100000</v>
      </c>
      <c r="H2" t="s">
        <v>0</v>
      </c>
      <c r="J2" s="1">
        <v>100000</v>
      </c>
      <c r="M2" s="2" t="s">
        <v>1</v>
      </c>
      <c r="N2" s="3"/>
      <c r="O2" s="3"/>
      <c r="P2" s="3"/>
    </row>
    <row r="3" spans="1:16">
      <c r="A3" t="s">
        <v>2</v>
      </c>
      <c r="C3">
        <v>1</v>
      </c>
      <c r="H3" t="s">
        <v>2</v>
      </c>
      <c r="J3">
        <v>1</v>
      </c>
      <c r="M3" s="4" t="s">
        <v>3</v>
      </c>
    </row>
    <row r="4" spans="1:16" ht="24" customHeight="1">
      <c r="A4" t="s">
        <v>4</v>
      </c>
      <c r="C4" s="5">
        <v>0.05</v>
      </c>
      <c r="H4" t="s">
        <v>4</v>
      </c>
      <c r="J4" s="5">
        <v>0.05</v>
      </c>
      <c r="M4" s="6" t="s">
        <v>5</v>
      </c>
      <c r="N4" s="3"/>
      <c r="O4" s="3"/>
      <c r="P4" s="3"/>
    </row>
    <row r="5" spans="1:16" ht="24" customHeight="1">
      <c r="A5" t="s">
        <v>6</v>
      </c>
      <c r="C5" s="5">
        <f>1-C4</f>
        <v>0.95</v>
      </c>
      <c r="H5" t="s">
        <v>6</v>
      </c>
      <c r="J5" s="5">
        <f>1-J4</f>
        <v>0.95</v>
      </c>
      <c r="M5" s="3"/>
      <c r="N5" s="3"/>
      <c r="O5" s="3"/>
      <c r="P5" s="3"/>
    </row>
    <row r="6" spans="1:16">
      <c r="A6" t="s">
        <v>7</v>
      </c>
      <c r="C6" s="7">
        <f>ABS(PERCENTILE($C$14:$C$263, C4))</f>
        <v>2.8107532131759042E-2</v>
      </c>
      <c r="H6" t="s">
        <v>7</v>
      </c>
      <c r="J6" s="7">
        <f>ABS(PERCENTILE($J$14:$J$263, J4))</f>
        <v>3.0497148360235406E-2</v>
      </c>
      <c r="M6" s="4" t="s">
        <v>8</v>
      </c>
    </row>
    <row r="7" spans="1:16" ht="24" customHeight="1">
      <c r="A7" t="s">
        <v>9</v>
      </c>
      <c r="C7" s="8">
        <f>SQRT(C3)</f>
        <v>1</v>
      </c>
      <c r="H7" t="s">
        <v>9</v>
      </c>
      <c r="J7" s="8">
        <f>SQRT(J3)</f>
        <v>1</v>
      </c>
      <c r="M7" s="6" t="s">
        <v>10</v>
      </c>
      <c r="N7" s="3"/>
      <c r="O7" s="3"/>
      <c r="P7" s="3"/>
    </row>
    <row r="8" spans="1:16" ht="24" customHeight="1">
      <c r="A8" t="s">
        <v>11</v>
      </c>
      <c r="C8" s="9">
        <f>C2*C6*C7</f>
        <v>2810.7532131759044</v>
      </c>
      <c r="H8" t="s">
        <v>11</v>
      </c>
      <c r="J8" s="9">
        <f>J2*J6*J7</f>
        <v>3049.7148360235406</v>
      </c>
      <c r="M8" s="3"/>
      <c r="N8" s="3"/>
      <c r="O8" s="3"/>
      <c r="P8" s="3"/>
    </row>
    <row r="9" spans="1:16">
      <c r="A9" t="s">
        <v>12</v>
      </c>
      <c r="C9" s="10">
        <f>C7*C6</f>
        <v>2.8107532131759042E-2</v>
      </c>
      <c r="H9" t="s">
        <v>12</v>
      </c>
      <c r="J9" s="10">
        <f>J7*J6</f>
        <v>3.0497148360235406E-2</v>
      </c>
      <c r="M9" s="4" t="s">
        <v>13</v>
      </c>
    </row>
    <row r="10" spans="1:16" ht="24" customHeight="1">
      <c r="M10" s="6" t="s">
        <v>14</v>
      </c>
      <c r="N10" s="3"/>
      <c r="O10" s="3"/>
      <c r="P10" s="3"/>
    </row>
    <row r="11" spans="1:16" ht="24" customHeight="1">
      <c r="A11" s="2" t="s">
        <v>15</v>
      </c>
      <c r="B11" s="3"/>
      <c r="C11" s="3"/>
      <c r="D11" s="3"/>
      <c r="H11" s="2" t="s">
        <v>16</v>
      </c>
      <c r="I11" s="3"/>
      <c r="J11" s="3"/>
      <c r="K11" s="3"/>
      <c r="M11" s="3"/>
      <c r="N11" s="3"/>
      <c r="O11" s="3"/>
      <c r="P11" s="3"/>
    </row>
    <row r="12" spans="1:16" ht="15.75" thickBot="1">
      <c r="A12" s="11" t="s">
        <v>17</v>
      </c>
      <c r="B12" s="11" t="s">
        <v>18</v>
      </c>
      <c r="C12" s="11" t="s">
        <v>19</v>
      </c>
      <c r="D12" s="11" t="s">
        <v>20</v>
      </c>
      <c r="H12" s="11" t="s">
        <v>17</v>
      </c>
      <c r="I12" s="11" t="s">
        <v>21</v>
      </c>
      <c r="J12" s="11" t="s">
        <v>19</v>
      </c>
      <c r="K12" s="11" t="s">
        <v>20</v>
      </c>
      <c r="M12" s="4" t="s">
        <v>22</v>
      </c>
    </row>
    <row r="13" spans="1:16" ht="24" customHeight="1">
      <c r="A13" t="s">
        <v>23</v>
      </c>
      <c r="B13" s="1">
        <v>514.45000000000005</v>
      </c>
      <c r="C13" s="12" t="s">
        <v>24</v>
      </c>
      <c r="D13" s="12" t="s">
        <v>24</v>
      </c>
      <c r="H13" t="s">
        <v>23</v>
      </c>
      <c r="I13" s="1">
        <v>227.63</v>
      </c>
      <c r="J13" s="12" t="s">
        <v>24</v>
      </c>
      <c r="K13" s="12" t="s">
        <v>24</v>
      </c>
      <c r="M13" s="6" t="s">
        <v>25</v>
      </c>
      <c r="N13" s="3"/>
      <c r="O13" s="3"/>
      <c r="P13" s="3"/>
    </row>
    <row r="14" spans="1:16" ht="24" customHeight="1">
      <c r="A14" t="s">
        <v>26</v>
      </c>
      <c r="B14" s="1">
        <v>509.23</v>
      </c>
      <c r="C14" s="7">
        <f t="shared" ref="C14:C77" si="0">(B14-B13)/B13</f>
        <v>-1.0146758674312424E-2</v>
      </c>
      <c r="D14" s="7">
        <v>-9.9931482673421501E-2</v>
      </c>
      <c r="H14" t="s">
        <v>26</v>
      </c>
      <c r="I14" s="1">
        <v>220.71</v>
      </c>
      <c r="J14" s="7">
        <f t="shared" ref="J14:J77" si="1">(I14-I13)/I13</f>
        <v>-3.0400210868514639E-2</v>
      </c>
      <c r="K14" s="7">
        <v>-5.5548071309892699E-2</v>
      </c>
      <c r="M14" s="3"/>
      <c r="N14" s="3"/>
      <c r="O14" s="3"/>
      <c r="P14" s="3"/>
    </row>
    <row r="15" spans="1:16">
      <c r="A15" t="s">
        <v>27</v>
      </c>
      <c r="B15" s="1">
        <v>510.15</v>
      </c>
      <c r="C15" s="7">
        <f t="shared" si="0"/>
        <v>1.8066492547571019E-3</v>
      </c>
      <c r="D15" s="7">
        <v>-4.9542480504116422E-2</v>
      </c>
      <c r="H15" t="s">
        <v>27</v>
      </c>
      <c r="I15" s="1">
        <v>220.21</v>
      </c>
      <c r="J15" s="7">
        <f t="shared" si="1"/>
        <v>-2.2654161569480311E-3</v>
      </c>
      <c r="K15" s="7">
        <v>-4.9925353473259E-2</v>
      </c>
    </row>
    <row r="16" spans="1:16">
      <c r="A16" t="s">
        <v>28</v>
      </c>
      <c r="B16" s="1">
        <v>507.03</v>
      </c>
      <c r="C16" s="7">
        <f t="shared" si="0"/>
        <v>-6.1158482799176803E-3</v>
      </c>
      <c r="D16" s="7">
        <v>-4.1713714930947582E-2</v>
      </c>
      <c r="H16" t="s">
        <v>28</v>
      </c>
      <c r="I16" s="1">
        <v>218.15</v>
      </c>
      <c r="J16" s="7">
        <f t="shared" si="1"/>
        <v>-9.3547068707143279E-3</v>
      </c>
      <c r="K16" s="7">
        <v>-4.7465117230655898E-2</v>
      </c>
    </row>
    <row r="17" spans="1:11">
      <c r="A17" t="s">
        <v>29</v>
      </c>
      <c r="B17" s="1">
        <v>511.46</v>
      </c>
      <c r="C17" s="7">
        <f t="shared" si="0"/>
        <v>8.7371555923712735E-3</v>
      </c>
      <c r="D17" s="7">
        <v>-3.9660907326988848E-2</v>
      </c>
      <c r="H17" t="s">
        <v>29</v>
      </c>
      <c r="I17" s="1">
        <v>219.78</v>
      </c>
      <c r="J17" s="7">
        <f t="shared" si="1"/>
        <v>7.4719229887691748E-3</v>
      </c>
      <c r="K17" s="7">
        <v>-4.5701449867265667E-2</v>
      </c>
    </row>
    <row r="18" spans="1:11">
      <c r="A18" t="s">
        <v>30</v>
      </c>
      <c r="B18" s="1">
        <v>514.6</v>
      </c>
      <c r="C18" s="7">
        <f t="shared" si="0"/>
        <v>6.1392875298166881E-3</v>
      </c>
      <c r="D18" s="7">
        <v>-3.9296989115582173E-2</v>
      </c>
      <c r="H18" t="s">
        <v>30</v>
      </c>
      <c r="I18" s="1">
        <v>222.17</v>
      </c>
      <c r="J18" s="7">
        <f t="shared" si="1"/>
        <v>1.0874510874510813E-2</v>
      </c>
      <c r="K18" s="7">
        <v>-4.4316571477648441E-2</v>
      </c>
    </row>
    <row r="19" spans="1:11">
      <c r="A19" t="s">
        <v>31</v>
      </c>
      <c r="B19" s="1">
        <v>517.95000000000005</v>
      </c>
      <c r="C19" s="7">
        <f t="shared" si="0"/>
        <v>6.5099106101827097E-3</v>
      </c>
      <c r="D19" s="7">
        <v>-3.7884366350963511E-2</v>
      </c>
      <c r="H19" t="s">
        <v>31</v>
      </c>
      <c r="I19" s="1">
        <v>219.57</v>
      </c>
      <c r="J19" s="7">
        <f t="shared" si="1"/>
        <v>-1.1702750146284352E-2</v>
      </c>
      <c r="K19" s="7">
        <v>-4.4207905918709003E-2</v>
      </c>
    </row>
    <row r="20" spans="1:11">
      <c r="A20" t="s">
        <v>32</v>
      </c>
      <c r="B20" s="1">
        <v>519.71</v>
      </c>
      <c r="C20" s="7">
        <f t="shared" si="0"/>
        <v>3.3980113910608953E-3</v>
      </c>
      <c r="D20" s="7">
        <v>-3.4559185683795762E-2</v>
      </c>
      <c r="H20" t="s">
        <v>32</v>
      </c>
      <c r="I20" s="1">
        <v>220.63</v>
      </c>
      <c r="J20" s="7">
        <f t="shared" si="1"/>
        <v>4.8276176162499532E-3</v>
      </c>
      <c r="K20" s="7">
        <v>-3.9510455815746311E-2</v>
      </c>
    </row>
    <row r="21" spans="1:11">
      <c r="A21" t="s">
        <v>33</v>
      </c>
      <c r="B21" s="1">
        <v>515.74</v>
      </c>
      <c r="C21" s="7">
        <f t="shared" si="0"/>
        <v>-7.6388755267361164E-3</v>
      </c>
      <c r="D21" s="7">
        <v>-3.2122447952068048E-2</v>
      </c>
      <c r="H21" t="s">
        <v>33</v>
      </c>
      <c r="I21" s="1">
        <v>222.41</v>
      </c>
      <c r="J21" s="7">
        <f t="shared" si="1"/>
        <v>8.0678058287630937E-3</v>
      </c>
      <c r="K21" s="7">
        <v>-3.4658587052911603E-2</v>
      </c>
    </row>
    <row r="22" spans="1:11">
      <c r="A22" t="s">
        <v>34</v>
      </c>
      <c r="B22" s="1">
        <v>517.35</v>
      </c>
      <c r="C22" s="7">
        <f t="shared" si="0"/>
        <v>3.1217280024818969E-3</v>
      </c>
      <c r="D22" s="7">
        <v>-3.1787032156035851E-2</v>
      </c>
      <c r="H22" t="s">
        <v>34</v>
      </c>
      <c r="I22" s="1">
        <v>219.51</v>
      </c>
      <c r="J22" s="7">
        <f t="shared" si="1"/>
        <v>-1.3038982060159191E-2</v>
      </c>
      <c r="K22" s="7">
        <v>-3.4552845528455292E-2</v>
      </c>
    </row>
    <row r="23" spans="1:11">
      <c r="A23" t="s">
        <v>35</v>
      </c>
      <c r="B23" s="1">
        <v>528.57000000000005</v>
      </c>
      <c r="C23" s="7">
        <f t="shared" si="0"/>
        <v>2.1687445636416405E-2</v>
      </c>
      <c r="D23" s="7">
        <v>-3.1655752192336517E-2</v>
      </c>
      <c r="H23" t="s">
        <v>35</v>
      </c>
      <c r="I23" s="1">
        <v>220.9</v>
      </c>
      <c r="J23" s="7">
        <f t="shared" si="1"/>
        <v>6.3322855450777408E-3</v>
      </c>
      <c r="K23" s="7">
        <v>-3.3957845433255293E-2</v>
      </c>
    </row>
    <row r="24" spans="1:11">
      <c r="A24" t="s">
        <v>36</v>
      </c>
      <c r="B24" s="1">
        <v>523.98</v>
      </c>
      <c r="C24" s="7">
        <f t="shared" si="0"/>
        <v>-8.6838072535331771E-3</v>
      </c>
      <c r="D24" s="7">
        <v>-3.0379491320145249E-2</v>
      </c>
      <c r="H24" t="s">
        <v>36</v>
      </c>
      <c r="I24" s="1">
        <v>221.78</v>
      </c>
      <c r="J24" s="7">
        <f t="shared" si="1"/>
        <v>3.983703033046607E-3</v>
      </c>
      <c r="K24" s="7">
        <v>-3.2305688232739903E-2</v>
      </c>
    </row>
    <row r="25" spans="1:11">
      <c r="A25" t="s">
        <v>37</v>
      </c>
      <c r="B25" s="1">
        <v>524.85</v>
      </c>
      <c r="C25" s="7">
        <f t="shared" si="0"/>
        <v>1.6603687163632287E-3</v>
      </c>
      <c r="D25" s="7">
        <v>-2.915704921059914E-2</v>
      </c>
      <c r="H25" t="s">
        <v>37</v>
      </c>
      <c r="I25" s="1">
        <v>225.22</v>
      </c>
      <c r="J25" s="7">
        <f t="shared" si="1"/>
        <v>1.551086662458291E-2</v>
      </c>
      <c r="K25" s="7">
        <v>-3.098988346779365E-2</v>
      </c>
    </row>
    <row r="26" spans="1:11">
      <c r="A26" t="s">
        <v>38</v>
      </c>
      <c r="B26" s="1">
        <v>522.4</v>
      </c>
      <c r="C26" s="7">
        <f t="shared" si="0"/>
        <v>-4.6680003810613416E-3</v>
      </c>
      <c r="D26" s="7">
        <v>-2.872192172331536E-2</v>
      </c>
      <c r="H26" t="s">
        <v>38</v>
      </c>
      <c r="I26" s="1">
        <v>227.74</v>
      </c>
      <c r="J26" s="7">
        <f t="shared" si="1"/>
        <v>1.1189059586182444E-2</v>
      </c>
      <c r="K26" s="7">
        <v>-3.0576460853461489E-2</v>
      </c>
    </row>
    <row r="27" spans="1:11">
      <c r="A27" t="s">
        <v>39</v>
      </c>
      <c r="B27" s="1">
        <v>510.96</v>
      </c>
      <c r="C27" s="7">
        <f t="shared" si="0"/>
        <v>-2.1898928024502294E-2</v>
      </c>
      <c r="D27" s="7">
        <v>-2.7356611519856879E-2</v>
      </c>
      <c r="H27" t="s">
        <v>39</v>
      </c>
      <c r="I27" s="1">
        <v>216.37</v>
      </c>
      <c r="J27" s="7">
        <f t="shared" si="1"/>
        <v>-4.9925353473259E-2</v>
      </c>
      <c r="K27" s="7">
        <v>-3.0400210868514639E-2</v>
      </c>
    </row>
    <row r="28" spans="1:11">
      <c r="A28" t="s">
        <v>40</v>
      </c>
      <c r="B28" s="1">
        <v>514.04999999999995</v>
      </c>
      <c r="C28" s="7">
        <f t="shared" si="0"/>
        <v>6.0474401127289324E-3</v>
      </c>
      <c r="D28" s="7">
        <v>-2.6995605824745288E-2</v>
      </c>
      <c r="H28" t="s">
        <v>40</v>
      </c>
      <c r="I28" s="1">
        <v>220.07</v>
      </c>
      <c r="J28" s="7">
        <f t="shared" si="1"/>
        <v>1.7100337385034841E-2</v>
      </c>
      <c r="K28" s="7">
        <v>-2.8617106314948029E-2</v>
      </c>
    </row>
    <row r="29" spans="1:11">
      <c r="A29" t="s">
        <v>41</v>
      </c>
      <c r="B29" s="1">
        <v>513.57000000000005</v>
      </c>
      <c r="C29" s="7">
        <f t="shared" si="0"/>
        <v>-9.3376130726564453E-4</v>
      </c>
      <c r="D29" s="7">
        <v>-2.6788511749347231E-2</v>
      </c>
      <c r="H29" t="s">
        <v>41</v>
      </c>
      <c r="I29" s="1">
        <v>216.39</v>
      </c>
      <c r="J29" s="7">
        <f t="shared" si="1"/>
        <v>-1.6721952106148075E-2</v>
      </c>
      <c r="K29" s="7">
        <v>-2.7108927108927011E-2</v>
      </c>
    </row>
    <row r="30" spans="1:11">
      <c r="A30" t="s">
        <v>42</v>
      </c>
      <c r="B30" s="1">
        <v>513.42999999999995</v>
      </c>
      <c r="C30" s="7">
        <f t="shared" si="0"/>
        <v>-2.7260159277235825E-4</v>
      </c>
      <c r="D30" s="7">
        <v>-2.6585679243079072E-2</v>
      </c>
      <c r="H30" t="s">
        <v>42</v>
      </c>
      <c r="I30" s="1">
        <v>215.57</v>
      </c>
      <c r="J30" s="7">
        <f t="shared" si="1"/>
        <v>-3.789454226165688E-3</v>
      </c>
      <c r="K30" s="7">
        <v>-2.617155385036992E-2</v>
      </c>
    </row>
    <row r="31" spans="1:11">
      <c r="A31" t="s">
        <v>43</v>
      </c>
      <c r="B31" s="1">
        <v>511.61</v>
      </c>
      <c r="C31" s="7">
        <f t="shared" si="0"/>
        <v>-3.5447870206258623E-3</v>
      </c>
      <c r="D31" s="7">
        <v>-2.5138672568789919E-2</v>
      </c>
      <c r="H31" t="s">
        <v>43</v>
      </c>
      <c r="I31" s="1">
        <v>214.47</v>
      </c>
      <c r="J31" s="7">
        <f t="shared" si="1"/>
        <v>-5.1027508465927279E-3</v>
      </c>
      <c r="K31" s="7">
        <v>-2.5349113395306929E-2</v>
      </c>
    </row>
    <row r="32" spans="1:11">
      <c r="A32" t="s">
        <v>44</v>
      </c>
      <c r="B32" s="1">
        <v>513.58000000000004</v>
      </c>
      <c r="C32" s="7">
        <f t="shared" si="0"/>
        <v>3.8505893160806614E-3</v>
      </c>
      <c r="D32" s="7">
        <v>-2.504081632653057E-2</v>
      </c>
      <c r="H32" t="s">
        <v>44</v>
      </c>
      <c r="I32" s="1">
        <v>213.04</v>
      </c>
      <c r="J32" s="7">
        <f t="shared" si="1"/>
        <v>-6.6675991980230656E-3</v>
      </c>
      <c r="K32" s="7">
        <v>-2.5339154841727631E-2</v>
      </c>
    </row>
    <row r="33" spans="1:11">
      <c r="A33" t="s">
        <v>45</v>
      </c>
      <c r="B33" s="1">
        <v>516.79</v>
      </c>
      <c r="C33" s="7">
        <f t="shared" si="0"/>
        <v>6.2502433895399402E-3</v>
      </c>
      <c r="D33" s="7">
        <v>-2.398708224446007E-2</v>
      </c>
      <c r="H33" t="s">
        <v>45</v>
      </c>
      <c r="I33" s="1">
        <v>216.48</v>
      </c>
      <c r="J33" s="7">
        <f t="shared" si="1"/>
        <v>1.6147202403304535E-2</v>
      </c>
      <c r="K33" s="7">
        <v>-2.4997185001689091E-2</v>
      </c>
    </row>
    <row r="34" spans="1:11">
      <c r="A34" t="s">
        <v>46</v>
      </c>
      <c r="B34" s="1">
        <v>517.66</v>
      </c>
      <c r="C34" s="7">
        <f t="shared" si="0"/>
        <v>1.6834691073743776E-3</v>
      </c>
      <c r="D34" s="7">
        <v>-2.2903282583824621E-2</v>
      </c>
      <c r="H34" t="s">
        <v>46</v>
      </c>
      <c r="I34" s="1">
        <v>222.03</v>
      </c>
      <c r="J34" s="7">
        <f t="shared" si="1"/>
        <v>2.56374722838138E-2</v>
      </c>
      <c r="K34" s="7">
        <v>-2.4922538057389251E-2</v>
      </c>
    </row>
    <row r="35" spans="1:11">
      <c r="A35" t="s">
        <v>47</v>
      </c>
      <c r="B35" s="1">
        <v>520.54</v>
      </c>
      <c r="C35" s="7">
        <f t="shared" si="0"/>
        <v>5.5634972762044496E-3</v>
      </c>
      <c r="D35" s="7">
        <v>-2.267743488260154E-2</v>
      </c>
      <c r="H35" t="s">
        <v>47</v>
      </c>
      <c r="I35" s="1">
        <v>217.95</v>
      </c>
      <c r="J35" s="7">
        <f t="shared" si="1"/>
        <v>-1.8375895149304204E-2</v>
      </c>
      <c r="K35" s="7">
        <v>-2.476765799256498E-2</v>
      </c>
    </row>
    <row r="36" spans="1:11">
      <c r="A36" t="s">
        <v>48</v>
      </c>
      <c r="B36" s="1">
        <v>520.55999999999995</v>
      </c>
      <c r="C36" s="7">
        <f t="shared" si="0"/>
        <v>3.8421639067087664E-5</v>
      </c>
      <c r="D36" s="7">
        <v>-2.258788035171989E-2</v>
      </c>
      <c r="H36" t="s">
        <v>48</v>
      </c>
      <c r="I36" s="1">
        <v>221.09</v>
      </c>
      <c r="J36" s="7">
        <f t="shared" si="1"/>
        <v>1.4406974076623147E-2</v>
      </c>
      <c r="K36" s="7">
        <v>-2.4525968672712239E-2</v>
      </c>
    </row>
    <row r="37" spans="1:11">
      <c r="A37" t="s">
        <v>49</v>
      </c>
      <c r="B37" s="1">
        <v>523.61</v>
      </c>
      <c r="C37" s="7">
        <f t="shared" si="0"/>
        <v>5.8590748424774634E-3</v>
      </c>
      <c r="D37" s="7">
        <v>-2.2441973663985221E-2</v>
      </c>
      <c r="H37" t="s">
        <v>49</v>
      </c>
      <c r="I37" s="1">
        <v>224.21</v>
      </c>
      <c r="J37" s="7">
        <f t="shared" si="1"/>
        <v>1.4111900131168323E-2</v>
      </c>
      <c r="K37" s="7">
        <v>-2.3593998826586179E-2</v>
      </c>
    </row>
    <row r="38" spans="1:11">
      <c r="A38" t="s">
        <v>50</v>
      </c>
      <c r="B38" s="1">
        <v>531.52</v>
      </c>
      <c r="C38" s="7">
        <f t="shared" si="0"/>
        <v>1.5106663356314753E-2</v>
      </c>
      <c r="D38" s="7">
        <v>-2.235387832321024E-2</v>
      </c>
      <c r="H38" t="s">
        <v>50</v>
      </c>
      <c r="I38" s="1">
        <v>226.97</v>
      </c>
      <c r="J38" s="7">
        <f t="shared" si="1"/>
        <v>1.2309888051380362E-2</v>
      </c>
      <c r="K38" s="7">
        <v>-2.323780015491855E-2</v>
      </c>
    </row>
    <row r="39" spans="1:11">
      <c r="A39" t="s">
        <v>51</v>
      </c>
      <c r="B39" s="1">
        <v>542.07000000000005</v>
      </c>
      <c r="C39" s="7">
        <f t="shared" si="0"/>
        <v>1.9848735701384838E-2</v>
      </c>
      <c r="D39" s="7">
        <v>-2.2083453951449498E-2</v>
      </c>
      <c r="H39" t="s">
        <v>51</v>
      </c>
      <c r="I39" s="1">
        <v>229.25</v>
      </c>
      <c r="J39" s="7">
        <f t="shared" si="1"/>
        <v>1.0045380446755082E-2</v>
      </c>
      <c r="K39" s="7">
        <v>-2.303555280567323E-2</v>
      </c>
    </row>
    <row r="40" spans="1:11">
      <c r="A40" t="s">
        <v>52</v>
      </c>
      <c r="B40" s="1">
        <v>541.54999999999995</v>
      </c>
      <c r="C40" s="7">
        <f t="shared" si="0"/>
        <v>-9.5928570110888898E-4</v>
      </c>
      <c r="D40" s="7">
        <v>-2.1898928024502291E-2</v>
      </c>
      <c r="H40" t="s">
        <v>52</v>
      </c>
      <c r="I40" s="1">
        <v>230.3</v>
      </c>
      <c r="J40" s="7">
        <f t="shared" si="1"/>
        <v>4.5801526717557748E-3</v>
      </c>
      <c r="K40" s="7">
        <v>-2.1952175617405031E-2</v>
      </c>
    </row>
    <row r="41" spans="1:11">
      <c r="A41" t="s">
        <v>53</v>
      </c>
      <c r="B41" s="1">
        <v>525.76</v>
      </c>
      <c r="C41" s="7">
        <f t="shared" si="0"/>
        <v>-2.915704921059914E-2</v>
      </c>
      <c r="D41" s="7">
        <v>-2.153555786773774E-2</v>
      </c>
      <c r="H41" t="s">
        <v>53</v>
      </c>
      <c r="I41" s="1">
        <v>222.86</v>
      </c>
      <c r="J41" s="7">
        <f t="shared" si="1"/>
        <v>-3.2305688232739896E-2</v>
      </c>
      <c r="K41" s="7">
        <v>-2.155431838699956E-2</v>
      </c>
    </row>
    <row r="42" spans="1:11">
      <c r="A42" t="s">
        <v>54</v>
      </c>
      <c r="B42" s="1">
        <v>517.80999999999995</v>
      </c>
      <c r="C42" s="7">
        <f t="shared" si="0"/>
        <v>-1.5120967741935571E-2</v>
      </c>
      <c r="D42" s="7">
        <v>-2.0426566298125962E-2</v>
      </c>
      <c r="H42" t="s">
        <v>54</v>
      </c>
      <c r="I42" s="1">
        <v>244.22</v>
      </c>
      <c r="J42" s="7">
        <f t="shared" si="1"/>
        <v>9.5844925065063202E-2</v>
      </c>
      <c r="K42" s="7">
        <v>-2.092847639253477E-2</v>
      </c>
    </row>
    <row r="43" spans="1:11">
      <c r="A43" t="s">
        <v>55</v>
      </c>
      <c r="B43" s="1">
        <v>517.03</v>
      </c>
      <c r="C43" s="7">
        <f t="shared" si="0"/>
        <v>-1.5063440258009169E-3</v>
      </c>
      <c r="D43" s="7">
        <v>-2.0231213872832329E-2</v>
      </c>
      <c r="H43" t="s">
        <v>55</v>
      </c>
      <c r="I43" s="1">
        <v>254</v>
      </c>
      <c r="J43" s="7">
        <f t="shared" si="1"/>
        <v>4.0045860289902549E-2</v>
      </c>
      <c r="K43" s="7">
        <v>-2.084119912406569E-2</v>
      </c>
    </row>
    <row r="44" spans="1:11">
      <c r="A44" t="s">
        <v>56</v>
      </c>
      <c r="B44" s="1">
        <v>514.33000000000004</v>
      </c>
      <c r="C44" s="7">
        <f t="shared" si="0"/>
        <v>-5.2221341121403628E-3</v>
      </c>
      <c r="D44" s="7">
        <v>-1.9835949207350739E-2</v>
      </c>
      <c r="H44" t="s">
        <v>56</v>
      </c>
      <c r="I44" s="1">
        <v>249.32</v>
      </c>
      <c r="J44" s="7">
        <f t="shared" si="1"/>
        <v>-1.8425196850393729E-2</v>
      </c>
      <c r="K44" s="7">
        <v>-2.0194052220556931E-2</v>
      </c>
    </row>
    <row r="45" spans="1:11">
      <c r="A45" t="s">
        <v>57</v>
      </c>
      <c r="B45" s="1">
        <v>507.16</v>
      </c>
      <c r="C45" s="7">
        <f t="shared" si="0"/>
        <v>-1.3940466237629567E-2</v>
      </c>
      <c r="D45" s="7">
        <v>-1.9078140256878911E-2</v>
      </c>
      <c r="H45" t="s">
        <v>57</v>
      </c>
      <c r="I45" s="1">
        <v>250.2</v>
      </c>
      <c r="J45" s="7">
        <f t="shared" si="1"/>
        <v>3.5296005133964204E-3</v>
      </c>
      <c r="K45" s="7">
        <v>-1.988547223093827E-2</v>
      </c>
    </row>
    <row r="46" spans="1:11">
      <c r="A46" t="s">
        <v>58</v>
      </c>
      <c r="B46" s="1">
        <v>497.1</v>
      </c>
      <c r="C46" s="7">
        <f t="shared" si="0"/>
        <v>-1.9835949207350739E-2</v>
      </c>
      <c r="D46" s="7">
        <v>-1.862979258328102E-2</v>
      </c>
      <c r="H46" t="s">
        <v>58</v>
      </c>
      <c r="I46" s="1">
        <v>243.04</v>
      </c>
      <c r="J46" s="7">
        <f t="shared" si="1"/>
        <v>-2.8617106314948029E-2</v>
      </c>
      <c r="K46" s="7">
        <v>-1.969675499504046E-2</v>
      </c>
    </row>
    <row r="47" spans="1:11">
      <c r="A47" t="s">
        <v>59</v>
      </c>
      <c r="B47" s="1">
        <v>496.82</v>
      </c>
      <c r="C47" s="7">
        <f t="shared" si="0"/>
        <v>-5.6326694830020028E-4</v>
      </c>
      <c r="D47" s="7">
        <v>-1.8379517762582839E-2</v>
      </c>
      <c r="H47" t="s">
        <v>59</v>
      </c>
      <c r="I47" s="1">
        <v>244.41</v>
      </c>
      <c r="J47" s="7">
        <f t="shared" si="1"/>
        <v>5.6369321922317504E-3</v>
      </c>
      <c r="K47" s="7">
        <v>-1.967081493376157E-2</v>
      </c>
    </row>
    <row r="48" spans="1:11">
      <c r="A48" t="s">
        <v>60</v>
      </c>
      <c r="B48" s="1">
        <v>506</v>
      </c>
      <c r="C48" s="7">
        <f t="shared" si="0"/>
        <v>1.8477517008171986E-2</v>
      </c>
      <c r="D48" s="7">
        <v>-1.8150087260034971E-2</v>
      </c>
      <c r="H48" t="s">
        <v>60</v>
      </c>
      <c r="I48" s="1">
        <v>248.4</v>
      </c>
      <c r="J48" s="7">
        <f t="shared" si="1"/>
        <v>1.6325027617527962E-2</v>
      </c>
      <c r="K48" s="7">
        <v>-1.8715882505848689E-2</v>
      </c>
    </row>
    <row r="49" spans="1:11">
      <c r="A49" t="s">
        <v>61</v>
      </c>
      <c r="B49" s="1">
        <v>508.68</v>
      </c>
      <c r="C49" s="7">
        <f t="shared" si="0"/>
        <v>5.2964426877470487E-3</v>
      </c>
      <c r="D49" s="7">
        <v>-1.7839546723599931E-2</v>
      </c>
      <c r="H49" t="s">
        <v>61</v>
      </c>
      <c r="I49" s="1">
        <v>249.1</v>
      </c>
      <c r="J49" s="7">
        <f t="shared" si="1"/>
        <v>2.8180354267310329E-3</v>
      </c>
      <c r="K49" s="7">
        <v>-1.86703622435231E-2</v>
      </c>
    </row>
    <row r="50" spans="1:11">
      <c r="A50" t="s">
        <v>62</v>
      </c>
      <c r="B50" s="1">
        <v>511.14</v>
      </c>
      <c r="C50" s="7">
        <f t="shared" si="0"/>
        <v>4.8360462373200821E-3</v>
      </c>
      <c r="D50" s="7">
        <v>-1.7666599557076799E-2</v>
      </c>
      <c r="H50" t="s">
        <v>62</v>
      </c>
      <c r="I50" s="1">
        <v>244.2</v>
      </c>
      <c r="J50" s="7">
        <f t="shared" si="1"/>
        <v>-1.9670814933761566E-2</v>
      </c>
      <c r="K50" s="7">
        <v>-1.8425196850393729E-2</v>
      </c>
    </row>
    <row r="51" spans="1:11">
      <c r="A51" t="s">
        <v>63</v>
      </c>
      <c r="B51" s="1">
        <v>503.29</v>
      </c>
      <c r="C51" s="7">
        <f t="shared" si="0"/>
        <v>-1.535782760104857E-2</v>
      </c>
      <c r="D51" s="7">
        <v>-1.6402524682930731E-2</v>
      </c>
      <c r="H51" t="s">
        <v>63</v>
      </c>
      <c r="I51" s="1">
        <v>237.58</v>
      </c>
      <c r="J51" s="7">
        <f t="shared" si="1"/>
        <v>-2.7108927108927011E-2</v>
      </c>
      <c r="K51" s="7">
        <v>-1.8375895149304201E-2</v>
      </c>
    </row>
    <row r="52" spans="1:11">
      <c r="A52" t="s">
        <v>64</v>
      </c>
      <c r="B52" s="1">
        <v>510.18</v>
      </c>
      <c r="C52" s="7">
        <f t="shared" si="0"/>
        <v>1.3689920324266299E-2</v>
      </c>
      <c r="D52" s="7">
        <v>-1.6082177136349941E-2</v>
      </c>
      <c r="H52" t="s">
        <v>64</v>
      </c>
      <c r="I52" s="1">
        <v>234.69</v>
      </c>
      <c r="J52" s="7">
        <f t="shared" si="1"/>
        <v>-1.2164323596262374E-2</v>
      </c>
      <c r="K52" s="7">
        <v>-1.832739559995596E-2</v>
      </c>
    </row>
    <row r="53" spans="1:11">
      <c r="A53" t="s">
        <v>65</v>
      </c>
      <c r="B53" s="1">
        <v>507.49</v>
      </c>
      <c r="C53" s="7">
        <f t="shared" si="0"/>
        <v>-5.2726488690266133E-3</v>
      </c>
      <c r="D53" s="7">
        <v>-1.570198576618723E-2</v>
      </c>
      <c r="H53" t="s">
        <v>65</v>
      </c>
      <c r="I53" s="1">
        <v>232.87</v>
      </c>
      <c r="J53" s="7">
        <f t="shared" si="1"/>
        <v>-7.7549107333077386E-3</v>
      </c>
      <c r="K53" s="7">
        <v>-1.8236160443558899E-2</v>
      </c>
    </row>
    <row r="54" spans="1:11">
      <c r="A54" t="s">
        <v>66</v>
      </c>
      <c r="B54" s="1">
        <v>493.79</v>
      </c>
      <c r="C54" s="7">
        <f t="shared" si="0"/>
        <v>-2.6995605824745292E-2</v>
      </c>
      <c r="D54" s="7">
        <v>-1.549911762449168E-2</v>
      </c>
      <c r="H54" t="s">
        <v>66</v>
      </c>
      <c r="I54" s="1">
        <v>222.55</v>
      </c>
      <c r="J54" s="7">
        <f t="shared" si="1"/>
        <v>-4.4316571477648441E-2</v>
      </c>
      <c r="K54" s="7">
        <v>-1.8142846206843789E-2</v>
      </c>
    </row>
    <row r="55" spans="1:11">
      <c r="A55" t="s">
        <v>67</v>
      </c>
      <c r="B55" s="1">
        <v>487.12</v>
      </c>
      <c r="C55" s="7">
        <f t="shared" si="0"/>
        <v>-1.3507766459426104E-2</v>
      </c>
      <c r="D55" s="7">
        <v>-1.535782760104857E-2</v>
      </c>
      <c r="H55" t="s">
        <v>67</v>
      </c>
      <c r="I55" s="1">
        <v>222.69</v>
      </c>
      <c r="J55" s="7">
        <f t="shared" si="1"/>
        <v>6.2907211862496678E-4</v>
      </c>
      <c r="K55" s="7">
        <v>-1.7863022719789279E-2</v>
      </c>
    </row>
    <row r="56" spans="1:11">
      <c r="A56" t="s">
        <v>68</v>
      </c>
      <c r="B56" s="1">
        <v>478.43</v>
      </c>
      <c r="C56" s="7">
        <f t="shared" si="0"/>
        <v>-1.7839546723599928E-2</v>
      </c>
      <c r="D56" s="7">
        <v>-1.5120967741935569E-2</v>
      </c>
      <c r="H56" t="s">
        <v>68</v>
      </c>
      <c r="I56" s="1">
        <v>217.14</v>
      </c>
      <c r="J56" s="7">
        <f t="shared" si="1"/>
        <v>-2.4922538057389247E-2</v>
      </c>
      <c r="K56" s="7">
        <v>-1.7784177141300619E-2</v>
      </c>
    </row>
    <row r="57" spans="1:11">
      <c r="A57" t="s">
        <v>69</v>
      </c>
      <c r="B57" s="1">
        <v>472.12</v>
      </c>
      <c r="C57" s="7">
        <f t="shared" si="0"/>
        <v>-1.3188972263445023E-2</v>
      </c>
      <c r="D57" s="7">
        <v>-1.4997149302198779E-2</v>
      </c>
      <c r="H57" t="s">
        <v>69</v>
      </c>
      <c r="I57" s="1">
        <v>220.69</v>
      </c>
      <c r="J57" s="7">
        <f t="shared" si="1"/>
        <v>1.6348899327622787E-2</v>
      </c>
      <c r="K57" s="7">
        <v>-1.7760986624978301E-2</v>
      </c>
    </row>
    <row r="58" spans="1:11">
      <c r="A58" t="s">
        <v>70</v>
      </c>
      <c r="B58" s="1">
        <v>474</v>
      </c>
      <c r="C58" s="7">
        <f t="shared" si="0"/>
        <v>3.9820384647970761E-3</v>
      </c>
      <c r="D58" s="7">
        <v>-1.483390034020414E-2</v>
      </c>
      <c r="H58" t="s">
        <v>70</v>
      </c>
      <c r="I58" s="1">
        <v>226.28</v>
      </c>
      <c r="J58" s="7">
        <f t="shared" si="1"/>
        <v>2.5329647922425137E-2</v>
      </c>
      <c r="K58" s="7">
        <v>-1.7194146060125579E-2</v>
      </c>
    </row>
    <row r="59" spans="1:11">
      <c r="A59" t="s">
        <v>71</v>
      </c>
      <c r="B59" s="1">
        <v>476.99</v>
      </c>
      <c r="C59" s="7">
        <f t="shared" si="0"/>
        <v>6.3080168776371501E-3</v>
      </c>
      <c r="D59" s="7">
        <v>-1.444963875903103E-2</v>
      </c>
      <c r="H59" t="s">
        <v>71</v>
      </c>
      <c r="I59" s="1">
        <v>229.67</v>
      </c>
      <c r="J59" s="7">
        <f t="shared" si="1"/>
        <v>1.4981438925225325E-2</v>
      </c>
      <c r="K59" s="7">
        <v>-1.6721952106148071E-2</v>
      </c>
    </row>
    <row r="60" spans="1:11">
      <c r="A60" t="s">
        <v>72</v>
      </c>
      <c r="B60" s="1">
        <v>485.5</v>
      </c>
      <c r="C60" s="7">
        <f t="shared" si="0"/>
        <v>1.7841044885636995E-2</v>
      </c>
      <c r="D60" s="7">
        <v>-1.414463532558379E-2</v>
      </c>
      <c r="H60" t="s">
        <v>72</v>
      </c>
      <c r="I60" s="1">
        <v>229.16</v>
      </c>
      <c r="J60" s="7">
        <f t="shared" si="1"/>
        <v>-2.2205773501109893E-3</v>
      </c>
      <c r="K60" s="7">
        <v>-1.6238743054224881E-2</v>
      </c>
    </row>
    <row r="61" spans="1:11">
      <c r="A61" t="s">
        <v>73</v>
      </c>
      <c r="B61" s="1">
        <v>492.01</v>
      </c>
      <c r="C61" s="7">
        <f t="shared" si="0"/>
        <v>1.3408856848609662E-2</v>
      </c>
      <c r="D61" s="7">
        <v>-1.3940466237629571E-2</v>
      </c>
      <c r="H61" t="s">
        <v>73</v>
      </c>
      <c r="I61" s="1">
        <v>233.22</v>
      </c>
      <c r="J61" s="7">
        <f t="shared" si="1"/>
        <v>1.7716879036481073E-2</v>
      </c>
      <c r="K61" s="7">
        <v>-1.6136876077633869E-2</v>
      </c>
    </row>
    <row r="62" spans="1:11">
      <c r="A62" t="s">
        <v>74</v>
      </c>
      <c r="B62" s="1">
        <v>486.74</v>
      </c>
      <c r="C62" s="7">
        <f t="shared" si="0"/>
        <v>-1.0711164407227459E-2</v>
      </c>
      <c r="D62" s="7">
        <v>-1.371902156420983E-2</v>
      </c>
      <c r="H62" t="s">
        <v>74</v>
      </c>
      <c r="I62" s="1">
        <v>233.88</v>
      </c>
      <c r="J62" s="7">
        <f t="shared" si="1"/>
        <v>2.8299459737586683E-3</v>
      </c>
      <c r="K62" s="7">
        <v>-1.5701708118635149E-2</v>
      </c>
    </row>
    <row r="63" spans="1:11">
      <c r="A63" t="s">
        <v>75</v>
      </c>
      <c r="B63" s="1">
        <v>490</v>
      </c>
      <c r="C63" s="7">
        <f t="shared" si="0"/>
        <v>6.6976209064387371E-3</v>
      </c>
      <c r="D63" s="7">
        <v>-1.366429495472184E-2</v>
      </c>
      <c r="H63" t="s">
        <v>75</v>
      </c>
      <c r="I63" s="1">
        <v>234.42</v>
      </c>
      <c r="J63" s="7">
        <f t="shared" si="1"/>
        <v>2.3088763468445015E-3</v>
      </c>
      <c r="K63" s="7">
        <v>-1.544490548639919E-2</v>
      </c>
    </row>
    <row r="64" spans="1:11">
      <c r="A64" t="s">
        <v>76</v>
      </c>
      <c r="B64" s="1">
        <v>477.73</v>
      </c>
      <c r="C64" s="7">
        <f t="shared" si="0"/>
        <v>-2.5040816326530574E-2</v>
      </c>
      <c r="D64" s="7">
        <v>-1.364265057211113E-2</v>
      </c>
      <c r="H64" t="s">
        <v>76</v>
      </c>
      <c r="I64" s="1">
        <v>232.38</v>
      </c>
      <c r="J64" s="7">
        <f t="shared" si="1"/>
        <v>-8.7023291528026282E-3</v>
      </c>
      <c r="K64" s="7">
        <v>-1.46719962379497E-2</v>
      </c>
    </row>
    <row r="65" spans="1:11">
      <c r="A65" t="s">
        <v>77</v>
      </c>
      <c r="B65" s="1">
        <v>480.84</v>
      </c>
      <c r="C65" s="7">
        <f t="shared" si="0"/>
        <v>6.5099533209133963E-3</v>
      </c>
      <c r="D65" s="7">
        <v>-1.3507766459426101E-2</v>
      </c>
      <c r="H65" t="s">
        <v>77</v>
      </c>
      <c r="I65" s="1">
        <v>229.11</v>
      </c>
      <c r="J65" s="7">
        <f t="shared" si="1"/>
        <v>-1.4071778982700671E-2</v>
      </c>
      <c r="K65" s="7">
        <v>-1.4071778982700669E-2</v>
      </c>
    </row>
    <row r="66" spans="1:11">
      <c r="A66" t="s">
        <v>78</v>
      </c>
      <c r="B66" s="1">
        <v>483.16</v>
      </c>
      <c r="C66" s="7">
        <f t="shared" si="0"/>
        <v>4.8248897762250441E-3</v>
      </c>
      <c r="D66" s="7">
        <v>-1.3427763386172921E-2</v>
      </c>
      <c r="H66" t="s">
        <v>78</v>
      </c>
      <c r="I66" s="1">
        <v>229.53</v>
      </c>
      <c r="J66" s="7">
        <f t="shared" si="1"/>
        <v>1.8331805682859214E-3</v>
      </c>
      <c r="K66" s="7">
        <v>-1.391573250869731E-2</v>
      </c>
    </row>
    <row r="67" spans="1:11">
      <c r="A67" t="s">
        <v>79</v>
      </c>
      <c r="B67" s="1">
        <v>491.02</v>
      </c>
      <c r="C67" s="7">
        <f t="shared" si="0"/>
        <v>1.6267902972100248E-2</v>
      </c>
      <c r="D67" s="7">
        <v>-1.3188972263445019E-2</v>
      </c>
      <c r="H67" t="s">
        <v>79</v>
      </c>
      <c r="I67" s="1">
        <v>226.89</v>
      </c>
      <c r="J67" s="7">
        <f t="shared" si="1"/>
        <v>-1.150176447523206E-2</v>
      </c>
      <c r="K67" s="7">
        <v>-1.3891414233244821E-2</v>
      </c>
    </row>
    <row r="68" spans="1:11">
      <c r="A68" t="s">
        <v>80</v>
      </c>
      <c r="B68" s="1">
        <v>492.02</v>
      </c>
      <c r="C68" s="7">
        <f t="shared" si="0"/>
        <v>2.0365769215103255E-3</v>
      </c>
      <c r="D68" s="7">
        <v>-1.235979420055597E-2</v>
      </c>
      <c r="H68" t="s">
        <v>80</v>
      </c>
      <c r="I68" s="1">
        <v>227.92</v>
      </c>
      <c r="J68" s="7">
        <f t="shared" si="1"/>
        <v>4.5396447617788412E-3</v>
      </c>
      <c r="K68" s="7">
        <v>-1.380032359379451E-2</v>
      </c>
    </row>
    <row r="69" spans="1:11">
      <c r="A69" t="s">
        <v>81</v>
      </c>
      <c r="B69" s="1">
        <v>478.56</v>
      </c>
      <c r="C69" s="7">
        <f t="shared" si="0"/>
        <v>-2.7356611519856876E-2</v>
      </c>
      <c r="D69" s="7">
        <v>-1.215118883025325E-2</v>
      </c>
      <c r="H69" t="s">
        <v>81</v>
      </c>
      <c r="I69" s="1">
        <v>231.78</v>
      </c>
      <c r="J69" s="7">
        <f t="shared" si="1"/>
        <v>1.6935766935766997E-2</v>
      </c>
      <c r="K69" s="7">
        <v>-1.3532345606571799E-2</v>
      </c>
    </row>
    <row r="70" spans="1:11">
      <c r="A70" t="s">
        <v>82</v>
      </c>
      <c r="B70" s="1">
        <v>483.47</v>
      </c>
      <c r="C70" s="7">
        <f t="shared" si="0"/>
        <v>1.0259946506185275E-2</v>
      </c>
      <c r="D70" s="7">
        <v>-1.18499491106481E-2</v>
      </c>
      <c r="H70" t="s">
        <v>82</v>
      </c>
      <c r="I70" s="1">
        <v>230.28</v>
      </c>
      <c r="J70" s="7">
        <f t="shared" si="1"/>
        <v>-6.4716541548019675E-3</v>
      </c>
      <c r="K70" s="7">
        <v>-1.3038982060159189E-2</v>
      </c>
    </row>
    <row r="71" spans="1:11">
      <c r="A71" t="s">
        <v>83</v>
      </c>
      <c r="B71" s="1">
        <v>478.53</v>
      </c>
      <c r="C71" s="7">
        <f t="shared" si="0"/>
        <v>-1.0217800484001187E-2</v>
      </c>
      <c r="D71" s="7">
        <v>-1.1831905344757259E-2</v>
      </c>
      <c r="H71" t="s">
        <v>83</v>
      </c>
      <c r="I71" s="1">
        <v>226.19</v>
      </c>
      <c r="J71" s="7">
        <f t="shared" si="1"/>
        <v>-1.7760986624978301E-2</v>
      </c>
      <c r="K71" s="7">
        <v>-1.2913026965438661E-2</v>
      </c>
    </row>
    <row r="72" spans="1:11">
      <c r="A72" t="s">
        <v>84</v>
      </c>
      <c r="B72" s="1">
        <v>474.82</v>
      </c>
      <c r="C72" s="7">
        <f t="shared" si="0"/>
        <v>-7.752909953398909E-3</v>
      </c>
      <c r="D72" s="7">
        <v>-1.1797195484891641E-2</v>
      </c>
      <c r="H72" t="s">
        <v>84</v>
      </c>
      <c r="I72" s="1">
        <v>222.54</v>
      </c>
      <c r="J72" s="7">
        <f t="shared" si="1"/>
        <v>-1.6136876077633873E-2</v>
      </c>
      <c r="K72" s="7">
        <v>-1.261780512500966E-2</v>
      </c>
    </row>
    <row r="73" spans="1:11">
      <c r="A73" t="s">
        <v>85</v>
      </c>
      <c r="B73" s="1">
        <v>476.39</v>
      </c>
      <c r="C73" s="7">
        <f t="shared" si="0"/>
        <v>3.306516153489729E-3</v>
      </c>
      <c r="D73" s="7">
        <v>-1.1612229809072399E-2</v>
      </c>
      <c r="H73" t="s">
        <v>85</v>
      </c>
      <c r="I73" s="1">
        <v>222.56</v>
      </c>
      <c r="J73" s="7">
        <f t="shared" si="1"/>
        <v>8.9871483778243154E-5</v>
      </c>
      <c r="K73" s="7">
        <v>-1.226277372262779E-2</v>
      </c>
    </row>
    <row r="74" spans="1:11">
      <c r="A74" t="s">
        <v>86</v>
      </c>
      <c r="B74" s="1">
        <v>476.12</v>
      </c>
      <c r="C74" s="7">
        <f t="shared" si="0"/>
        <v>-5.6676252650135776E-4</v>
      </c>
      <c r="D74" s="7">
        <v>-1.1506904142485491E-2</v>
      </c>
      <c r="H74" t="s">
        <v>86</v>
      </c>
      <c r="I74" s="1">
        <v>221.27</v>
      </c>
      <c r="J74" s="7">
        <f t="shared" si="1"/>
        <v>-5.7961897915168583E-3</v>
      </c>
      <c r="K74" s="7">
        <v>-1.22562212744813E-2</v>
      </c>
    </row>
    <row r="75" spans="1:11">
      <c r="A75" t="s">
        <v>87</v>
      </c>
      <c r="B75" s="1">
        <v>483.98</v>
      </c>
      <c r="C75" s="7">
        <f t="shared" si="0"/>
        <v>1.6508443249600969E-2</v>
      </c>
      <c r="D75" s="7">
        <v>-1.1285391135747889E-2</v>
      </c>
      <c r="H75" t="s">
        <v>87</v>
      </c>
      <c r="I75" s="1">
        <v>226.76</v>
      </c>
      <c r="J75" s="7">
        <f t="shared" si="1"/>
        <v>2.4811316491164553E-2</v>
      </c>
      <c r="K75" s="7">
        <v>-1.2164323596262371E-2</v>
      </c>
    </row>
    <row r="76" spans="1:11">
      <c r="A76" t="s">
        <v>88</v>
      </c>
      <c r="B76" s="1">
        <v>485.92</v>
      </c>
      <c r="C76" s="7">
        <f t="shared" si="0"/>
        <v>4.0084301004173675E-3</v>
      </c>
      <c r="D76" s="7">
        <v>-1.1163934813973901E-2</v>
      </c>
      <c r="H76" t="s">
        <v>88</v>
      </c>
      <c r="I76" s="1">
        <v>227.35</v>
      </c>
      <c r="J76" s="7">
        <f t="shared" si="1"/>
        <v>2.6018698183101229E-3</v>
      </c>
      <c r="K76" s="7">
        <v>-1.1784824714673471E-2</v>
      </c>
    </row>
    <row r="77" spans="1:11">
      <c r="A77" t="s">
        <v>89</v>
      </c>
      <c r="B77" s="1">
        <v>484.92</v>
      </c>
      <c r="C77" s="7">
        <f t="shared" si="0"/>
        <v>-2.057951926243003E-3</v>
      </c>
      <c r="D77" s="7">
        <v>-1.11589982527665E-2</v>
      </c>
      <c r="H77" t="s">
        <v>89</v>
      </c>
      <c r="I77" s="1">
        <v>228.43</v>
      </c>
      <c r="J77" s="7">
        <f t="shared" si="1"/>
        <v>4.7503848691445461E-3</v>
      </c>
      <c r="K77" s="7">
        <v>-1.1702750146284351E-2</v>
      </c>
    </row>
    <row r="78" spans="1:11">
      <c r="A78" t="s">
        <v>90</v>
      </c>
      <c r="B78" s="1">
        <v>486.85</v>
      </c>
      <c r="C78" s="7">
        <f t="shared" ref="C78:C141" si="2">(B78-B77)/B77</f>
        <v>3.9800379444032141E-3</v>
      </c>
      <c r="D78" s="7">
        <v>-1.111332602412035E-2</v>
      </c>
      <c r="H78" t="s">
        <v>90</v>
      </c>
      <c r="I78" s="1">
        <v>232.14</v>
      </c>
      <c r="J78" s="7">
        <f t="shared" ref="J78:J141" si="3">(I78-I77)/I77</f>
        <v>1.6241299303944225E-2</v>
      </c>
      <c r="K78" s="7">
        <v>-1.1526083376992889E-2</v>
      </c>
    </row>
    <row r="79" spans="1:11">
      <c r="A79" t="s">
        <v>91</v>
      </c>
      <c r="B79" s="1">
        <v>488.02</v>
      </c>
      <c r="C79" s="7">
        <f t="shared" si="2"/>
        <v>2.4032042723630665E-3</v>
      </c>
      <c r="D79" s="7">
        <v>-1.108652036320767E-2</v>
      </c>
      <c r="H79" t="s">
        <v>91</v>
      </c>
      <c r="I79" s="1">
        <v>232.38</v>
      </c>
      <c r="J79" s="7">
        <f t="shared" si="3"/>
        <v>1.0338588782631563E-3</v>
      </c>
      <c r="K79" s="7">
        <v>-1.150176447523206E-2</v>
      </c>
    </row>
    <row r="80" spans="1:11">
      <c r="A80" t="s">
        <v>92</v>
      </c>
      <c r="B80" s="1">
        <v>487.71</v>
      </c>
      <c r="C80" s="7">
        <f t="shared" si="2"/>
        <v>-6.3521986803819982E-4</v>
      </c>
      <c r="D80" s="7">
        <v>-1.0856110874373539E-2</v>
      </c>
      <c r="H80" t="s">
        <v>92</v>
      </c>
      <c r="I80" s="1">
        <v>232.52</v>
      </c>
      <c r="J80" s="7">
        <f t="shared" si="3"/>
        <v>6.0246148549795498E-4</v>
      </c>
      <c r="K80" s="7">
        <v>-1.0906887497475331E-2</v>
      </c>
    </row>
    <row r="81" spans="1:11">
      <c r="A81" t="s">
        <v>93</v>
      </c>
      <c r="B81" s="1">
        <v>487.1</v>
      </c>
      <c r="C81" s="7">
        <f t="shared" si="2"/>
        <v>-1.250743269565842E-3</v>
      </c>
      <c r="D81" s="7">
        <v>-1.0711164407227461E-2</v>
      </c>
      <c r="H81" t="s">
        <v>93</v>
      </c>
      <c r="I81" s="1">
        <v>232.07</v>
      </c>
      <c r="J81" s="7">
        <f t="shared" si="3"/>
        <v>-1.9353173920523699E-3</v>
      </c>
      <c r="K81" s="7">
        <v>-1.0871623925148699E-2</v>
      </c>
    </row>
    <row r="82" spans="1:11">
      <c r="A82" t="s">
        <v>94</v>
      </c>
      <c r="B82" s="1">
        <v>487.48</v>
      </c>
      <c r="C82" s="7">
        <f t="shared" si="2"/>
        <v>7.8012728392526267E-4</v>
      </c>
      <c r="D82" s="7">
        <v>-1.0217800484001191E-2</v>
      </c>
      <c r="H82" t="s">
        <v>94</v>
      </c>
      <c r="I82" s="1">
        <v>232.53</v>
      </c>
      <c r="J82" s="7">
        <f t="shared" si="3"/>
        <v>1.9821605550049896E-3</v>
      </c>
      <c r="K82" s="7">
        <v>-1.077259097471576E-2</v>
      </c>
    </row>
    <row r="83" spans="1:11">
      <c r="A83" t="s">
        <v>95</v>
      </c>
      <c r="B83" s="1">
        <v>483.62</v>
      </c>
      <c r="C83" s="7">
        <f t="shared" si="2"/>
        <v>-7.9182735701977796E-3</v>
      </c>
      <c r="D83" s="7">
        <v>-1.0146758674312421E-2</v>
      </c>
      <c r="H83" t="s">
        <v>95</v>
      </c>
      <c r="I83" s="1">
        <v>230.82</v>
      </c>
      <c r="J83" s="7">
        <f t="shared" si="3"/>
        <v>-7.3538898206683351E-3</v>
      </c>
      <c r="K83" s="7">
        <v>-1.064468366081074E-2</v>
      </c>
    </row>
    <row r="84" spans="1:11">
      <c r="A84" t="s">
        <v>96</v>
      </c>
      <c r="B84" s="1">
        <v>472.94</v>
      </c>
      <c r="C84" s="7">
        <f t="shared" si="2"/>
        <v>-2.2083453951449498E-2</v>
      </c>
      <c r="D84" s="7">
        <v>-9.6033189070142636E-3</v>
      </c>
      <c r="H84" t="s">
        <v>96</v>
      </c>
      <c r="I84" s="1">
        <v>226.5</v>
      </c>
      <c r="J84" s="7">
        <f t="shared" si="3"/>
        <v>-1.8715882505848686E-2</v>
      </c>
      <c r="K84" s="7">
        <v>-1.0052537955570181E-2</v>
      </c>
    </row>
    <row r="85" spans="1:11">
      <c r="A85" t="s">
        <v>97</v>
      </c>
      <c r="B85" s="1">
        <v>472.85</v>
      </c>
      <c r="C85" s="7">
        <f t="shared" si="2"/>
        <v>-1.9029898084318305E-4</v>
      </c>
      <c r="D85" s="7">
        <v>-8.915268312938214E-3</v>
      </c>
      <c r="H85" t="s">
        <v>97</v>
      </c>
      <c r="I85" s="1">
        <v>233.06</v>
      </c>
      <c r="J85" s="7">
        <f t="shared" si="3"/>
        <v>2.8962472406181026E-2</v>
      </c>
      <c r="K85" s="7">
        <v>-9.9025843329843804E-3</v>
      </c>
    </row>
    <row r="86" spans="1:11">
      <c r="A86" t="s">
        <v>98</v>
      </c>
      <c r="B86" s="1">
        <v>478.51</v>
      </c>
      <c r="C86" s="7">
        <f t="shared" si="2"/>
        <v>1.1969969334884145E-2</v>
      </c>
      <c r="D86" s="7">
        <v>-8.6838072535331771E-3</v>
      </c>
      <c r="H86" t="s">
        <v>98</v>
      </c>
      <c r="I86" s="1">
        <v>240.93</v>
      </c>
      <c r="J86" s="7">
        <f t="shared" si="3"/>
        <v>3.3768128378958227E-2</v>
      </c>
      <c r="K86" s="7">
        <v>-9.7603904156166148E-3</v>
      </c>
    </row>
    <row r="87" spans="1:11">
      <c r="A87" t="s">
        <v>99</v>
      </c>
      <c r="B87" s="1">
        <v>483.47</v>
      </c>
      <c r="C87" s="7">
        <f t="shared" si="2"/>
        <v>1.0365509602725202E-2</v>
      </c>
      <c r="D87" s="7">
        <v>-8.3828988862719826E-3</v>
      </c>
      <c r="H87" t="s">
        <v>99</v>
      </c>
      <c r="I87" s="1">
        <v>241.56</v>
      </c>
      <c r="J87" s="7">
        <f t="shared" si="3"/>
        <v>2.6148673888681168E-3</v>
      </c>
      <c r="K87" s="7">
        <v>-9.5942759573948502E-3</v>
      </c>
    </row>
    <row r="88" spans="1:11">
      <c r="A88" t="s">
        <v>100</v>
      </c>
      <c r="B88" s="1">
        <v>478.11</v>
      </c>
      <c r="C88" s="7">
        <f t="shared" si="2"/>
        <v>-1.1086520363207673E-2</v>
      </c>
      <c r="D88" s="7">
        <v>-8.076340648510821E-3</v>
      </c>
      <c r="H88" t="s">
        <v>100</v>
      </c>
      <c r="I88" s="1">
        <v>246.29</v>
      </c>
      <c r="J88" s="7">
        <f t="shared" si="3"/>
        <v>1.9581056466302326E-2</v>
      </c>
      <c r="K88" s="7">
        <v>-9.3547068707143279E-3</v>
      </c>
    </row>
    <row r="89" spans="1:11">
      <c r="A89" t="s">
        <v>101</v>
      </c>
      <c r="B89" s="1">
        <v>479.28</v>
      </c>
      <c r="C89" s="7">
        <f t="shared" si="2"/>
        <v>2.4471355964107823E-3</v>
      </c>
      <c r="D89" s="7">
        <v>-7.9758915118031681E-3</v>
      </c>
      <c r="H89" t="s">
        <v>101</v>
      </c>
      <c r="I89" s="1">
        <v>247.38</v>
      </c>
      <c r="J89" s="7">
        <f t="shared" si="3"/>
        <v>4.4256770473831801E-3</v>
      </c>
      <c r="K89" s="7">
        <v>-9.3539018594652364E-3</v>
      </c>
    </row>
    <row r="90" spans="1:11">
      <c r="A90" t="s">
        <v>102</v>
      </c>
      <c r="B90" s="1">
        <v>477.18</v>
      </c>
      <c r="C90" s="7">
        <f t="shared" si="2"/>
        <v>-4.3815723585377362E-3</v>
      </c>
      <c r="D90" s="7">
        <v>-7.9182735701977796E-3</v>
      </c>
      <c r="H90" t="s">
        <v>102</v>
      </c>
      <c r="I90" s="1">
        <v>246.47</v>
      </c>
      <c r="J90" s="7">
        <f t="shared" si="3"/>
        <v>-3.6785512167515425E-3</v>
      </c>
      <c r="K90" s="7">
        <v>-9.0996168582375518E-3</v>
      </c>
    </row>
    <row r="91" spans="1:11">
      <c r="A91" t="s">
        <v>103</v>
      </c>
      <c r="B91" s="1">
        <v>470.67</v>
      </c>
      <c r="C91" s="7">
        <f t="shared" si="2"/>
        <v>-1.3642650572111134E-2</v>
      </c>
      <c r="D91" s="7">
        <v>-7.752909953398909E-3</v>
      </c>
      <c r="H91" t="s">
        <v>103</v>
      </c>
      <c r="I91" s="1">
        <v>242.6</v>
      </c>
      <c r="J91" s="7">
        <f t="shared" si="3"/>
        <v>-1.5701708118635145E-2</v>
      </c>
      <c r="K91" s="7">
        <v>-8.8770104519639847E-3</v>
      </c>
    </row>
    <row r="92" spans="1:11">
      <c r="A92" t="s">
        <v>104</v>
      </c>
      <c r="B92" s="1">
        <v>459.38</v>
      </c>
      <c r="C92" s="7">
        <f t="shared" si="2"/>
        <v>-2.3987082244460067E-2</v>
      </c>
      <c r="D92" s="7">
        <v>-7.6388755267361164E-3</v>
      </c>
      <c r="H92" t="s">
        <v>104</v>
      </c>
      <c r="I92" s="1">
        <v>236.65</v>
      </c>
      <c r="J92" s="7">
        <f t="shared" si="3"/>
        <v>-2.4525968672712239E-2</v>
      </c>
      <c r="K92" s="7">
        <v>-8.7023291528026282E-3</v>
      </c>
    </row>
    <row r="93" spans="1:11">
      <c r="A93" t="s">
        <v>105</v>
      </c>
      <c r="B93" s="1">
        <v>456.66</v>
      </c>
      <c r="C93" s="7">
        <f t="shared" si="2"/>
        <v>-5.9210239888544784E-3</v>
      </c>
      <c r="D93" s="7">
        <v>-7.4590001975893636E-3</v>
      </c>
      <c r="H93" t="s">
        <v>105</v>
      </c>
      <c r="I93" s="1">
        <v>238.18</v>
      </c>
      <c r="J93" s="7">
        <f t="shared" si="3"/>
        <v>6.4652440312698125E-3</v>
      </c>
      <c r="K93" s="7">
        <v>-8.4323495592180473E-3</v>
      </c>
    </row>
    <row r="94" spans="1:11">
      <c r="A94" t="s">
        <v>106</v>
      </c>
      <c r="B94" s="1">
        <v>459.86</v>
      </c>
      <c r="C94" s="7">
        <f t="shared" si="2"/>
        <v>7.0074015679060754E-3</v>
      </c>
      <c r="D94" s="7">
        <v>-7.4048442906573921E-3</v>
      </c>
      <c r="H94" t="s">
        <v>106</v>
      </c>
      <c r="I94" s="1">
        <v>239.12</v>
      </c>
      <c r="J94" s="7">
        <f t="shared" si="3"/>
        <v>3.9465950121756561E-3</v>
      </c>
      <c r="K94" s="7">
        <v>-8.0439988027535825E-3</v>
      </c>
    </row>
    <row r="95" spans="1:11">
      <c r="A95" t="s">
        <v>107</v>
      </c>
      <c r="B95" s="1">
        <v>454.52</v>
      </c>
      <c r="C95" s="7">
        <f t="shared" si="2"/>
        <v>-1.1612229809072396E-2</v>
      </c>
      <c r="D95" s="7">
        <v>-7.1437650946993827E-3</v>
      </c>
      <c r="H95" t="s">
        <v>107</v>
      </c>
      <c r="I95" s="1">
        <v>231</v>
      </c>
      <c r="J95" s="7">
        <f t="shared" si="3"/>
        <v>-3.3957845433255286E-2</v>
      </c>
      <c r="K95" s="7">
        <v>-7.9713923862027355E-3</v>
      </c>
    </row>
    <row r="96" spans="1:11">
      <c r="A96" t="s">
        <v>108</v>
      </c>
      <c r="B96" s="1">
        <v>444.11</v>
      </c>
      <c r="C96" s="7">
        <f t="shared" si="2"/>
        <v>-2.2903282583824625E-2</v>
      </c>
      <c r="D96" s="7">
        <v>-7.0701140917329144E-3</v>
      </c>
      <c r="H96" t="s">
        <v>108</v>
      </c>
      <c r="I96" s="1">
        <v>231.31</v>
      </c>
      <c r="J96" s="7">
        <f t="shared" si="3"/>
        <v>1.3419913419913517E-3</v>
      </c>
      <c r="K96" s="7">
        <v>-7.8383800681192869E-3</v>
      </c>
    </row>
    <row r="97" spans="1:11">
      <c r="A97" t="s">
        <v>109</v>
      </c>
      <c r="B97" s="1">
        <v>451.14</v>
      </c>
      <c r="C97" s="7">
        <f t="shared" si="2"/>
        <v>1.582941163225321E-2</v>
      </c>
      <c r="D97" s="7">
        <v>-6.5247465466334066E-3</v>
      </c>
      <c r="H97" t="s">
        <v>109</v>
      </c>
      <c r="I97" s="1">
        <v>234.34</v>
      </c>
      <c r="J97" s="7">
        <f t="shared" si="3"/>
        <v>1.3099303964376816E-2</v>
      </c>
      <c r="K97" s="7">
        <v>-7.7549107333077386E-3</v>
      </c>
    </row>
    <row r="98" spans="1:11">
      <c r="A98" t="s">
        <v>110</v>
      </c>
      <c r="B98" s="1">
        <v>465.95</v>
      </c>
      <c r="C98" s="7">
        <f t="shared" si="2"/>
        <v>3.2827946978764913E-2</v>
      </c>
      <c r="D98" s="7">
        <v>-6.2780489001152667E-3</v>
      </c>
      <c r="H98" t="s">
        <v>110</v>
      </c>
      <c r="I98" s="1">
        <v>239.16</v>
      </c>
      <c r="J98" s="7">
        <f t="shared" si="3"/>
        <v>2.0568404881795652E-2</v>
      </c>
      <c r="K98" s="7">
        <v>-7.6666666666667313E-3</v>
      </c>
    </row>
    <row r="99" spans="1:11">
      <c r="A99" t="s">
        <v>111</v>
      </c>
      <c r="B99" s="1">
        <v>470.28</v>
      </c>
      <c r="C99" s="7">
        <f t="shared" si="2"/>
        <v>9.2928425796758966E-3</v>
      </c>
      <c r="D99" s="7">
        <v>-6.2566461409106246E-3</v>
      </c>
      <c r="H99" t="s">
        <v>111</v>
      </c>
      <c r="I99" s="1">
        <v>238.42</v>
      </c>
      <c r="J99" s="7">
        <f t="shared" si="3"/>
        <v>-3.0941629034956057E-3</v>
      </c>
      <c r="K99" s="7">
        <v>-7.6074553062000496E-3</v>
      </c>
    </row>
    <row r="100" spans="1:11">
      <c r="A100" t="s">
        <v>112</v>
      </c>
      <c r="B100" s="1">
        <v>480.58</v>
      </c>
      <c r="C100" s="7">
        <f t="shared" si="2"/>
        <v>2.1901845708939379E-2</v>
      </c>
      <c r="D100" s="7">
        <v>-6.1158482799176803E-3</v>
      </c>
      <c r="H100" t="s">
        <v>112</v>
      </c>
      <c r="I100" s="1">
        <v>244.68</v>
      </c>
      <c r="J100" s="7">
        <f t="shared" si="3"/>
        <v>2.6256186561530157E-2</v>
      </c>
      <c r="K100" s="7">
        <v>-7.4956275505954151E-3</v>
      </c>
    </row>
    <row r="101" spans="1:11">
      <c r="A101" t="s">
        <v>113</v>
      </c>
      <c r="B101" s="1">
        <v>481.63</v>
      </c>
      <c r="C101" s="7">
        <f t="shared" si="2"/>
        <v>2.1848599608806263E-3</v>
      </c>
      <c r="D101" s="7">
        <v>-6.06828009651915E-3</v>
      </c>
      <c r="H101" t="s">
        <v>113</v>
      </c>
      <c r="I101" s="1">
        <v>243.01</v>
      </c>
      <c r="J101" s="7">
        <f t="shared" si="3"/>
        <v>-6.8252411312735651E-3</v>
      </c>
      <c r="K101" s="7">
        <v>-7.3538898206683351E-3</v>
      </c>
    </row>
    <row r="102" spans="1:11">
      <c r="A102" t="s">
        <v>114</v>
      </c>
      <c r="B102" s="1">
        <v>433.5</v>
      </c>
      <c r="C102" s="7">
        <f t="shared" si="2"/>
        <v>-9.9931482673421501E-2</v>
      </c>
      <c r="D102" s="7">
        <v>-5.9259973019849194E-3</v>
      </c>
      <c r="H102" t="s">
        <v>114</v>
      </c>
      <c r="I102" s="1">
        <v>241.73</v>
      </c>
      <c r="J102" s="7">
        <f t="shared" si="3"/>
        <v>-5.2672729517303863E-3</v>
      </c>
      <c r="K102" s="7">
        <v>-7.1179824729249302E-3</v>
      </c>
    </row>
    <row r="103" spans="1:11">
      <c r="A103" t="s">
        <v>115</v>
      </c>
      <c r="B103" s="1">
        <v>430.29</v>
      </c>
      <c r="C103" s="7">
        <f t="shared" si="2"/>
        <v>-7.4048442906573921E-3</v>
      </c>
      <c r="D103" s="7">
        <v>-5.9210239888544784E-3</v>
      </c>
      <c r="H103" t="s">
        <v>115</v>
      </c>
      <c r="I103" s="1">
        <v>239.3</v>
      </c>
      <c r="J103" s="7">
        <f t="shared" si="3"/>
        <v>-1.0052537955570175E-2</v>
      </c>
      <c r="K103" s="7">
        <v>-6.881476683937778E-3</v>
      </c>
    </row>
    <row r="104" spans="1:11">
      <c r="A104" t="s">
        <v>116</v>
      </c>
      <c r="B104" s="1">
        <v>423.37</v>
      </c>
      <c r="C104" s="7">
        <f t="shared" si="2"/>
        <v>-1.6082177136349941E-2</v>
      </c>
      <c r="D104" s="7">
        <v>-5.8970166456696832E-3</v>
      </c>
      <c r="H104" t="s">
        <v>116</v>
      </c>
      <c r="I104" s="1">
        <v>242.96</v>
      </c>
      <c r="J104" s="7">
        <f t="shared" si="3"/>
        <v>1.5294609277058072E-2</v>
      </c>
      <c r="K104" s="7">
        <v>-6.8252411312735651E-3</v>
      </c>
    </row>
    <row r="105" spans="1:11">
      <c r="A105" t="s">
        <v>117</v>
      </c>
      <c r="B105" s="1">
        <v>411.21</v>
      </c>
      <c r="C105" s="7">
        <f t="shared" si="2"/>
        <v>-2.8721921723315363E-2</v>
      </c>
      <c r="D105" s="7">
        <v>-5.4155988588559774E-3</v>
      </c>
      <c r="H105" t="s">
        <v>117</v>
      </c>
      <c r="I105" s="1">
        <v>238.62</v>
      </c>
      <c r="J105" s="7">
        <f t="shared" si="3"/>
        <v>-1.7863022719789279E-2</v>
      </c>
      <c r="K105" s="7">
        <v>-6.6675991980230656E-3</v>
      </c>
    </row>
    <row r="106" spans="1:11">
      <c r="A106" t="s">
        <v>118</v>
      </c>
      <c r="B106" s="1">
        <v>414.19</v>
      </c>
      <c r="C106" s="7">
        <f t="shared" si="2"/>
        <v>7.2469054740887098E-3</v>
      </c>
      <c r="D106" s="7">
        <v>-5.2726488690266133E-3</v>
      </c>
      <c r="H106" t="s">
        <v>118</v>
      </c>
      <c r="I106" s="1">
        <v>232.99</v>
      </c>
      <c r="J106" s="7">
        <f t="shared" si="3"/>
        <v>-2.3593998826586183E-2</v>
      </c>
      <c r="K106" s="7">
        <v>-6.6335701446545532E-3</v>
      </c>
    </row>
    <row r="107" spans="1:11">
      <c r="A107" t="s">
        <v>119</v>
      </c>
      <c r="B107" s="1">
        <v>393.67</v>
      </c>
      <c r="C107" s="7">
        <f t="shared" si="2"/>
        <v>-4.9542480504116422E-2</v>
      </c>
      <c r="D107" s="7">
        <v>-5.2221341121403628E-3</v>
      </c>
      <c r="H107" t="s">
        <v>119</v>
      </c>
      <c r="I107" s="1">
        <v>222.69</v>
      </c>
      <c r="J107" s="7">
        <f t="shared" si="3"/>
        <v>-4.4207905918709003E-2</v>
      </c>
      <c r="K107" s="7">
        <v>-6.4716541548019684E-3</v>
      </c>
    </row>
    <row r="108" spans="1:11">
      <c r="A108" t="s">
        <v>120</v>
      </c>
      <c r="B108" s="1">
        <v>401.14</v>
      </c>
      <c r="C108" s="7">
        <f t="shared" si="2"/>
        <v>1.897528386719834E-2</v>
      </c>
      <c r="D108" s="7">
        <v>-4.6786681233079068E-3</v>
      </c>
      <c r="H108" t="s">
        <v>120</v>
      </c>
      <c r="I108" s="1">
        <v>210.32</v>
      </c>
      <c r="J108" s="7">
        <f t="shared" si="3"/>
        <v>-5.5548071309892699E-2</v>
      </c>
      <c r="K108" s="7">
        <v>-5.9572163552665796E-3</v>
      </c>
    </row>
    <row r="109" spans="1:11">
      <c r="A109" t="s">
        <v>121</v>
      </c>
      <c r="B109" s="1">
        <v>413.6</v>
      </c>
      <c r="C109" s="7">
        <f t="shared" si="2"/>
        <v>3.1061474796829129E-2</v>
      </c>
      <c r="D109" s="7">
        <v>-4.6680003810613416E-3</v>
      </c>
      <c r="H109" t="s">
        <v>121</v>
      </c>
      <c r="I109" s="1">
        <v>208.72</v>
      </c>
      <c r="J109" s="7">
        <f t="shared" si="3"/>
        <v>-7.6074553062000496E-3</v>
      </c>
      <c r="K109" s="7">
        <v>-5.7961897915168583E-3</v>
      </c>
    </row>
    <row r="110" spans="1:11">
      <c r="A110" t="s">
        <v>122</v>
      </c>
      <c r="B110" s="1">
        <v>413.27</v>
      </c>
      <c r="C110" s="7">
        <f t="shared" si="2"/>
        <v>-7.9787234042563086E-4</v>
      </c>
      <c r="D110" s="7">
        <v>-4.6563417349934433E-3</v>
      </c>
      <c r="H110" t="s">
        <v>122</v>
      </c>
      <c r="I110" s="1">
        <v>206.96</v>
      </c>
      <c r="J110" s="7">
        <f t="shared" si="3"/>
        <v>-8.4323495592180473E-3</v>
      </c>
      <c r="K110" s="7">
        <v>-5.6899004267426017E-3</v>
      </c>
    </row>
    <row r="111" spans="1:11">
      <c r="A111" t="s">
        <v>123</v>
      </c>
      <c r="B111" s="1">
        <v>404.37</v>
      </c>
      <c r="C111" s="7">
        <f t="shared" si="2"/>
        <v>-2.1535557867737743E-2</v>
      </c>
      <c r="D111" s="7">
        <v>-4.5608198744432806E-3</v>
      </c>
      <c r="H111" t="s">
        <v>123</v>
      </c>
      <c r="I111" s="1">
        <v>204.08</v>
      </c>
      <c r="J111" s="7">
        <f t="shared" si="3"/>
        <v>-1.391573250869731E-2</v>
      </c>
      <c r="K111" s="7">
        <v>-5.4381127450980997E-3</v>
      </c>
    </row>
    <row r="112" spans="1:11">
      <c r="A112" t="s">
        <v>124</v>
      </c>
      <c r="B112" s="1">
        <v>401.84</v>
      </c>
      <c r="C112" s="7">
        <f t="shared" si="2"/>
        <v>-6.2566461409106254E-3</v>
      </c>
      <c r="D112" s="7">
        <v>-4.4461131091174961E-3</v>
      </c>
      <c r="H112" t="s">
        <v>124</v>
      </c>
      <c r="I112" s="1">
        <v>199.6</v>
      </c>
      <c r="J112" s="7">
        <f t="shared" si="3"/>
        <v>-2.1952175617405027E-2</v>
      </c>
      <c r="K112" s="7">
        <v>-5.2889884214037909E-3</v>
      </c>
    </row>
    <row r="113" spans="1:11">
      <c r="A113" t="s">
        <v>125</v>
      </c>
      <c r="B113" s="1">
        <v>401.32</v>
      </c>
      <c r="C113" s="7">
        <f t="shared" si="2"/>
        <v>-1.2940473820425588E-3</v>
      </c>
      <c r="D113" s="7">
        <v>-4.3815723585377362E-3</v>
      </c>
      <c r="H113" t="s">
        <v>125</v>
      </c>
      <c r="I113" s="1">
        <v>198.79</v>
      </c>
      <c r="J113" s="7">
        <f t="shared" si="3"/>
        <v>-4.058116232464941E-3</v>
      </c>
      <c r="K113" s="7">
        <v>-5.2672729517303863E-3</v>
      </c>
    </row>
    <row r="114" spans="1:11">
      <c r="A114" t="s">
        <v>126</v>
      </c>
      <c r="B114" s="1">
        <v>396.86</v>
      </c>
      <c r="C114" s="7">
        <f t="shared" si="2"/>
        <v>-1.1113326024120351E-2</v>
      </c>
      <c r="D114" s="7">
        <v>-4.1881757085809566E-3</v>
      </c>
      <c r="H114" t="s">
        <v>126</v>
      </c>
      <c r="I114" s="1">
        <v>201.15</v>
      </c>
      <c r="J114" s="7">
        <f t="shared" si="3"/>
        <v>1.1871824538457738E-2</v>
      </c>
      <c r="K114" s="7">
        <v>-5.1027508465927279E-3</v>
      </c>
    </row>
    <row r="115" spans="1:11">
      <c r="A115" t="s">
        <v>127</v>
      </c>
      <c r="B115" s="1">
        <v>399.6</v>
      </c>
      <c r="C115" s="7">
        <f t="shared" si="2"/>
        <v>6.9041979539384395E-3</v>
      </c>
      <c r="D115" s="7">
        <v>-3.5447870206258619E-3</v>
      </c>
      <c r="H115" t="s">
        <v>127</v>
      </c>
      <c r="I115" s="1">
        <v>204.79</v>
      </c>
      <c r="J115" s="7">
        <f t="shared" si="3"/>
        <v>1.8095948297290512E-2</v>
      </c>
      <c r="K115" s="7">
        <v>-5.1018465638681711E-3</v>
      </c>
    </row>
    <row r="116" spans="1:11">
      <c r="A116" t="s">
        <v>128</v>
      </c>
      <c r="B116" s="1">
        <v>398.46</v>
      </c>
      <c r="C116" s="7">
        <f t="shared" si="2"/>
        <v>-2.8528528528529609E-3</v>
      </c>
      <c r="D116" s="7">
        <v>-3.36601394491489E-3</v>
      </c>
      <c r="H116" t="s">
        <v>128</v>
      </c>
      <c r="I116" s="1">
        <v>204.86</v>
      </c>
      <c r="J116" s="7">
        <f t="shared" si="3"/>
        <v>3.4181356511558963E-4</v>
      </c>
      <c r="K116" s="7">
        <v>-4.2003099257809356E-3</v>
      </c>
    </row>
    <row r="117" spans="1:11">
      <c r="A117" t="s">
        <v>129</v>
      </c>
      <c r="B117" s="1">
        <v>397.23</v>
      </c>
      <c r="C117" s="7">
        <f t="shared" si="2"/>
        <v>-3.0868845053454836E-3</v>
      </c>
      <c r="D117" s="7">
        <v>-3.086884505345484E-3</v>
      </c>
      <c r="H117" t="s">
        <v>129</v>
      </c>
      <c r="I117" s="1">
        <v>210.11</v>
      </c>
      <c r="J117" s="7">
        <f t="shared" si="3"/>
        <v>2.5627257639363465E-2</v>
      </c>
      <c r="K117" s="7">
        <v>-4.058116232464941E-3</v>
      </c>
    </row>
    <row r="118" spans="1:11">
      <c r="A118" t="s">
        <v>130</v>
      </c>
      <c r="B118" s="1">
        <v>384.47</v>
      </c>
      <c r="C118" s="7">
        <f t="shared" si="2"/>
        <v>-3.2122447952068048E-2</v>
      </c>
      <c r="D118" s="7">
        <v>-2.978586379005028E-3</v>
      </c>
      <c r="H118" t="s">
        <v>130</v>
      </c>
      <c r="I118" s="1">
        <v>205.27</v>
      </c>
      <c r="J118" s="7">
        <f t="shared" si="3"/>
        <v>-2.3035552805673234E-2</v>
      </c>
      <c r="K118" s="7">
        <v>-3.8675277861218559E-3</v>
      </c>
    </row>
    <row r="119" spans="1:11">
      <c r="A119" t="s">
        <v>131</v>
      </c>
      <c r="B119" s="1">
        <v>389</v>
      </c>
      <c r="C119" s="7">
        <f t="shared" si="2"/>
        <v>1.1782453767524053E-2</v>
      </c>
      <c r="D119" s="7">
        <v>-2.8528528528529609E-3</v>
      </c>
      <c r="H119" t="s">
        <v>131</v>
      </c>
      <c r="I119" s="1">
        <v>208.56</v>
      </c>
      <c r="J119" s="7">
        <f t="shared" si="3"/>
        <v>1.602767087250934E-2</v>
      </c>
      <c r="K119" s="7">
        <v>-3.853932155530931E-3</v>
      </c>
    </row>
    <row r="120" spans="1:11">
      <c r="A120" t="s">
        <v>132</v>
      </c>
      <c r="B120" s="1">
        <v>400.6</v>
      </c>
      <c r="C120" s="7">
        <f t="shared" si="2"/>
        <v>2.9820051413881807E-2</v>
      </c>
      <c r="D120" s="7">
        <v>-2.1687697160883172E-3</v>
      </c>
      <c r="H120" t="s">
        <v>132</v>
      </c>
      <c r="I120" s="1">
        <v>210.64</v>
      </c>
      <c r="J120" s="7">
        <f t="shared" si="3"/>
        <v>9.9731492136554672E-3</v>
      </c>
      <c r="K120" s="7">
        <v>-3.7992116635797261E-3</v>
      </c>
    </row>
    <row r="121" spans="1:11">
      <c r="A121" t="s">
        <v>133</v>
      </c>
      <c r="B121" s="1">
        <v>401.72</v>
      </c>
      <c r="C121" s="7">
        <f t="shared" si="2"/>
        <v>2.7958062905641648E-3</v>
      </c>
      <c r="D121" s="7">
        <v>-2.1611691925331909E-3</v>
      </c>
      <c r="H121" t="s">
        <v>133</v>
      </c>
      <c r="I121" s="1">
        <v>207.92</v>
      </c>
      <c r="J121" s="7">
        <f t="shared" si="3"/>
        <v>-1.2913026965438659E-2</v>
      </c>
      <c r="K121" s="7">
        <v>-3.789454226165688E-3</v>
      </c>
    </row>
    <row r="122" spans="1:11">
      <c r="A122" t="s">
        <v>134</v>
      </c>
      <c r="B122" s="1">
        <v>392.74</v>
      </c>
      <c r="C122" s="7">
        <f t="shared" si="2"/>
        <v>-2.235387832321024E-2</v>
      </c>
      <c r="D122" s="7">
        <v>-2.057951926243003E-3</v>
      </c>
      <c r="H122" t="s">
        <v>134</v>
      </c>
      <c r="I122" s="1">
        <v>210</v>
      </c>
      <c r="J122" s="7">
        <f t="shared" si="3"/>
        <v>1.0003847633705333E-2</v>
      </c>
      <c r="K122" s="7">
        <v>-3.678551216751542E-3</v>
      </c>
    </row>
    <row r="123" spans="1:11">
      <c r="A123" t="s">
        <v>135</v>
      </c>
      <c r="B123" s="1">
        <v>398.55</v>
      </c>
      <c r="C123" s="7">
        <f t="shared" si="2"/>
        <v>1.4793502062433168E-2</v>
      </c>
      <c r="D123" s="7">
        <v>-1.978573496766705E-3</v>
      </c>
      <c r="H123" t="s">
        <v>135</v>
      </c>
      <c r="I123" s="1">
        <v>208.39</v>
      </c>
      <c r="J123" s="7">
        <f t="shared" si="3"/>
        <v>-7.6666666666667313E-3</v>
      </c>
      <c r="K123" s="7">
        <v>-3.2922814290940218E-3</v>
      </c>
    </row>
    <row r="124" spans="1:11">
      <c r="A124" t="s">
        <v>136</v>
      </c>
      <c r="B124" s="1">
        <v>403.93</v>
      </c>
      <c r="C124" s="7">
        <f t="shared" si="2"/>
        <v>1.3498933634424778E-2</v>
      </c>
      <c r="D124" s="7">
        <v>-1.582278481012591E-3</v>
      </c>
      <c r="H124" t="s">
        <v>136</v>
      </c>
      <c r="I124" s="1">
        <v>208.73</v>
      </c>
      <c r="J124" s="7">
        <f t="shared" si="3"/>
        <v>1.6315562167090716E-3</v>
      </c>
      <c r="K124" s="7">
        <v>-3.1019775106631651E-3</v>
      </c>
    </row>
    <row r="125" spans="1:11">
      <c r="A125" t="s">
        <v>137</v>
      </c>
      <c r="B125" s="1">
        <v>405.2</v>
      </c>
      <c r="C125" s="7">
        <f t="shared" si="2"/>
        <v>3.1441091278191315E-3</v>
      </c>
      <c r="D125" s="7">
        <v>-1.55304450275795E-3</v>
      </c>
      <c r="H125" t="s">
        <v>137</v>
      </c>
      <c r="I125" s="1">
        <v>216.82</v>
      </c>
      <c r="J125" s="7">
        <f t="shared" si="3"/>
        <v>3.8758204378862661E-2</v>
      </c>
      <c r="K125" s="7">
        <v>-3.0941629034956061E-3</v>
      </c>
    </row>
    <row r="126" spans="1:11">
      <c r="A126" t="s">
        <v>138</v>
      </c>
      <c r="B126" s="1">
        <v>410.68</v>
      </c>
      <c r="C126" s="7">
        <f t="shared" si="2"/>
        <v>1.3524185587364309E-2</v>
      </c>
      <c r="D126" s="7">
        <v>-1.5063440258009169E-3</v>
      </c>
      <c r="H126" t="s">
        <v>138</v>
      </c>
      <c r="I126" s="1">
        <v>218.94</v>
      </c>
      <c r="J126" s="7">
        <f t="shared" si="3"/>
        <v>9.7776957845217439E-3</v>
      </c>
      <c r="K126" s="7">
        <v>-2.9878188922088009E-3</v>
      </c>
    </row>
    <row r="127" spans="1:11">
      <c r="A127" t="s">
        <v>139</v>
      </c>
      <c r="B127" s="1">
        <v>408.96</v>
      </c>
      <c r="C127" s="7">
        <f t="shared" si="2"/>
        <v>-4.1881757085809566E-3</v>
      </c>
      <c r="D127" s="7">
        <v>-1.3501687710962961E-3</v>
      </c>
      <c r="H127" t="s">
        <v>139</v>
      </c>
      <c r="I127" s="1">
        <v>213.21</v>
      </c>
      <c r="J127" s="7">
        <f t="shared" si="3"/>
        <v>-2.6171553850369917E-2</v>
      </c>
      <c r="K127" s="7">
        <v>-2.290505207657949E-3</v>
      </c>
    </row>
    <row r="128" spans="1:11">
      <c r="A128" t="s">
        <v>140</v>
      </c>
      <c r="B128" s="1">
        <v>409.41</v>
      </c>
      <c r="C128" s="7">
        <f t="shared" si="2"/>
        <v>1.1003521126761676E-3</v>
      </c>
      <c r="D128" s="7">
        <v>-1.294047382042559E-3</v>
      </c>
      <c r="H128" t="s">
        <v>140</v>
      </c>
      <c r="I128" s="1">
        <v>213.49</v>
      </c>
      <c r="J128" s="7">
        <f t="shared" si="3"/>
        <v>1.3132592279911878E-3</v>
      </c>
      <c r="K128" s="7">
        <v>-2.2654161569480311E-3</v>
      </c>
    </row>
    <row r="129" spans="1:11">
      <c r="A129" t="s">
        <v>141</v>
      </c>
      <c r="B129" s="1">
        <v>405.76</v>
      </c>
      <c r="C129" s="7">
        <f t="shared" si="2"/>
        <v>-8.915268312938214E-3</v>
      </c>
      <c r="D129" s="7">
        <v>-1.250743269565842E-3</v>
      </c>
      <c r="H129" t="s">
        <v>141</v>
      </c>
      <c r="I129" s="1">
        <v>214.33</v>
      </c>
      <c r="J129" s="7">
        <f t="shared" si="3"/>
        <v>3.9346105203990978E-3</v>
      </c>
      <c r="K129" s="7">
        <v>-2.2205773501109889E-3</v>
      </c>
    </row>
    <row r="130" spans="1:11">
      <c r="A130" t="s">
        <v>142</v>
      </c>
      <c r="B130" s="1">
        <v>404.88</v>
      </c>
      <c r="C130" s="7">
        <f t="shared" si="2"/>
        <v>-2.1687697160883168E-3</v>
      </c>
      <c r="D130" s="7">
        <v>-1.240783602567424E-3</v>
      </c>
      <c r="H130" t="s">
        <v>142</v>
      </c>
      <c r="I130" s="1">
        <v>212.65</v>
      </c>
      <c r="J130" s="7">
        <f t="shared" si="3"/>
        <v>-7.8383800681192869E-3</v>
      </c>
      <c r="K130" s="7">
        <v>-2.0881856878965949E-3</v>
      </c>
    </row>
    <row r="131" spans="1:11">
      <c r="A131" t="s">
        <v>143</v>
      </c>
      <c r="B131" s="1">
        <v>401.86</v>
      </c>
      <c r="C131" s="7">
        <f t="shared" si="2"/>
        <v>-7.4590001975893645E-3</v>
      </c>
      <c r="D131" s="7">
        <v>-9.5928570110888898E-4</v>
      </c>
      <c r="H131" t="s">
        <v>143</v>
      </c>
      <c r="I131" s="1">
        <v>209.53</v>
      </c>
      <c r="J131" s="7">
        <f t="shared" si="3"/>
        <v>-1.4671996237949703E-2</v>
      </c>
      <c r="K131" s="7">
        <v>-2.0206022187005518E-3</v>
      </c>
    </row>
    <row r="132" spans="1:11">
      <c r="A132" t="s">
        <v>144</v>
      </c>
      <c r="B132" s="1">
        <v>395.55</v>
      </c>
      <c r="C132" s="7">
        <f t="shared" si="2"/>
        <v>-1.5701985766187233E-2</v>
      </c>
      <c r="D132" s="7">
        <v>-9.3376130726564453E-4</v>
      </c>
      <c r="H132" t="s">
        <v>144</v>
      </c>
      <c r="I132" s="1">
        <v>207.67</v>
      </c>
      <c r="J132" s="7">
        <f t="shared" si="3"/>
        <v>-8.8770104519639847E-3</v>
      </c>
      <c r="K132" s="7">
        <v>-1.9353173920523699E-3</v>
      </c>
    </row>
    <row r="133" spans="1:11">
      <c r="A133" t="s">
        <v>145</v>
      </c>
      <c r="B133" s="1">
        <v>399.95</v>
      </c>
      <c r="C133" s="7">
        <f t="shared" si="2"/>
        <v>1.1123751738086151E-2</v>
      </c>
      <c r="D133" s="7">
        <v>-7.9787234042563086E-4</v>
      </c>
      <c r="H133" t="s">
        <v>145</v>
      </c>
      <c r="I133" s="1">
        <v>211.74</v>
      </c>
      <c r="J133" s="7">
        <f t="shared" si="3"/>
        <v>1.9598401309770416E-2</v>
      </c>
      <c r="K133" s="7">
        <v>-1.5063731170335509E-3</v>
      </c>
    </row>
    <row r="134" spans="1:11">
      <c r="A134" t="s">
        <v>146</v>
      </c>
      <c r="B134" s="1">
        <v>399.41</v>
      </c>
      <c r="C134" s="7">
        <f t="shared" si="2"/>
        <v>-1.3501687710962961E-3</v>
      </c>
      <c r="D134" s="7">
        <v>-6.3521986803819982E-4</v>
      </c>
      <c r="H134" t="s">
        <v>146</v>
      </c>
      <c r="I134" s="1">
        <v>215.2</v>
      </c>
      <c r="J134" s="7">
        <f t="shared" si="3"/>
        <v>1.6340795315008875E-2</v>
      </c>
      <c r="K134" s="7">
        <v>-1.430405281496374E-3</v>
      </c>
    </row>
    <row r="135" spans="1:11">
      <c r="A135" t="s">
        <v>147</v>
      </c>
      <c r="B135" s="1">
        <v>391.79</v>
      </c>
      <c r="C135" s="7">
        <f t="shared" si="2"/>
        <v>-1.9078140256878907E-2</v>
      </c>
      <c r="D135" s="7">
        <v>-5.6676252650135776E-4</v>
      </c>
      <c r="H135" t="s">
        <v>147</v>
      </c>
      <c r="I135" s="1">
        <v>209.87</v>
      </c>
      <c r="J135" s="7">
        <f t="shared" si="3"/>
        <v>-2.4767657992564984E-2</v>
      </c>
      <c r="K135" s="7">
        <v>-1.0964912280701799E-3</v>
      </c>
    </row>
    <row r="136" spans="1:11">
      <c r="A136" t="s">
        <v>148</v>
      </c>
      <c r="B136" s="1">
        <v>389.02</v>
      </c>
      <c r="C136" s="7">
        <f t="shared" si="2"/>
        <v>-7.0701140917329144E-3</v>
      </c>
      <c r="D136" s="7">
        <v>-5.6326694830020028E-4</v>
      </c>
      <c r="H136" t="s">
        <v>148</v>
      </c>
      <c r="I136" s="1">
        <v>208.76</v>
      </c>
      <c r="J136" s="7">
        <f t="shared" si="3"/>
        <v>-5.2889884214037909E-3</v>
      </c>
      <c r="K136" s="7">
        <v>-8.1294203723316114E-5</v>
      </c>
    </row>
    <row r="137" spans="1:11">
      <c r="A137" t="s">
        <v>149</v>
      </c>
      <c r="B137" s="1">
        <v>381.87</v>
      </c>
      <c r="C137" s="7">
        <f t="shared" si="2"/>
        <v>-1.8379517762582842E-2</v>
      </c>
      <c r="D137" s="7">
        <v>-2.7260159277235819E-4</v>
      </c>
      <c r="H137" t="s">
        <v>149</v>
      </c>
      <c r="I137" s="1">
        <v>205.37</v>
      </c>
      <c r="J137" s="7">
        <f t="shared" si="3"/>
        <v>-1.6238743054224881E-2</v>
      </c>
      <c r="K137" s="7">
        <v>8.9871483778243154E-5</v>
      </c>
    </row>
    <row r="138" spans="1:11">
      <c r="A138" t="s">
        <v>150</v>
      </c>
      <c r="B138" s="1">
        <v>383</v>
      </c>
      <c r="C138" s="7">
        <f t="shared" si="2"/>
        <v>2.9591222143661336E-3</v>
      </c>
      <c r="D138" s="7">
        <v>-1.9029898084318311E-4</v>
      </c>
      <c r="H138" t="s">
        <v>150</v>
      </c>
      <c r="I138" s="1">
        <v>210.14</v>
      </c>
      <c r="J138" s="7">
        <f t="shared" si="3"/>
        <v>2.3226371914106158E-2</v>
      </c>
      <c r="K138" s="7">
        <v>2.353679585752482E-4</v>
      </c>
    </row>
    <row r="139" spans="1:11">
      <c r="A139" t="s">
        <v>151</v>
      </c>
      <c r="B139" s="1">
        <v>372.74</v>
      </c>
      <c r="C139" s="7">
        <f t="shared" si="2"/>
        <v>-2.6788511749347235E-2</v>
      </c>
      <c r="D139" s="7">
        <v>3.8421639067087657E-5</v>
      </c>
      <c r="H139" t="s">
        <v>151</v>
      </c>
      <c r="I139" s="1">
        <v>207.24</v>
      </c>
      <c r="J139" s="7">
        <f t="shared" si="3"/>
        <v>-1.3800323593794506E-2</v>
      </c>
      <c r="K139" s="7">
        <v>3.4181356511558958E-4</v>
      </c>
    </row>
    <row r="140" spans="1:11">
      <c r="A140" t="s">
        <v>152</v>
      </c>
      <c r="B140" s="1">
        <v>371.04</v>
      </c>
      <c r="C140" s="7">
        <f t="shared" si="2"/>
        <v>-4.5608198744432815E-3</v>
      </c>
      <c r="D140" s="7">
        <v>2.6007282038969999E-4</v>
      </c>
      <c r="H140" t="s">
        <v>152</v>
      </c>
      <c r="I140" s="1">
        <v>211.71</v>
      </c>
      <c r="J140" s="7">
        <f t="shared" si="3"/>
        <v>2.156919513607411E-2</v>
      </c>
      <c r="K140" s="7">
        <v>6.0246148549795498E-4</v>
      </c>
    </row>
    <row r="141" spans="1:11">
      <c r="A141" t="s">
        <v>153</v>
      </c>
      <c r="B141" s="1">
        <v>365.97</v>
      </c>
      <c r="C141" s="7">
        <f t="shared" si="2"/>
        <v>-1.3664294954721844E-2</v>
      </c>
      <c r="D141" s="7">
        <v>3.1448189108445029E-4</v>
      </c>
      <c r="H141" t="s">
        <v>153</v>
      </c>
      <c r="I141" s="1">
        <v>207.54</v>
      </c>
      <c r="J141" s="7">
        <f t="shared" si="3"/>
        <v>-1.969675499504046E-2</v>
      </c>
      <c r="K141" s="7">
        <v>6.2907211862496678E-4</v>
      </c>
    </row>
    <row r="142" spans="1:11">
      <c r="A142" t="s">
        <v>154</v>
      </c>
      <c r="B142" s="1">
        <v>356.77</v>
      </c>
      <c r="C142" s="7">
        <f t="shared" ref="C142:C205" si="4">(B142-B141)/B141</f>
        <v>-2.5138672568789915E-2</v>
      </c>
      <c r="D142" s="7">
        <v>4.7100937308649772E-4</v>
      </c>
      <c r="H142" t="s">
        <v>154</v>
      </c>
      <c r="I142" s="1">
        <v>199.34</v>
      </c>
      <c r="J142" s="7">
        <f t="shared" ref="J142:J205" si="5">(I142-I141)/I141</f>
        <v>-3.9510455815746311E-2</v>
      </c>
      <c r="K142" s="7">
        <v>6.8343940882489677E-4</v>
      </c>
    </row>
    <row r="143" spans="1:11">
      <c r="A143" t="s">
        <v>155</v>
      </c>
      <c r="B143" s="1">
        <v>358.96</v>
      </c>
      <c r="C143" s="7">
        <f t="shared" si="4"/>
        <v>6.1384084984723994E-3</v>
      </c>
      <c r="D143" s="7">
        <v>7.8012728392526267E-4</v>
      </c>
      <c r="H143" t="s">
        <v>155</v>
      </c>
      <c r="I143" s="1">
        <v>200.95</v>
      </c>
      <c r="J143" s="7">
        <f t="shared" si="5"/>
        <v>8.0766529547506034E-3</v>
      </c>
      <c r="K143" s="7">
        <v>7.2783146658043278E-4</v>
      </c>
    </row>
    <row r="144" spans="1:11">
      <c r="A144" t="s">
        <v>156</v>
      </c>
      <c r="B144" s="1">
        <v>370.17</v>
      </c>
      <c r="C144" s="7">
        <f t="shared" si="4"/>
        <v>3.1229106307109532E-2</v>
      </c>
      <c r="D144" s="7">
        <v>1.024747655889825E-3</v>
      </c>
      <c r="H144" t="s">
        <v>156</v>
      </c>
      <c r="I144" s="1">
        <v>208.27</v>
      </c>
      <c r="J144" s="7">
        <f t="shared" si="5"/>
        <v>3.6426971883553233E-2</v>
      </c>
      <c r="K144" s="7">
        <v>1.0338588782631559E-3</v>
      </c>
    </row>
    <row r="145" spans="1:11">
      <c r="A145" t="s">
        <v>157</v>
      </c>
      <c r="B145" s="1">
        <v>369.37</v>
      </c>
      <c r="C145" s="7">
        <f t="shared" si="4"/>
        <v>-2.1611691925331909E-3</v>
      </c>
      <c r="D145" s="7">
        <v>1.1003521126761681E-3</v>
      </c>
      <c r="H145" t="s">
        <v>157</v>
      </c>
      <c r="I145" s="1">
        <v>210.57</v>
      </c>
      <c r="J145" s="7">
        <f t="shared" si="5"/>
        <v>1.1043357180582815E-2</v>
      </c>
      <c r="K145" s="7">
        <v>1.313259227991188E-3</v>
      </c>
    </row>
    <row r="146" spans="1:11">
      <c r="A146" t="s">
        <v>158</v>
      </c>
      <c r="B146" s="1">
        <v>373.46</v>
      </c>
      <c r="C146" s="7">
        <f t="shared" si="4"/>
        <v>1.1072907924303476E-2</v>
      </c>
      <c r="D146" s="7">
        <v>1.2931830777755989E-3</v>
      </c>
      <c r="H146" t="s">
        <v>158</v>
      </c>
      <c r="I146" s="1">
        <v>209.77</v>
      </c>
      <c r="J146" s="7">
        <f t="shared" si="5"/>
        <v>-3.7992116635797261E-3</v>
      </c>
      <c r="K146" s="7">
        <v>1.341991341991352E-3</v>
      </c>
    </row>
    <row r="147" spans="1:11">
      <c r="A147" t="s">
        <v>159</v>
      </c>
      <c r="B147" s="1">
        <v>372.88</v>
      </c>
      <c r="C147" s="7">
        <f t="shared" si="4"/>
        <v>-1.5530445027579502E-3</v>
      </c>
      <c r="D147" s="7">
        <v>1.606834129970549E-3</v>
      </c>
      <c r="H147" t="s">
        <v>159</v>
      </c>
      <c r="I147" s="1">
        <v>212.79</v>
      </c>
      <c r="J147" s="7">
        <f t="shared" si="5"/>
        <v>1.4396720217380853E-2</v>
      </c>
      <c r="K147" s="7">
        <v>1.6315562167090721E-3</v>
      </c>
    </row>
    <row r="148" spans="1:11">
      <c r="A148" t="s">
        <v>160</v>
      </c>
      <c r="B148" s="1">
        <v>372.29</v>
      </c>
      <c r="C148" s="7">
        <f t="shared" si="4"/>
        <v>-1.5822784810125912E-3</v>
      </c>
      <c r="D148" s="7">
        <v>1.6603687163632289E-3</v>
      </c>
      <c r="H148" t="s">
        <v>160</v>
      </c>
      <c r="I148" s="1">
        <v>213.77</v>
      </c>
      <c r="J148" s="7">
        <f t="shared" si="5"/>
        <v>4.6054795808074542E-3</v>
      </c>
      <c r="K148" s="7">
        <v>1.8331805682859209E-3</v>
      </c>
    </row>
    <row r="149" spans="1:11">
      <c r="A149" t="s">
        <v>161</v>
      </c>
      <c r="B149" s="1">
        <v>374.33</v>
      </c>
      <c r="C149" s="7">
        <f t="shared" si="4"/>
        <v>5.4795992371537341E-3</v>
      </c>
      <c r="D149" s="7">
        <v>1.6614405391492399E-3</v>
      </c>
      <c r="H149" t="s">
        <v>161</v>
      </c>
      <c r="I149" s="1">
        <v>221.25</v>
      </c>
      <c r="J149" s="7">
        <f t="shared" si="5"/>
        <v>3.4990878046498523E-2</v>
      </c>
      <c r="K149" s="7">
        <v>1.9821605550049901E-3</v>
      </c>
    </row>
    <row r="150" spans="1:11">
      <c r="A150" t="s">
        <v>162</v>
      </c>
      <c r="B150" s="1">
        <v>373.07</v>
      </c>
      <c r="C150" s="7">
        <f t="shared" si="4"/>
        <v>-3.3660139449148904E-3</v>
      </c>
      <c r="D150" s="7">
        <v>1.683469107374378E-3</v>
      </c>
      <c r="H150" t="s">
        <v>162</v>
      </c>
      <c r="I150" s="1">
        <v>233.65</v>
      </c>
      <c r="J150" s="7">
        <f t="shared" si="5"/>
        <v>5.6045197740113017E-2</v>
      </c>
      <c r="K150" s="7">
        <v>2.308876346844502E-3</v>
      </c>
    </row>
    <row r="151" spans="1:11">
      <c r="A151" t="s">
        <v>163</v>
      </c>
      <c r="B151" s="1">
        <v>370.87</v>
      </c>
      <c r="C151" s="7">
        <f t="shared" si="4"/>
        <v>-5.8970166456696832E-3</v>
      </c>
      <c r="D151" s="7">
        <v>1.8066492547571019E-3</v>
      </c>
      <c r="H151" t="s">
        <v>163</v>
      </c>
      <c r="I151" s="1">
        <v>238.38</v>
      </c>
      <c r="J151" s="7">
        <f t="shared" si="5"/>
        <v>2.024395463299803E-2</v>
      </c>
      <c r="K151" s="7">
        <v>2.6018698183101229E-3</v>
      </c>
    </row>
    <row r="152" spans="1:11">
      <c r="A152" t="s">
        <v>164</v>
      </c>
      <c r="B152" s="1">
        <v>384.37</v>
      </c>
      <c r="C152" s="7">
        <f t="shared" si="4"/>
        <v>3.6400895192385471E-2</v>
      </c>
      <c r="D152" s="7">
        <v>1.9252783848475619E-3</v>
      </c>
      <c r="H152" t="s">
        <v>164</v>
      </c>
      <c r="I152" s="1">
        <v>239.89</v>
      </c>
      <c r="J152" s="7">
        <f t="shared" si="5"/>
        <v>6.3344240288614436E-3</v>
      </c>
      <c r="K152" s="7">
        <v>2.6148673888681168E-3</v>
      </c>
    </row>
    <row r="153" spans="1:11">
      <c r="A153" t="s">
        <v>165</v>
      </c>
      <c r="B153" s="1">
        <v>393.11</v>
      </c>
      <c r="C153" s="7">
        <f t="shared" si="4"/>
        <v>2.2738507167572936E-2</v>
      </c>
      <c r="D153" s="7">
        <v>2.036576921510326E-3</v>
      </c>
      <c r="H153" t="s">
        <v>165</v>
      </c>
      <c r="I153" s="1">
        <v>249.02</v>
      </c>
      <c r="J153" s="7">
        <f t="shared" si="5"/>
        <v>3.8059110425611838E-2</v>
      </c>
      <c r="K153" s="7">
        <v>2.7258272128417782E-3</v>
      </c>
    </row>
    <row r="154" spans="1:11">
      <c r="A154" t="s">
        <v>166</v>
      </c>
      <c r="B154" s="1">
        <v>411.22</v>
      </c>
      <c r="C154" s="7">
        <f t="shared" si="4"/>
        <v>4.6068530436773454E-2</v>
      </c>
      <c r="D154" s="7">
        <v>2.1848599608806259E-3</v>
      </c>
      <c r="H154" t="s">
        <v>166</v>
      </c>
      <c r="I154" s="1">
        <v>248.5</v>
      </c>
      <c r="J154" s="7">
        <f t="shared" si="5"/>
        <v>-2.0881856878965954E-3</v>
      </c>
      <c r="K154" s="7">
        <v>2.8180354267310329E-3</v>
      </c>
    </row>
    <row r="155" spans="1:11">
      <c r="A155" t="s">
        <v>167</v>
      </c>
      <c r="B155" s="1">
        <v>420.26</v>
      </c>
      <c r="C155" s="7">
        <f t="shared" si="4"/>
        <v>2.1983366567773849E-2</v>
      </c>
      <c r="D155" s="7">
        <v>2.4032042723630661E-3</v>
      </c>
      <c r="H155" t="s">
        <v>167</v>
      </c>
      <c r="I155" s="1">
        <v>249.7</v>
      </c>
      <c r="J155" s="7">
        <f t="shared" si="5"/>
        <v>4.828973843058304E-3</v>
      </c>
      <c r="K155" s="7">
        <v>2.8299459737586678E-3</v>
      </c>
    </row>
    <row r="156" spans="1:11">
      <c r="A156" t="s">
        <v>168</v>
      </c>
      <c r="B156" s="1">
        <v>422.79</v>
      </c>
      <c r="C156" s="7">
        <f t="shared" si="4"/>
        <v>6.0200828058821435E-3</v>
      </c>
      <c r="D156" s="7">
        <v>2.4471355964107819E-3</v>
      </c>
      <c r="H156" t="s">
        <v>168</v>
      </c>
      <c r="I156" s="1">
        <v>250.56</v>
      </c>
      <c r="J156" s="7">
        <f t="shared" si="5"/>
        <v>3.4441329595515167E-3</v>
      </c>
      <c r="K156" s="7">
        <v>3.4441329595515172E-3</v>
      </c>
    </row>
    <row r="157" spans="1:11">
      <c r="A157" t="s">
        <v>169</v>
      </c>
      <c r="B157" s="1">
        <v>418.07</v>
      </c>
      <c r="C157" s="7">
        <f t="shared" si="4"/>
        <v>-1.1163934813973904E-2</v>
      </c>
      <c r="D157" s="7">
        <v>2.6608232900298401E-3</v>
      </c>
      <c r="H157" t="s">
        <v>169</v>
      </c>
      <c r="I157" s="1">
        <v>248.28</v>
      </c>
      <c r="J157" s="7">
        <f t="shared" si="5"/>
        <v>-9.0996168582375518E-3</v>
      </c>
      <c r="K157" s="7">
        <v>3.5296005133964199E-3</v>
      </c>
    </row>
    <row r="158" spans="1:11">
      <c r="A158" t="s">
        <v>170</v>
      </c>
      <c r="B158" s="1">
        <v>424.16</v>
      </c>
      <c r="C158" s="7">
        <f t="shared" si="4"/>
        <v>1.4566938550960442E-2</v>
      </c>
      <c r="D158" s="7">
        <v>2.664723639013163E-3</v>
      </c>
      <c r="H158" t="s">
        <v>170</v>
      </c>
      <c r="I158" s="1">
        <v>249.91</v>
      </c>
      <c r="J158" s="7">
        <f t="shared" si="5"/>
        <v>6.5651683583051214E-3</v>
      </c>
      <c r="K158" s="7">
        <v>3.9346105203990978E-3</v>
      </c>
    </row>
    <row r="159" spans="1:11">
      <c r="A159" t="s">
        <v>171</v>
      </c>
      <c r="B159" s="1">
        <v>432.92</v>
      </c>
      <c r="C159" s="7">
        <f t="shared" si="4"/>
        <v>2.0652583930592206E-2</v>
      </c>
      <c r="D159" s="7">
        <v>2.7958062905641648E-3</v>
      </c>
      <c r="H159" t="s">
        <v>171</v>
      </c>
      <c r="I159" s="1">
        <v>255.36</v>
      </c>
      <c r="J159" s="7">
        <f t="shared" si="5"/>
        <v>2.1807850826297534E-2</v>
      </c>
      <c r="K159" s="7">
        <v>3.9465950121756561E-3</v>
      </c>
    </row>
    <row r="160" spans="1:11">
      <c r="A160" t="s">
        <v>172</v>
      </c>
      <c r="B160" s="1">
        <v>415.75</v>
      </c>
      <c r="C160" s="7">
        <f t="shared" si="4"/>
        <v>-3.9660907326988855E-2</v>
      </c>
      <c r="D160" s="7">
        <v>2.959122214366134E-3</v>
      </c>
      <c r="H160" t="s">
        <v>172</v>
      </c>
      <c r="I160" s="1">
        <v>255.08</v>
      </c>
      <c r="J160" s="7">
        <f t="shared" si="5"/>
        <v>-1.0964912280701799E-3</v>
      </c>
      <c r="K160" s="7">
        <v>3.983703033046607E-3</v>
      </c>
    </row>
    <row r="161" spans="1:11">
      <c r="A161" t="s">
        <v>173</v>
      </c>
      <c r="B161" s="1">
        <v>424.62</v>
      </c>
      <c r="C161" s="7">
        <f t="shared" si="4"/>
        <v>2.133493686109442E-2</v>
      </c>
      <c r="D161" s="7">
        <v>3.1217280024818969E-3</v>
      </c>
      <c r="H161" t="s">
        <v>173</v>
      </c>
      <c r="I161" s="1">
        <v>263.99</v>
      </c>
      <c r="J161" s="7">
        <f t="shared" si="5"/>
        <v>3.4930217970832664E-2</v>
      </c>
      <c r="K161" s="7">
        <v>4.0132395531650763E-3</v>
      </c>
    </row>
    <row r="162" spans="1:11">
      <c r="A162" t="s">
        <v>174</v>
      </c>
      <c r="B162" s="1">
        <v>424.82</v>
      </c>
      <c r="C162" s="7">
        <f t="shared" si="4"/>
        <v>4.7100937308649767E-4</v>
      </c>
      <c r="D162" s="7">
        <v>3.144109127819132E-3</v>
      </c>
      <c r="H162" t="s">
        <v>174</v>
      </c>
      <c r="I162" s="1">
        <v>261.12</v>
      </c>
      <c r="J162" s="7">
        <f t="shared" si="5"/>
        <v>-1.0871623925148696E-2</v>
      </c>
      <c r="K162" s="7">
        <v>4.4256770473831801E-3</v>
      </c>
    </row>
    <row r="163" spans="1:11">
      <c r="A163" t="s">
        <v>175</v>
      </c>
      <c r="B163" s="1">
        <v>429.25</v>
      </c>
      <c r="C163" s="7">
        <f t="shared" si="4"/>
        <v>1.0427945953580356E-2</v>
      </c>
      <c r="D163" s="7">
        <v>3.306516153489729E-3</v>
      </c>
      <c r="H163" t="s">
        <v>175</v>
      </c>
      <c r="I163" s="1">
        <v>259.7</v>
      </c>
      <c r="J163" s="7">
        <f t="shared" si="5"/>
        <v>-5.4381127450980997E-3</v>
      </c>
      <c r="K163" s="7">
        <v>4.5396447617788412E-3</v>
      </c>
    </row>
    <row r="164" spans="1:11">
      <c r="A164" t="s">
        <v>176</v>
      </c>
      <c r="B164" s="1">
        <v>424.46</v>
      </c>
      <c r="C164" s="7">
        <f t="shared" si="4"/>
        <v>-1.11589982527665E-2</v>
      </c>
      <c r="D164" s="7">
        <v>3.3980113910608949E-3</v>
      </c>
      <c r="H164" t="s">
        <v>176</v>
      </c>
      <c r="I164" s="1">
        <v>263.04000000000002</v>
      </c>
      <c r="J164" s="7">
        <f t="shared" si="5"/>
        <v>1.2860993453985491E-2</v>
      </c>
      <c r="K164" s="7">
        <v>4.5801526717557748E-3</v>
      </c>
    </row>
    <row r="165" spans="1:11">
      <c r="A165" t="s">
        <v>177</v>
      </c>
      <c r="B165" s="1">
        <v>407.78</v>
      </c>
      <c r="C165" s="7">
        <f t="shared" si="4"/>
        <v>-3.9296989115582166E-2</v>
      </c>
      <c r="D165" s="7">
        <v>3.839590443686018E-3</v>
      </c>
      <c r="H165" t="s">
        <v>177</v>
      </c>
      <c r="I165" s="1">
        <v>265.06</v>
      </c>
      <c r="J165" s="7">
        <f t="shared" si="5"/>
        <v>7.6794403892943338E-3</v>
      </c>
      <c r="K165" s="7">
        <v>4.6054795808074542E-3</v>
      </c>
    </row>
    <row r="166" spans="1:11">
      <c r="A166" t="s">
        <v>178</v>
      </c>
      <c r="B166" s="1">
        <v>414.44</v>
      </c>
      <c r="C166" s="7">
        <f t="shared" si="4"/>
        <v>1.6332336063563747E-2</v>
      </c>
      <c r="D166" s="7">
        <v>3.850589316080661E-3</v>
      </c>
      <c r="H166" t="s">
        <v>178</v>
      </c>
      <c r="I166" s="1">
        <v>268.26</v>
      </c>
      <c r="J166" s="7">
        <f t="shared" si="5"/>
        <v>1.207273824794382E-2</v>
      </c>
      <c r="K166" s="7">
        <v>4.7503848691445461E-3</v>
      </c>
    </row>
    <row r="167" spans="1:11">
      <c r="A167" t="s">
        <v>179</v>
      </c>
      <c r="B167" s="1">
        <v>413.62</v>
      </c>
      <c r="C167" s="7">
        <f t="shared" si="4"/>
        <v>-1.978573496766705E-3</v>
      </c>
      <c r="D167" s="7">
        <v>3.9800379444032141E-3</v>
      </c>
      <c r="H167" t="s">
        <v>179</v>
      </c>
      <c r="I167" s="1">
        <v>272.05</v>
      </c>
      <c r="J167" s="7">
        <f t="shared" si="5"/>
        <v>1.4128084693953704E-2</v>
      </c>
      <c r="K167" s="7">
        <v>4.8276176162499532E-3</v>
      </c>
    </row>
    <row r="168" spans="1:11">
      <c r="A168" t="s">
        <v>180</v>
      </c>
      <c r="B168" s="1">
        <v>411.38</v>
      </c>
      <c r="C168" s="7">
        <f t="shared" si="4"/>
        <v>-5.4155988588559766E-3</v>
      </c>
      <c r="D168" s="7">
        <v>3.9820384647970761E-3</v>
      </c>
      <c r="H168" t="s">
        <v>180</v>
      </c>
      <c r="I168" s="1">
        <v>273.55</v>
      </c>
      <c r="J168" s="7">
        <f t="shared" si="5"/>
        <v>5.5136923359676527E-3</v>
      </c>
      <c r="K168" s="7">
        <v>4.828973843058304E-3</v>
      </c>
    </row>
    <row r="169" spans="1:11">
      <c r="A169" t="s">
        <v>181</v>
      </c>
      <c r="B169" s="1">
        <v>413.96</v>
      </c>
      <c r="C169" s="7">
        <f t="shared" si="4"/>
        <v>6.2715737274538965E-3</v>
      </c>
      <c r="D169" s="7">
        <v>4.0084301004173666E-3</v>
      </c>
      <c r="H169" t="s">
        <v>181</v>
      </c>
      <c r="I169" s="1">
        <v>274.99</v>
      </c>
      <c r="J169" s="7">
        <f t="shared" si="5"/>
        <v>5.2641199049533825E-3</v>
      </c>
      <c r="K169" s="7">
        <v>5.2641199049533816E-3</v>
      </c>
    </row>
    <row r="170" spans="1:11">
      <c r="A170" t="s">
        <v>182</v>
      </c>
      <c r="B170" s="1">
        <v>420.77</v>
      </c>
      <c r="C170" s="7">
        <f t="shared" si="4"/>
        <v>1.6450864817856806E-2</v>
      </c>
      <c r="D170" s="7">
        <v>4.3437597422841777E-3</v>
      </c>
      <c r="H170" t="s">
        <v>182</v>
      </c>
      <c r="I170" s="1">
        <v>271.17</v>
      </c>
      <c r="J170" s="7">
        <f t="shared" si="5"/>
        <v>-1.3891414233244821E-2</v>
      </c>
      <c r="K170" s="7">
        <v>5.5136923359676527E-3</v>
      </c>
    </row>
    <row r="171" spans="1:11">
      <c r="A171" t="s">
        <v>183</v>
      </c>
      <c r="B171" s="1">
        <v>415.12</v>
      </c>
      <c r="C171" s="7">
        <f t="shared" si="4"/>
        <v>-1.3427763386172915E-2</v>
      </c>
      <c r="D171" s="7">
        <v>4.8248897762250441E-3</v>
      </c>
      <c r="H171" t="s">
        <v>183</v>
      </c>
      <c r="I171" s="1">
        <v>272.68</v>
      </c>
      <c r="J171" s="7">
        <f t="shared" si="5"/>
        <v>5.5684625880443664E-3</v>
      </c>
      <c r="K171" s="7">
        <v>5.5684625880443664E-3</v>
      </c>
    </row>
    <row r="172" spans="1:11">
      <c r="A172" t="s">
        <v>184</v>
      </c>
      <c r="B172" s="1">
        <v>412.66</v>
      </c>
      <c r="C172" s="7">
        <f t="shared" si="4"/>
        <v>-5.9259973019849185E-3</v>
      </c>
      <c r="D172" s="7">
        <v>4.8360462373200821E-3</v>
      </c>
      <c r="H172" t="s">
        <v>184</v>
      </c>
      <c r="I172" s="1">
        <v>268.99</v>
      </c>
      <c r="J172" s="7">
        <f t="shared" si="5"/>
        <v>-1.3532345606571797E-2</v>
      </c>
      <c r="K172" s="7">
        <v>5.6369321922317504E-3</v>
      </c>
    </row>
    <row r="173" spans="1:11">
      <c r="A173" t="s">
        <v>185</v>
      </c>
      <c r="B173" s="1">
        <v>407.77</v>
      </c>
      <c r="C173" s="7">
        <f t="shared" si="4"/>
        <v>-1.1849949110648095E-2</v>
      </c>
      <c r="D173" s="7">
        <v>5.2964426877470487E-3</v>
      </c>
      <c r="H173" t="s">
        <v>185</v>
      </c>
      <c r="I173" s="1">
        <v>265.82</v>
      </c>
      <c r="J173" s="7">
        <f t="shared" si="5"/>
        <v>-1.1784824714673467E-2</v>
      </c>
      <c r="K173" s="7">
        <v>5.6703466643757104E-3</v>
      </c>
    </row>
    <row r="174" spans="1:11">
      <c r="A174" t="s">
        <v>186</v>
      </c>
      <c r="B174" s="1">
        <v>405.21</v>
      </c>
      <c r="C174" s="7">
        <f t="shared" si="4"/>
        <v>-6.2780489001152667E-3</v>
      </c>
      <c r="D174" s="7">
        <v>5.4300046542896151E-3</v>
      </c>
      <c r="H174" t="s">
        <v>186</v>
      </c>
      <c r="I174" s="1">
        <v>270.13</v>
      </c>
      <c r="J174" s="7">
        <f t="shared" si="5"/>
        <v>1.6213979384545944E-2</v>
      </c>
      <c r="K174" s="7">
        <v>6.1400255490996376E-3</v>
      </c>
    </row>
    <row r="175" spans="1:11">
      <c r="A175" t="s">
        <v>187</v>
      </c>
      <c r="B175" s="1">
        <v>409.43</v>
      </c>
      <c r="C175" s="7">
        <f t="shared" si="4"/>
        <v>1.0414353051504226E-2</v>
      </c>
      <c r="D175" s="7">
        <v>5.4795992371537341E-3</v>
      </c>
      <c r="H175" t="s">
        <v>187</v>
      </c>
      <c r="I175" s="1">
        <v>267.22000000000003</v>
      </c>
      <c r="J175" s="7">
        <f t="shared" si="5"/>
        <v>-1.077259097471576E-2</v>
      </c>
      <c r="K175" s="7">
        <v>6.3322855450777408E-3</v>
      </c>
    </row>
    <row r="176" spans="1:11">
      <c r="A176" t="s">
        <v>188</v>
      </c>
      <c r="B176" s="1">
        <v>421.92</v>
      </c>
      <c r="C176" s="7">
        <f t="shared" si="4"/>
        <v>3.0505825171580025E-2</v>
      </c>
      <c r="D176" s="7">
        <v>5.5634972762044496E-3</v>
      </c>
      <c r="H176" t="s">
        <v>188</v>
      </c>
      <c r="I176" s="1">
        <v>264.14</v>
      </c>
      <c r="J176" s="7">
        <f t="shared" si="5"/>
        <v>-1.1526083376992891E-2</v>
      </c>
      <c r="K176" s="7">
        <v>6.3344240288614436E-3</v>
      </c>
    </row>
    <row r="177" spans="1:11">
      <c r="A177" t="s">
        <v>189</v>
      </c>
      <c r="B177" s="1">
        <v>423.54</v>
      </c>
      <c r="C177" s="7">
        <f t="shared" si="4"/>
        <v>3.8395904436860175E-3</v>
      </c>
      <c r="D177" s="7">
        <v>5.564437431223152E-3</v>
      </c>
      <c r="H177" t="s">
        <v>189</v>
      </c>
      <c r="I177" s="1">
        <v>264.86</v>
      </c>
      <c r="J177" s="7">
        <f t="shared" si="5"/>
        <v>2.7258272128417782E-3</v>
      </c>
      <c r="K177" s="7">
        <v>6.4652440312698116E-3</v>
      </c>
    </row>
    <row r="178" spans="1:11">
      <c r="A178" t="s">
        <v>190</v>
      </c>
      <c r="B178" s="1">
        <v>417.42</v>
      </c>
      <c r="C178" s="7">
        <f t="shared" si="4"/>
        <v>-1.4449638759031035E-2</v>
      </c>
      <c r="D178" s="7">
        <v>5.8590748424774634E-3</v>
      </c>
      <c r="H178" t="s">
        <v>190</v>
      </c>
      <c r="I178" s="1">
        <v>259.33999999999997</v>
      </c>
      <c r="J178" s="7">
        <f t="shared" si="5"/>
        <v>-2.084119912406569E-2</v>
      </c>
      <c r="K178" s="7">
        <v>6.5651683583051214E-3</v>
      </c>
    </row>
    <row r="179" spans="1:11">
      <c r="A179" t="s">
        <v>191</v>
      </c>
      <c r="B179" s="1">
        <v>421.06</v>
      </c>
      <c r="C179" s="7">
        <f t="shared" si="4"/>
        <v>8.7202338172583643E-3</v>
      </c>
      <c r="D179" s="7">
        <v>6.0200828058821444E-3</v>
      </c>
      <c r="H179" t="s">
        <v>191</v>
      </c>
      <c r="I179" s="1">
        <v>265.01</v>
      </c>
      <c r="J179" s="7">
        <f t="shared" si="5"/>
        <v>2.1863191177604751E-2</v>
      </c>
      <c r="K179" s="7">
        <v>7.4541284403669443E-3</v>
      </c>
    </row>
    <row r="180" spans="1:11">
      <c r="A180" t="s">
        <v>192</v>
      </c>
      <c r="B180" s="1">
        <v>419.09</v>
      </c>
      <c r="C180" s="7">
        <f t="shared" si="4"/>
        <v>-4.6786681233079068E-3</v>
      </c>
      <c r="D180" s="7">
        <v>6.0474401127289324E-3</v>
      </c>
      <c r="H180" t="s">
        <v>192</v>
      </c>
      <c r="I180" s="1">
        <v>268.45999999999998</v>
      </c>
      <c r="J180" s="7">
        <f t="shared" si="5"/>
        <v>1.3018376665031466E-2</v>
      </c>
      <c r="K180" s="7">
        <v>7.4719229887691748E-3</v>
      </c>
    </row>
    <row r="181" spans="1:11">
      <c r="A181" t="s">
        <v>193</v>
      </c>
      <c r="B181" s="1">
        <v>418.57</v>
      </c>
      <c r="C181" s="7">
        <f t="shared" si="4"/>
        <v>-1.2407836025674242E-3</v>
      </c>
      <c r="D181" s="7">
        <v>6.1384084984723994E-3</v>
      </c>
      <c r="H181" t="s">
        <v>193</v>
      </c>
      <c r="I181" s="1">
        <v>266.32</v>
      </c>
      <c r="J181" s="7">
        <f t="shared" si="5"/>
        <v>-7.9713923862027355E-3</v>
      </c>
      <c r="K181" s="7">
        <v>7.6794403892943338E-3</v>
      </c>
    </row>
    <row r="182" spans="1:11">
      <c r="A182" t="s">
        <v>194</v>
      </c>
      <c r="B182" s="1">
        <v>416.03</v>
      </c>
      <c r="C182" s="7">
        <f t="shared" si="4"/>
        <v>-6.06828009651915E-3</v>
      </c>
      <c r="D182" s="7">
        <v>6.1392875298166881E-3</v>
      </c>
      <c r="H182" t="s">
        <v>194</v>
      </c>
      <c r="I182" s="1">
        <v>265.29000000000002</v>
      </c>
      <c r="J182" s="7">
        <f t="shared" si="5"/>
        <v>-3.8675277861218564E-3</v>
      </c>
      <c r="K182" s="7">
        <v>7.9087732205259404E-3</v>
      </c>
    </row>
    <row r="183" spans="1:11">
      <c r="A183" t="s">
        <v>195</v>
      </c>
      <c r="B183" s="1">
        <v>412.67</v>
      </c>
      <c r="C183" s="7">
        <f t="shared" si="4"/>
        <v>-8.076340648510821E-3</v>
      </c>
      <c r="D183" s="7">
        <v>6.2502433895399402E-3</v>
      </c>
      <c r="H183" t="s">
        <v>195</v>
      </c>
      <c r="I183" s="1">
        <v>271.85000000000002</v>
      </c>
      <c r="J183" s="7">
        <f t="shared" si="5"/>
        <v>2.4727656526819713E-2</v>
      </c>
      <c r="K183" s="7">
        <v>8.0296731067090524E-3</v>
      </c>
    </row>
    <row r="184" spans="1:11">
      <c r="A184" t="s">
        <v>196</v>
      </c>
      <c r="B184" s="1">
        <v>426.99</v>
      </c>
      <c r="C184" s="7">
        <f t="shared" si="4"/>
        <v>3.4700850558557671E-2</v>
      </c>
      <c r="D184" s="7">
        <v>6.2715737274538974E-3</v>
      </c>
      <c r="H184" t="s">
        <v>196</v>
      </c>
      <c r="I184" s="1">
        <v>274</v>
      </c>
      <c r="J184" s="7">
        <f t="shared" si="5"/>
        <v>7.9087732205259404E-3</v>
      </c>
      <c r="K184" s="7">
        <v>8.0678058287630937E-3</v>
      </c>
    </row>
    <row r="185" spans="1:11">
      <c r="A185" t="s">
        <v>197</v>
      </c>
      <c r="B185" s="1">
        <v>450.24</v>
      </c>
      <c r="C185" s="7">
        <f t="shared" si="4"/>
        <v>5.4450923909225041E-2</v>
      </c>
      <c r="D185" s="7">
        <v>6.3080168776371501E-3</v>
      </c>
      <c r="H185" t="s">
        <v>197</v>
      </c>
      <c r="I185" s="1">
        <v>270.64</v>
      </c>
      <c r="J185" s="7">
        <f t="shared" si="5"/>
        <v>-1.2262773722627787E-2</v>
      </c>
      <c r="K185" s="7">
        <v>8.0766529547506034E-3</v>
      </c>
    </row>
    <row r="186" spans="1:11">
      <c r="A186" t="s">
        <v>198</v>
      </c>
      <c r="B186" s="1">
        <v>460.52</v>
      </c>
      <c r="C186" s="7">
        <f t="shared" si="4"/>
        <v>2.2832267235252248E-2</v>
      </c>
      <c r="D186" s="7">
        <v>6.477946551864182E-3</v>
      </c>
      <c r="H186" t="s">
        <v>198</v>
      </c>
      <c r="I186" s="1">
        <v>261.26</v>
      </c>
      <c r="J186" s="7">
        <f t="shared" si="5"/>
        <v>-3.4658587052911603E-2</v>
      </c>
      <c r="K186" s="7">
        <v>8.153970469404347E-3</v>
      </c>
    </row>
    <row r="187" spans="1:11">
      <c r="A187" t="s">
        <v>199</v>
      </c>
      <c r="B187" s="1">
        <v>441.31</v>
      </c>
      <c r="C187" s="7">
        <f t="shared" si="4"/>
        <v>-4.1713714930947582E-2</v>
      </c>
      <c r="D187" s="7">
        <v>6.5099106101827097E-3</v>
      </c>
      <c r="H187" t="s">
        <v>199</v>
      </c>
      <c r="I187" s="1">
        <v>256.52</v>
      </c>
      <c r="J187" s="7">
        <f t="shared" si="5"/>
        <v>-1.8142846206843793E-2</v>
      </c>
      <c r="K187" s="7">
        <v>9.7776957845217439E-3</v>
      </c>
    </row>
    <row r="188" spans="1:11">
      <c r="A188" t="s">
        <v>200</v>
      </c>
      <c r="B188" s="1">
        <v>427.34</v>
      </c>
      <c r="C188" s="7">
        <f t="shared" si="4"/>
        <v>-3.1655752192336517E-2</v>
      </c>
      <c r="D188" s="7">
        <v>6.5099533209133963E-3</v>
      </c>
      <c r="H188" t="s">
        <v>200</v>
      </c>
      <c r="I188" s="1">
        <v>250.02</v>
      </c>
      <c r="J188" s="7">
        <f t="shared" si="5"/>
        <v>-2.5339154841727631E-2</v>
      </c>
      <c r="K188" s="7">
        <v>9.9731492136554672E-3</v>
      </c>
    </row>
    <row r="189" spans="1:11">
      <c r="A189" t="s">
        <v>201</v>
      </c>
      <c r="B189" s="1">
        <v>428.05</v>
      </c>
      <c r="C189" s="7">
        <f t="shared" si="4"/>
        <v>1.6614405391492404E-3</v>
      </c>
      <c r="D189" s="7">
        <v>6.6976209064387371E-3</v>
      </c>
      <c r="H189" t="s">
        <v>201</v>
      </c>
      <c r="I189" s="1">
        <v>253.79</v>
      </c>
      <c r="J189" s="7">
        <f t="shared" si="5"/>
        <v>1.5078793696504207E-2</v>
      </c>
      <c r="K189" s="7">
        <v>1.0003847633705329E-2</v>
      </c>
    </row>
    <row r="190" spans="1:11">
      <c r="A190" t="s">
        <v>202</v>
      </c>
      <c r="B190" s="1">
        <v>416.67</v>
      </c>
      <c r="C190" s="7">
        <f t="shared" si="4"/>
        <v>-2.6585679243079068E-2</v>
      </c>
      <c r="D190" s="7">
        <v>6.9041979539384386E-3</v>
      </c>
      <c r="H190" t="s">
        <v>202</v>
      </c>
      <c r="I190" s="1">
        <v>246.03</v>
      </c>
      <c r="J190" s="7">
        <f t="shared" si="5"/>
        <v>-3.0576460853461489E-2</v>
      </c>
      <c r="K190" s="7">
        <v>1.0032246506628491E-2</v>
      </c>
    </row>
    <row r="191" spans="1:11">
      <c r="A191" t="s">
        <v>203</v>
      </c>
      <c r="B191" s="1">
        <v>411.74</v>
      </c>
      <c r="C191" s="7">
        <f t="shared" si="4"/>
        <v>-1.1831905344757258E-2</v>
      </c>
      <c r="D191" s="7">
        <v>7.0074015679060754E-3</v>
      </c>
      <c r="H191" t="s">
        <v>203</v>
      </c>
      <c r="I191" s="1">
        <v>245.22</v>
      </c>
      <c r="J191" s="7">
        <f t="shared" si="5"/>
        <v>-3.2922814290940222E-3</v>
      </c>
      <c r="K191" s="7">
        <v>1.004538044675508E-2</v>
      </c>
    </row>
    <row r="192" spans="1:11">
      <c r="A192" t="s">
        <v>204</v>
      </c>
      <c r="B192" s="1">
        <v>403.41</v>
      </c>
      <c r="C192" s="7">
        <f t="shared" si="4"/>
        <v>-2.0231213872832332E-2</v>
      </c>
      <c r="D192" s="7">
        <v>7.2469054740887098E-3</v>
      </c>
      <c r="H192" t="s">
        <v>204</v>
      </c>
      <c r="I192" s="1">
        <v>244.19</v>
      </c>
      <c r="J192" s="7">
        <f t="shared" si="5"/>
        <v>-4.2003099257809364E-3</v>
      </c>
      <c r="K192" s="7">
        <v>1.087451087451081E-2</v>
      </c>
    </row>
    <row r="193" spans="1:11">
      <c r="A193" t="s">
        <v>205</v>
      </c>
      <c r="B193" s="1">
        <v>397.36</v>
      </c>
      <c r="C193" s="7">
        <f t="shared" si="4"/>
        <v>-1.4997149302198783E-2</v>
      </c>
      <c r="D193" s="7">
        <v>8.4223160334409262E-3</v>
      </c>
      <c r="H193" t="s">
        <v>205</v>
      </c>
      <c r="I193" s="1">
        <v>238</v>
      </c>
      <c r="J193" s="7">
        <f t="shared" si="5"/>
        <v>-2.5349113395306926E-2</v>
      </c>
      <c r="K193" s="7">
        <v>1.1043357180582809E-2</v>
      </c>
    </row>
    <row r="194" spans="1:11">
      <c r="A194" t="s">
        <v>206</v>
      </c>
      <c r="B194" s="1">
        <v>390.34</v>
      </c>
      <c r="C194" s="7">
        <f t="shared" si="4"/>
        <v>-1.7666599557076803E-2</v>
      </c>
      <c r="D194" s="7">
        <v>8.7202338172583643E-3</v>
      </c>
      <c r="H194" t="s">
        <v>206</v>
      </c>
      <c r="I194" s="1">
        <v>241.51</v>
      </c>
      <c r="J194" s="7">
        <f t="shared" si="5"/>
        <v>1.4747899159663827E-2</v>
      </c>
      <c r="K194" s="7">
        <v>1.1163693726489579E-2</v>
      </c>
    </row>
    <row r="195" spans="1:11">
      <c r="A195" t="s">
        <v>207</v>
      </c>
      <c r="B195" s="1">
        <v>390.74</v>
      </c>
      <c r="C195" s="7">
        <f t="shared" si="4"/>
        <v>1.0247476558898246E-3</v>
      </c>
      <c r="D195" s="7">
        <v>8.7371555923712735E-3</v>
      </c>
      <c r="H195" t="s">
        <v>207</v>
      </c>
      <c r="I195" s="1">
        <v>238.55</v>
      </c>
      <c r="J195" s="7">
        <f t="shared" si="5"/>
        <v>-1.2256221274481303E-2</v>
      </c>
      <c r="K195" s="7">
        <v>1.1189059586182441E-2</v>
      </c>
    </row>
    <row r="196" spans="1:11">
      <c r="A196" t="s">
        <v>208</v>
      </c>
      <c r="B196" s="1">
        <v>399.76</v>
      </c>
      <c r="C196" s="7">
        <f t="shared" si="4"/>
        <v>2.3084403951476637E-2</v>
      </c>
      <c r="D196" s="7">
        <v>9.02916008290406E-3</v>
      </c>
      <c r="H196" t="s">
        <v>208</v>
      </c>
      <c r="I196" s="1">
        <v>246.02</v>
      </c>
      <c r="J196" s="7">
        <f t="shared" si="5"/>
        <v>3.131418989729616E-2</v>
      </c>
      <c r="K196" s="7">
        <v>1.187182453845774E-2</v>
      </c>
    </row>
    <row r="197" spans="1:11">
      <c r="A197" t="s">
        <v>209</v>
      </c>
      <c r="B197" s="1">
        <v>393.83</v>
      </c>
      <c r="C197" s="7">
        <f t="shared" si="4"/>
        <v>-1.483390034020414E-2</v>
      </c>
      <c r="D197" s="7">
        <v>9.0368174156732709E-3</v>
      </c>
      <c r="H197" t="s">
        <v>209</v>
      </c>
      <c r="I197" s="1">
        <v>246</v>
      </c>
      <c r="J197" s="7">
        <f t="shared" si="5"/>
        <v>-8.1294203723316114E-5</v>
      </c>
      <c r="K197" s="7">
        <v>1.207273824794382E-2</v>
      </c>
    </row>
    <row r="198" spans="1:11">
      <c r="A198" t="s">
        <v>210</v>
      </c>
      <c r="B198" s="1">
        <v>378.91</v>
      </c>
      <c r="C198" s="7">
        <f t="shared" si="4"/>
        <v>-3.7884366350963511E-2</v>
      </c>
      <c r="D198" s="7">
        <v>9.2928425796758966E-3</v>
      </c>
      <c r="H198" t="s">
        <v>210</v>
      </c>
      <c r="I198" s="1">
        <v>237.5</v>
      </c>
      <c r="J198" s="7">
        <f t="shared" si="5"/>
        <v>-3.4552845528455285E-2</v>
      </c>
      <c r="K198" s="7">
        <v>1.230988805138036E-2</v>
      </c>
    </row>
    <row r="199" spans="1:11">
      <c r="A199" t="s">
        <v>211</v>
      </c>
      <c r="B199" s="1">
        <v>379.4</v>
      </c>
      <c r="C199" s="7">
        <f t="shared" si="4"/>
        <v>1.2931830777755989E-3</v>
      </c>
      <c r="D199" s="7">
        <v>9.4771308291473136E-3</v>
      </c>
      <c r="H199" t="s">
        <v>211</v>
      </c>
      <c r="I199" s="1">
        <v>244.39</v>
      </c>
      <c r="J199" s="7">
        <f t="shared" si="5"/>
        <v>2.9010526315789417E-2</v>
      </c>
      <c r="K199" s="7">
        <v>1.2860993453985489E-2</v>
      </c>
    </row>
    <row r="200" spans="1:11">
      <c r="A200" t="s">
        <v>212</v>
      </c>
      <c r="B200" s="1">
        <v>367.34</v>
      </c>
      <c r="C200" s="7">
        <f t="shared" si="4"/>
        <v>-3.1787032156035851E-2</v>
      </c>
      <c r="D200" s="7">
        <v>1.025994650618527E-2</v>
      </c>
      <c r="H200" t="s">
        <v>212</v>
      </c>
      <c r="I200" s="1">
        <v>232.79</v>
      </c>
      <c r="J200" s="7">
        <f t="shared" si="5"/>
        <v>-4.7465117230655898E-2</v>
      </c>
      <c r="K200" s="7">
        <v>1.3018376665031471E-2</v>
      </c>
    </row>
    <row r="201" spans="1:11">
      <c r="A201" t="s">
        <v>213</v>
      </c>
      <c r="B201" s="1">
        <v>373.94</v>
      </c>
      <c r="C201" s="7">
        <f t="shared" si="4"/>
        <v>1.7967006043447552E-2</v>
      </c>
      <c r="D201" s="7">
        <v>1.03655096027252E-2</v>
      </c>
      <c r="H201" t="s">
        <v>213</v>
      </c>
      <c r="I201" s="1">
        <v>234.11</v>
      </c>
      <c r="J201" s="7">
        <f t="shared" si="5"/>
        <v>5.6703466643757104E-3</v>
      </c>
      <c r="K201" s="7">
        <v>1.3099303964376819E-2</v>
      </c>
    </row>
    <row r="202" spans="1:11">
      <c r="A202" t="s">
        <v>214</v>
      </c>
      <c r="B202" s="1">
        <v>365.46</v>
      </c>
      <c r="C202" s="7">
        <f t="shared" si="4"/>
        <v>-2.2677434882601537E-2</v>
      </c>
      <c r="D202" s="7">
        <v>1.0414353051504229E-2</v>
      </c>
      <c r="H202" t="s">
        <v>214</v>
      </c>
      <c r="I202" s="1">
        <v>234.27</v>
      </c>
      <c r="J202" s="7">
        <f t="shared" si="5"/>
        <v>6.8343940882489677E-4</v>
      </c>
      <c r="K202" s="7">
        <v>1.315214223258509E-2</v>
      </c>
    </row>
    <row r="203" spans="1:11">
      <c r="A203" t="s">
        <v>215</v>
      </c>
      <c r="B203" s="1">
        <v>352.83</v>
      </c>
      <c r="C203" s="7">
        <f t="shared" si="4"/>
        <v>-3.4559185683795755E-2</v>
      </c>
      <c r="D203" s="7">
        <v>1.042794595358036E-2</v>
      </c>
      <c r="H203" t="s">
        <v>215</v>
      </c>
      <c r="I203" s="1">
        <v>227.01</v>
      </c>
      <c r="J203" s="7">
        <f t="shared" si="5"/>
        <v>-3.0989883467793654E-2</v>
      </c>
      <c r="K203" s="7">
        <v>1.330085450257123E-2</v>
      </c>
    </row>
    <row r="204" spans="1:11">
      <c r="A204" t="s">
        <v>216</v>
      </c>
      <c r="B204" s="1">
        <v>372.97</v>
      </c>
      <c r="C204" s="7">
        <f t="shared" si="4"/>
        <v>5.7081313947226833E-2</v>
      </c>
      <c r="D204" s="7">
        <v>1.058135958166723E-2</v>
      </c>
      <c r="H204" t="s">
        <v>216</v>
      </c>
      <c r="I204" s="1">
        <v>232.69</v>
      </c>
      <c r="J204" s="7">
        <f t="shared" si="5"/>
        <v>2.5020924188361778E-2</v>
      </c>
      <c r="K204" s="7">
        <v>1.4038256300796271E-2</v>
      </c>
    </row>
    <row r="205" spans="1:11">
      <c r="A205" t="s">
        <v>217</v>
      </c>
      <c r="B205" s="1">
        <v>368.57</v>
      </c>
      <c r="C205" s="7">
        <f t="shared" si="4"/>
        <v>-1.1797195484891637E-2</v>
      </c>
      <c r="D205" s="7">
        <v>1.0922641994345931E-2</v>
      </c>
      <c r="H205" t="s">
        <v>217</v>
      </c>
      <c r="I205" s="1">
        <v>240.14</v>
      </c>
      <c r="J205" s="7">
        <f t="shared" si="5"/>
        <v>3.20168464480639E-2</v>
      </c>
      <c r="K205" s="7">
        <v>1.4097507762020581E-2</v>
      </c>
    </row>
    <row r="206" spans="1:11">
      <c r="A206" t="s">
        <v>218</v>
      </c>
      <c r="B206" s="1">
        <v>373.02</v>
      </c>
      <c r="C206" s="7">
        <f t="shared" ref="C206:C263" si="6">(B206-B205)/B205</f>
        <v>1.2073690208101551E-2</v>
      </c>
      <c r="D206" s="7">
        <v>1.1072907924303481E-2</v>
      </c>
      <c r="H206" t="s">
        <v>218</v>
      </c>
      <c r="I206" s="1">
        <v>238.34</v>
      </c>
      <c r="J206" s="7">
        <f t="shared" ref="J206:J263" si="7">(I206-I205)/I205</f>
        <v>-7.4956275505954151E-3</v>
      </c>
      <c r="K206" s="7">
        <v>1.4111900131168319E-2</v>
      </c>
    </row>
    <row r="207" spans="1:11">
      <c r="A207" t="s">
        <v>219</v>
      </c>
      <c r="B207" s="1">
        <v>384.28</v>
      </c>
      <c r="C207" s="7">
        <f t="shared" si="6"/>
        <v>3.0186049005415237E-2</v>
      </c>
      <c r="D207" s="7">
        <v>1.1123751738086151E-2</v>
      </c>
      <c r="H207" t="s">
        <v>219</v>
      </c>
      <c r="I207" s="1">
        <v>241.7</v>
      </c>
      <c r="J207" s="7">
        <f t="shared" si="7"/>
        <v>1.4097507762020581E-2</v>
      </c>
      <c r="K207" s="7">
        <v>1.4128084693953699E-2</v>
      </c>
    </row>
    <row r="208" spans="1:11">
      <c r="A208" t="s">
        <v>220</v>
      </c>
      <c r="B208" s="1">
        <v>390.49</v>
      </c>
      <c r="C208" s="7">
        <f t="shared" si="6"/>
        <v>1.6160091599875186E-2</v>
      </c>
      <c r="D208" s="7">
        <v>1.178245376752405E-2</v>
      </c>
      <c r="H208" t="s">
        <v>220</v>
      </c>
      <c r="I208" s="1">
        <v>242.67</v>
      </c>
      <c r="J208" s="7">
        <f t="shared" si="7"/>
        <v>4.0132395531650763E-3</v>
      </c>
      <c r="K208" s="7">
        <v>1.4396720217380849E-2</v>
      </c>
    </row>
    <row r="209" spans="1:11">
      <c r="A209" t="s">
        <v>221</v>
      </c>
      <c r="B209" s="1">
        <v>386.74</v>
      </c>
      <c r="C209" s="7">
        <f t="shared" si="6"/>
        <v>-9.6033189070142636E-3</v>
      </c>
      <c r="D209" s="7">
        <v>1.196996933488415E-2</v>
      </c>
      <c r="H209" t="s">
        <v>221</v>
      </c>
      <c r="I209" s="1">
        <v>244.16</v>
      </c>
      <c r="J209" s="7">
        <f t="shared" si="7"/>
        <v>6.1400255490996385E-3</v>
      </c>
      <c r="K209" s="7">
        <v>1.440697407662315E-2</v>
      </c>
    </row>
    <row r="210" spans="1:11">
      <c r="A210" t="s">
        <v>222</v>
      </c>
      <c r="B210" s="1">
        <v>388.84</v>
      </c>
      <c r="C210" s="7">
        <f t="shared" si="6"/>
        <v>5.4300046542896151E-3</v>
      </c>
      <c r="D210" s="7">
        <v>1.207369020810155E-2</v>
      </c>
      <c r="H210" t="s">
        <v>222</v>
      </c>
      <c r="I210" s="1">
        <v>245.98</v>
      </c>
      <c r="J210" s="7">
        <f t="shared" si="7"/>
        <v>7.4541284403669443E-3</v>
      </c>
      <c r="K210" s="7">
        <v>1.4747899159663831E-2</v>
      </c>
    </row>
    <row r="211" spans="1:11">
      <c r="A211" t="s">
        <v>223</v>
      </c>
      <c r="B211" s="1">
        <v>383.34</v>
      </c>
      <c r="C211" s="7">
        <f t="shared" si="6"/>
        <v>-1.4144635325583788E-2</v>
      </c>
      <c r="D211" s="7">
        <v>1.214024280485608E-2</v>
      </c>
      <c r="H211" t="s">
        <v>223</v>
      </c>
      <c r="I211" s="1">
        <v>243.62</v>
      </c>
      <c r="J211" s="7">
        <f t="shared" si="7"/>
        <v>-9.5942759573948502E-3</v>
      </c>
      <c r="K211" s="7">
        <v>1.498143892522532E-2</v>
      </c>
    </row>
    <row r="212" spans="1:11">
      <c r="A212" t="s">
        <v>224</v>
      </c>
      <c r="B212" s="1">
        <v>384.36</v>
      </c>
      <c r="C212" s="7">
        <f t="shared" si="6"/>
        <v>2.6608232900298396E-3</v>
      </c>
      <c r="D212" s="7">
        <v>1.340885684860966E-2</v>
      </c>
      <c r="H212" t="s">
        <v>224</v>
      </c>
      <c r="I212" s="1">
        <v>247.04</v>
      </c>
      <c r="J212" s="7">
        <f t="shared" si="7"/>
        <v>1.4038256300796271E-2</v>
      </c>
      <c r="K212" s="7">
        <v>1.507879369650421E-2</v>
      </c>
    </row>
    <row r="213" spans="1:11">
      <c r="A213" t="s">
        <v>225</v>
      </c>
      <c r="B213" s="1">
        <v>385.1</v>
      </c>
      <c r="C213" s="7">
        <f t="shared" si="6"/>
        <v>1.9252783848475623E-3</v>
      </c>
      <c r="D213" s="7">
        <v>1.3498933634424779E-2</v>
      </c>
      <c r="H213" t="s">
        <v>225</v>
      </c>
      <c r="I213" s="1">
        <v>245.34</v>
      </c>
      <c r="J213" s="7">
        <f t="shared" si="7"/>
        <v>-6.881476683937778E-3</v>
      </c>
      <c r="K213" s="7">
        <v>1.529460927705807E-2</v>
      </c>
    </row>
    <row r="214" spans="1:11">
      <c r="A214" t="s">
        <v>226</v>
      </c>
      <c r="B214" s="1">
        <v>390.99</v>
      </c>
      <c r="C214" s="7">
        <f t="shared" si="6"/>
        <v>1.5294728641911155E-2</v>
      </c>
      <c r="D214" s="7">
        <v>1.3524185587364309E-2</v>
      </c>
      <c r="H214" t="s">
        <v>226</v>
      </c>
      <c r="I214" s="1">
        <v>247.31</v>
      </c>
      <c r="J214" s="7">
        <f t="shared" si="7"/>
        <v>8.0296731067090524E-3</v>
      </c>
      <c r="K214" s="7">
        <v>1.5373754804298329E-2</v>
      </c>
    </row>
    <row r="215" spans="1:11">
      <c r="A215" t="s">
        <v>227</v>
      </c>
      <c r="B215" s="1">
        <v>384.93</v>
      </c>
      <c r="C215" s="7">
        <f t="shared" si="6"/>
        <v>-1.549911762449168E-2</v>
      </c>
      <c r="D215" s="7">
        <v>1.3689920324266301E-2</v>
      </c>
      <c r="H215" t="s">
        <v>227</v>
      </c>
      <c r="I215" s="1">
        <v>247.49</v>
      </c>
      <c r="J215" s="7">
        <f t="shared" si="7"/>
        <v>7.2783146658043278E-4</v>
      </c>
      <c r="K215" s="7">
        <v>1.551086662458291E-2</v>
      </c>
    </row>
    <row r="216" spans="1:11">
      <c r="A216" t="s">
        <v>228</v>
      </c>
      <c r="B216" s="1">
        <v>395.63</v>
      </c>
      <c r="C216" s="7">
        <f t="shared" si="6"/>
        <v>2.7797261839815002E-2</v>
      </c>
      <c r="D216" s="7">
        <v>1.3826049591790381E-2</v>
      </c>
      <c r="H216" t="s">
        <v>228</v>
      </c>
      <c r="I216" s="1">
        <v>254.96</v>
      </c>
      <c r="J216" s="7">
        <f t="shared" si="7"/>
        <v>3.0183037698492864E-2</v>
      </c>
      <c r="K216" s="7">
        <v>1.602767087250934E-2</v>
      </c>
    </row>
    <row r="217" spans="1:11">
      <c r="A217" t="s">
        <v>229</v>
      </c>
      <c r="B217" s="1">
        <v>401.1</v>
      </c>
      <c r="C217" s="7">
        <f t="shared" si="6"/>
        <v>1.3826049591790379E-2</v>
      </c>
      <c r="D217" s="7">
        <v>1.456693855096044E-2</v>
      </c>
      <c r="H217" t="s">
        <v>229</v>
      </c>
      <c r="I217" s="1">
        <v>249.89</v>
      </c>
      <c r="J217" s="7">
        <f t="shared" si="7"/>
        <v>-1.988547223093827E-2</v>
      </c>
      <c r="K217" s="7">
        <v>1.6147202403304532E-2</v>
      </c>
    </row>
    <row r="218" spans="1:11">
      <c r="A218" t="s">
        <v>230</v>
      </c>
      <c r="B218" s="1">
        <v>393.82</v>
      </c>
      <c r="C218" s="7">
        <f t="shared" si="6"/>
        <v>-1.8150087260034975E-2</v>
      </c>
      <c r="D218" s="7">
        <v>1.479350206243317E-2</v>
      </c>
      <c r="H218" t="s">
        <v>230</v>
      </c>
      <c r="I218" s="1">
        <v>247.23</v>
      </c>
      <c r="J218" s="7">
        <f t="shared" si="7"/>
        <v>-1.0644683660810743E-2</v>
      </c>
      <c r="K218" s="7">
        <v>1.621397938454594E-2</v>
      </c>
    </row>
    <row r="219" spans="1:11">
      <c r="A219" t="s">
        <v>231</v>
      </c>
      <c r="B219" s="1">
        <v>402.29</v>
      </c>
      <c r="C219" s="7">
        <f t="shared" si="6"/>
        <v>2.1507287593316812E-2</v>
      </c>
      <c r="D219" s="7">
        <v>1.510666335631475E-2</v>
      </c>
      <c r="H219" t="s">
        <v>231</v>
      </c>
      <c r="I219" s="1">
        <v>249.99</v>
      </c>
      <c r="J219" s="7">
        <f t="shared" si="7"/>
        <v>1.1163693726489583E-2</v>
      </c>
      <c r="K219" s="7">
        <v>1.6241299303944221E-2</v>
      </c>
    </row>
    <row r="220" spans="1:11">
      <c r="A220" t="s">
        <v>232</v>
      </c>
      <c r="B220" s="1">
        <v>397.75</v>
      </c>
      <c r="C220" s="7">
        <f t="shared" si="6"/>
        <v>-1.1285391135747894E-2</v>
      </c>
      <c r="D220" s="7">
        <v>1.519477870691411E-2</v>
      </c>
      <c r="H220" t="s">
        <v>232</v>
      </c>
      <c r="I220" s="1">
        <v>247.55</v>
      </c>
      <c r="J220" s="7">
        <f t="shared" si="7"/>
        <v>-9.7603904156166148E-3</v>
      </c>
      <c r="K220" s="7">
        <v>1.6325027617527962E-2</v>
      </c>
    </row>
    <row r="221" spans="1:11">
      <c r="A221" t="s">
        <v>233</v>
      </c>
      <c r="B221" s="1">
        <v>390.34</v>
      </c>
      <c r="C221" s="7">
        <f t="shared" si="6"/>
        <v>-1.862979258328102E-2</v>
      </c>
      <c r="D221" s="7">
        <v>1.529472864191115E-2</v>
      </c>
      <c r="H221" t="s">
        <v>233</v>
      </c>
      <c r="I221" s="1">
        <v>244.85</v>
      </c>
      <c r="J221" s="7">
        <f t="shared" si="7"/>
        <v>-1.0906887497475325E-2</v>
      </c>
      <c r="K221" s="7">
        <v>1.6340795315008871E-2</v>
      </c>
    </row>
    <row r="222" spans="1:11">
      <c r="A222" t="s">
        <v>234</v>
      </c>
      <c r="B222" s="1">
        <v>381.58</v>
      </c>
      <c r="C222" s="7">
        <f t="shared" si="6"/>
        <v>-2.2441973663985221E-2</v>
      </c>
      <c r="D222" s="7">
        <v>1.582941163225321E-2</v>
      </c>
      <c r="H222" t="s">
        <v>234</v>
      </c>
      <c r="I222" s="1">
        <v>233.66</v>
      </c>
      <c r="J222" s="7">
        <f t="shared" si="7"/>
        <v>-4.5701449867265667E-2</v>
      </c>
      <c r="K222" s="7">
        <v>1.634889932762279E-2</v>
      </c>
    </row>
    <row r="223" spans="1:11">
      <c r="A223" t="s">
        <v>235</v>
      </c>
      <c r="B223" s="1">
        <v>381.7</v>
      </c>
      <c r="C223" s="7">
        <f t="shared" si="6"/>
        <v>3.1448189108445034E-4</v>
      </c>
      <c r="D223" s="7">
        <v>1.5857264368747299E-2</v>
      </c>
      <c r="H223" t="s">
        <v>235</v>
      </c>
      <c r="I223" s="1">
        <v>232.11</v>
      </c>
      <c r="J223" s="7">
        <f t="shared" si="7"/>
        <v>-6.6335701446545532E-3</v>
      </c>
      <c r="K223" s="7">
        <v>1.6935766935767E-2</v>
      </c>
    </row>
    <row r="224" spans="1:11">
      <c r="A224" t="s">
        <v>236</v>
      </c>
      <c r="B224" s="1">
        <v>389.1</v>
      </c>
      <c r="C224" s="7">
        <f t="shared" si="6"/>
        <v>1.9386953104532444E-2</v>
      </c>
      <c r="D224" s="7">
        <v>1.6160091599875189E-2</v>
      </c>
      <c r="H224" t="s">
        <v>236</v>
      </c>
      <c r="I224" s="1">
        <v>231.39</v>
      </c>
      <c r="J224" s="7">
        <f t="shared" si="7"/>
        <v>-3.1019775106631651E-3</v>
      </c>
      <c r="K224" s="7">
        <v>1.7100337385034841E-2</v>
      </c>
    </row>
    <row r="225" spans="1:11">
      <c r="A225" t="s">
        <v>237</v>
      </c>
      <c r="B225" s="1">
        <v>393.35</v>
      </c>
      <c r="C225" s="7">
        <f t="shared" si="6"/>
        <v>1.0922641994345925E-2</v>
      </c>
      <c r="D225" s="7">
        <v>1.6267902972100248E-2</v>
      </c>
      <c r="H225" t="s">
        <v>237</v>
      </c>
      <c r="I225" s="1">
        <v>230.86</v>
      </c>
      <c r="J225" s="7">
        <f t="shared" si="7"/>
        <v>-2.2905052076579485E-3</v>
      </c>
      <c r="K225" s="7">
        <v>1.771687903648107E-2</v>
      </c>
    </row>
    <row r="226" spans="1:11">
      <c r="A226" t="s">
        <v>238</v>
      </c>
      <c r="B226" s="1">
        <v>390.54</v>
      </c>
      <c r="C226" s="7">
        <f t="shared" si="6"/>
        <v>-7.1437650946993827E-3</v>
      </c>
      <c r="D226" s="7">
        <v>1.6332336063563751E-2</v>
      </c>
      <c r="H226" t="s">
        <v>238</v>
      </c>
      <c r="I226" s="1">
        <v>226.65</v>
      </c>
      <c r="J226" s="7">
        <f t="shared" si="7"/>
        <v>-1.8236160443558899E-2</v>
      </c>
      <c r="K226" s="7">
        <v>1.8095948297290509E-2</v>
      </c>
    </row>
    <row r="227" spans="1:11">
      <c r="A227" t="s">
        <v>239</v>
      </c>
      <c r="B227" s="1">
        <v>451.1</v>
      </c>
      <c r="C227" s="7">
        <f t="shared" si="6"/>
        <v>0.15506734265376146</v>
      </c>
      <c r="D227" s="7">
        <v>1.6450864817856809E-2</v>
      </c>
      <c r="H227" t="s">
        <v>239</v>
      </c>
      <c r="I227" s="1">
        <v>235.5</v>
      </c>
      <c r="J227" s="7">
        <f t="shared" si="7"/>
        <v>3.9046988749172708E-2</v>
      </c>
      <c r="K227" s="7">
        <v>1.868274801939214E-2</v>
      </c>
    </row>
    <row r="228" spans="1:11">
      <c r="A228" t="s">
        <v>240</v>
      </c>
      <c r="B228" s="1">
        <v>464.72</v>
      </c>
      <c r="C228" s="7">
        <f t="shared" si="6"/>
        <v>3.0192861893150087E-2</v>
      </c>
      <c r="D228" s="7">
        <v>1.6508443249600969E-2</v>
      </c>
      <c r="H228" t="s">
        <v>240</v>
      </c>
      <c r="I228" s="1">
        <v>271.58</v>
      </c>
      <c r="J228" s="7">
        <f t="shared" si="7"/>
        <v>0.15320594479830141</v>
      </c>
      <c r="K228" s="7">
        <v>1.9413235936321362E-2</v>
      </c>
    </row>
    <row r="229" spans="1:11">
      <c r="A229" t="s">
        <v>241</v>
      </c>
      <c r="B229" s="1">
        <v>487.65</v>
      </c>
      <c r="C229" s="7">
        <f t="shared" si="6"/>
        <v>4.9341538991220409E-2</v>
      </c>
      <c r="D229" s="7">
        <v>1.6770284718647228E-2</v>
      </c>
      <c r="H229" t="s">
        <v>241</v>
      </c>
      <c r="I229" s="1">
        <v>284.02</v>
      </c>
      <c r="J229" s="7">
        <f t="shared" si="7"/>
        <v>4.5806024007658881E-2</v>
      </c>
      <c r="K229" s="7">
        <v>1.958105646630233E-2</v>
      </c>
    </row>
    <row r="230" spans="1:11">
      <c r="A230" t="s">
        <v>242</v>
      </c>
      <c r="B230" s="1">
        <v>492.81</v>
      </c>
      <c r="C230" s="7">
        <f t="shared" si="6"/>
        <v>1.058135958166723E-2</v>
      </c>
      <c r="D230" s="7">
        <v>1.7507101557306039E-2</v>
      </c>
      <c r="H230" t="s">
        <v>242</v>
      </c>
      <c r="I230" s="1">
        <v>277.42</v>
      </c>
      <c r="J230" s="7">
        <f t="shared" si="7"/>
        <v>-2.323780015491855E-2</v>
      </c>
      <c r="K230" s="7">
        <v>1.9598401309770419E-2</v>
      </c>
    </row>
    <row r="231" spans="1:11">
      <c r="A231" t="s">
        <v>243</v>
      </c>
      <c r="B231" s="1">
        <v>487.46</v>
      </c>
      <c r="C231" s="7">
        <f t="shared" si="6"/>
        <v>-1.0856110874373538E-2</v>
      </c>
      <c r="D231" s="7">
        <v>1.7841044885636991E-2</v>
      </c>
      <c r="H231" t="s">
        <v>243</v>
      </c>
      <c r="I231" s="1">
        <v>272.64999999999998</v>
      </c>
      <c r="J231" s="7">
        <f t="shared" si="7"/>
        <v>-1.7194146060125579E-2</v>
      </c>
      <c r="K231" s="7">
        <v>2.024395463299803E-2</v>
      </c>
    </row>
    <row r="232" spans="1:11">
      <c r="A232" t="s">
        <v>244</v>
      </c>
      <c r="B232" s="1">
        <v>499.86</v>
      </c>
      <c r="C232" s="7">
        <f t="shared" si="6"/>
        <v>2.5437984655151263E-2</v>
      </c>
      <c r="D232" s="7">
        <v>1.7967006043447548E-2</v>
      </c>
      <c r="H232" t="s">
        <v>244</v>
      </c>
      <c r="I232" s="1">
        <v>272.26</v>
      </c>
      <c r="J232" s="7">
        <f t="shared" si="7"/>
        <v>-1.430405281496374E-3</v>
      </c>
      <c r="K232" s="7">
        <v>2.0568404881795649E-2</v>
      </c>
    </row>
    <row r="233" spans="1:11">
      <c r="A233" t="s">
        <v>245</v>
      </c>
      <c r="B233" s="1">
        <v>499.99</v>
      </c>
      <c r="C233" s="7">
        <f t="shared" si="6"/>
        <v>2.6007282038969999E-4</v>
      </c>
      <c r="D233" s="7">
        <v>1.847751700817199E-2</v>
      </c>
      <c r="H233" t="s">
        <v>245</v>
      </c>
      <c r="I233" s="1">
        <v>274.48</v>
      </c>
      <c r="J233" s="7">
        <f t="shared" si="7"/>
        <v>8.153970469404347E-3</v>
      </c>
      <c r="K233" s="7">
        <v>2.1263620100829359E-2</v>
      </c>
    </row>
    <row r="234" spans="1:11">
      <c r="A234" t="s">
        <v>246</v>
      </c>
      <c r="B234" s="1">
        <v>506.06</v>
      </c>
      <c r="C234" s="7">
        <f t="shared" si="6"/>
        <v>1.2140242804856084E-2</v>
      </c>
      <c r="D234" s="7">
        <v>1.897528386719834E-2</v>
      </c>
      <c r="H234" t="s">
        <v>246</v>
      </c>
      <c r="I234" s="1">
        <v>278.08999999999997</v>
      </c>
      <c r="J234" s="7">
        <f t="shared" si="7"/>
        <v>1.3152142232585094E-2</v>
      </c>
      <c r="K234" s="7">
        <v>2.156919513607411E-2</v>
      </c>
    </row>
    <row r="235" spans="1:11">
      <c r="A235" t="s">
        <v>247</v>
      </c>
      <c r="B235" s="1">
        <v>503.81</v>
      </c>
      <c r="C235" s="7">
        <f t="shared" si="6"/>
        <v>-4.4461131091174961E-3</v>
      </c>
      <c r="D235" s="7">
        <v>1.938695310453244E-2</v>
      </c>
      <c r="H235" t="s">
        <v>247</v>
      </c>
      <c r="I235" s="1">
        <v>272.27</v>
      </c>
      <c r="J235" s="7">
        <f t="shared" si="7"/>
        <v>-2.0928476392534767E-2</v>
      </c>
      <c r="K235" s="7">
        <v>2.1807850826297531E-2</v>
      </c>
    </row>
    <row r="236" spans="1:11">
      <c r="A236" t="s">
        <v>248</v>
      </c>
      <c r="B236" s="1">
        <v>492.43</v>
      </c>
      <c r="C236" s="7">
        <f t="shared" si="6"/>
        <v>-2.2587880351719887E-2</v>
      </c>
      <c r="D236" s="7">
        <v>1.9732461715392589E-2</v>
      </c>
      <c r="H236" t="s">
        <v>248</v>
      </c>
      <c r="I236" s="1">
        <v>267.27999999999997</v>
      </c>
      <c r="J236" s="7">
        <f t="shared" si="7"/>
        <v>-1.832739559995596E-2</v>
      </c>
      <c r="K236" s="7">
        <v>2.1863191177604751E-2</v>
      </c>
    </row>
    <row r="237" spans="1:11">
      <c r="A237" t="s">
        <v>249</v>
      </c>
      <c r="B237" s="1">
        <v>496.88</v>
      </c>
      <c r="C237" s="7">
        <f t="shared" si="6"/>
        <v>9.0368174156732709E-3</v>
      </c>
      <c r="D237" s="7">
        <v>1.9848735701384838E-2</v>
      </c>
      <c r="H237" t="s">
        <v>249</v>
      </c>
      <c r="I237" s="1">
        <v>265.13</v>
      </c>
      <c r="J237" s="7">
        <f t="shared" si="7"/>
        <v>-8.0439988027535825E-3</v>
      </c>
      <c r="K237" s="7">
        <v>2.3226371914106161E-2</v>
      </c>
    </row>
    <row r="238" spans="1:11">
      <c r="A238" t="s">
        <v>250</v>
      </c>
      <c r="B238" s="1">
        <v>495.4</v>
      </c>
      <c r="C238" s="7">
        <f t="shared" si="6"/>
        <v>-2.978586379005028E-3</v>
      </c>
      <c r="D238" s="7">
        <v>2.065258393059221E-2</v>
      </c>
      <c r="H238" t="s">
        <v>250</v>
      </c>
      <c r="I238" s="1">
        <v>262.64999999999998</v>
      </c>
      <c r="J238" s="7">
        <f t="shared" si="7"/>
        <v>-9.3539018594652364E-3</v>
      </c>
      <c r="K238" s="7">
        <v>2.4629022933127721E-2</v>
      </c>
    </row>
    <row r="239" spans="1:11">
      <c r="A239" t="s">
        <v>251</v>
      </c>
      <c r="B239" s="1">
        <v>480.35</v>
      </c>
      <c r="C239" s="7">
        <f t="shared" si="6"/>
        <v>-3.0379491320145245E-2</v>
      </c>
      <c r="D239" s="7">
        <v>2.133493686109442E-2</v>
      </c>
      <c r="H239" t="s">
        <v>251</v>
      </c>
      <c r="I239" s="1">
        <v>261.31</v>
      </c>
      <c r="J239" s="7">
        <f t="shared" si="7"/>
        <v>-5.1018465638681711E-3</v>
      </c>
      <c r="K239" s="7">
        <v>2.472765652681971E-2</v>
      </c>
    </row>
    <row r="240" spans="1:11">
      <c r="A240" t="s">
        <v>252</v>
      </c>
      <c r="B240" s="1">
        <v>481.63</v>
      </c>
      <c r="C240" s="7">
        <f t="shared" si="6"/>
        <v>2.6647236390131626E-3</v>
      </c>
      <c r="D240" s="7">
        <v>2.1507287593316809E-2</v>
      </c>
      <c r="H240" t="s">
        <v>252</v>
      </c>
      <c r="I240" s="1">
        <v>259.45</v>
      </c>
      <c r="J240" s="7">
        <f t="shared" si="7"/>
        <v>-7.1179824729249302E-3</v>
      </c>
      <c r="K240" s="7">
        <v>2.481131649116455E-2</v>
      </c>
    </row>
    <row r="241" spans="1:11">
      <c r="A241" t="s">
        <v>253</v>
      </c>
      <c r="B241" s="1">
        <v>484.31</v>
      </c>
      <c r="C241" s="7">
        <f t="shared" si="6"/>
        <v>5.564437431223152E-3</v>
      </c>
      <c r="D241" s="7">
        <v>2.1687445636416409E-2</v>
      </c>
      <c r="H241" t="s">
        <v>253</v>
      </c>
      <c r="I241" s="1">
        <v>265.83999999999997</v>
      </c>
      <c r="J241" s="7">
        <f t="shared" si="7"/>
        <v>2.4629022933127718E-2</v>
      </c>
      <c r="K241" s="7">
        <v>2.5020924188361781E-2</v>
      </c>
    </row>
    <row r="242" spans="1:11">
      <c r="A242" t="s">
        <v>254</v>
      </c>
      <c r="B242" s="1">
        <v>481.15</v>
      </c>
      <c r="C242" s="7">
        <f t="shared" si="6"/>
        <v>-6.5247465466334066E-3</v>
      </c>
      <c r="D242" s="7">
        <v>2.1901845708939379E-2</v>
      </c>
      <c r="H242" t="s">
        <v>254</v>
      </c>
      <c r="I242" s="1">
        <v>260.11</v>
      </c>
      <c r="J242" s="7">
        <f t="shared" si="7"/>
        <v>-2.1554318386999557E-2</v>
      </c>
      <c r="K242" s="7">
        <v>2.532964792242514E-2</v>
      </c>
    </row>
    <row r="243" spans="1:11">
      <c r="A243" t="s">
        <v>255</v>
      </c>
      <c r="B243" s="1">
        <v>483.24</v>
      </c>
      <c r="C243" s="7">
        <f t="shared" si="6"/>
        <v>4.3437597422841777E-3</v>
      </c>
      <c r="D243" s="7">
        <v>2.1983366567773849E-2</v>
      </c>
      <c r="H243" t="s">
        <v>255</v>
      </c>
      <c r="I243" s="1">
        <v>258.63</v>
      </c>
      <c r="J243" s="7">
        <f t="shared" si="7"/>
        <v>-5.6899004267426017E-3</v>
      </c>
      <c r="K243" s="7">
        <v>2.5627257639363469E-2</v>
      </c>
    </row>
    <row r="244" spans="1:11">
      <c r="A244" t="s">
        <v>256</v>
      </c>
      <c r="B244" s="1">
        <v>487.31</v>
      </c>
      <c r="C244" s="7">
        <f t="shared" si="6"/>
        <v>8.4223160334409262E-3</v>
      </c>
      <c r="D244" s="7">
        <v>2.273850716757294E-2</v>
      </c>
      <c r="H244" t="s">
        <v>256</v>
      </c>
      <c r="I244" s="1">
        <v>262.07</v>
      </c>
      <c r="J244" s="7">
        <f t="shared" si="7"/>
        <v>1.3300854502571232E-2</v>
      </c>
      <c r="K244" s="7">
        <v>2.56374722838138E-2</v>
      </c>
    </row>
    <row r="245" spans="1:11">
      <c r="A245" t="s">
        <v>257</v>
      </c>
      <c r="B245" s="1">
        <v>491.71</v>
      </c>
      <c r="C245" s="7">
        <f t="shared" si="6"/>
        <v>9.02916008290406E-3</v>
      </c>
      <c r="D245" s="7">
        <v>2.2832267235252252E-2</v>
      </c>
      <c r="H245" t="s">
        <v>257</v>
      </c>
      <c r="I245" s="1">
        <v>261.06</v>
      </c>
      <c r="J245" s="7">
        <f t="shared" si="7"/>
        <v>-3.8539321555309306E-3</v>
      </c>
      <c r="K245" s="7">
        <v>2.625618656153016E-2</v>
      </c>
    </row>
    <row r="246" spans="1:11">
      <c r="A246" t="s">
        <v>258</v>
      </c>
      <c r="B246" s="1">
        <v>496.37</v>
      </c>
      <c r="C246" s="7">
        <f t="shared" si="6"/>
        <v>9.4771308291473136E-3</v>
      </c>
      <c r="D246" s="7">
        <v>2.308440395147664E-2</v>
      </c>
      <c r="H246" t="s">
        <v>258</v>
      </c>
      <c r="I246" s="1">
        <v>260.27999999999997</v>
      </c>
      <c r="J246" s="7">
        <f t="shared" si="7"/>
        <v>-2.9878188922088009E-3</v>
      </c>
      <c r="K246" s="7">
        <v>2.8962472406181029E-2</v>
      </c>
    </row>
    <row r="247" spans="1:11">
      <c r="A247" t="s">
        <v>259</v>
      </c>
      <c r="B247" s="1">
        <v>505.06</v>
      </c>
      <c r="C247" s="7">
        <f t="shared" si="6"/>
        <v>1.7507101557306039E-2</v>
      </c>
      <c r="D247" s="7">
        <v>2.543798465515126E-2</v>
      </c>
      <c r="H247" t="s">
        <v>259</v>
      </c>
      <c r="I247" s="1">
        <v>256.26</v>
      </c>
      <c r="J247" s="7">
        <f t="shared" si="7"/>
        <v>-1.5444905486399194E-2</v>
      </c>
      <c r="K247" s="7">
        <v>2.9010526315789421E-2</v>
      </c>
    </row>
    <row r="248" spans="1:11">
      <c r="A248" t="s">
        <v>260</v>
      </c>
      <c r="B248" s="1">
        <v>513.53</v>
      </c>
      <c r="C248" s="7">
        <f t="shared" si="6"/>
        <v>1.6770284718647232E-2</v>
      </c>
      <c r="D248" s="7">
        <v>2.6770258846262249E-2</v>
      </c>
      <c r="H248" t="s">
        <v>260</v>
      </c>
      <c r="I248" s="1">
        <v>266.43</v>
      </c>
      <c r="J248" s="7">
        <f t="shared" si="7"/>
        <v>3.9686256146101682E-2</v>
      </c>
      <c r="K248" s="7">
        <v>3.018303769849286E-2</v>
      </c>
    </row>
    <row r="249" spans="1:11">
      <c r="A249" t="s">
        <v>261</v>
      </c>
      <c r="B249" s="1">
        <v>507.29</v>
      </c>
      <c r="C249" s="7">
        <f t="shared" si="6"/>
        <v>-1.2151188830253252E-2</v>
      </c>
      <c r="D249" s="7">
        <v>2.7797261839814999E-2</v>
      </c>
      <c r="H249" t="s">
        <v>261</v>
      </c>
      <c r="I249" s="1">
        <v>259.77</v>
      </c>
      <c r="J249" s="7">
        <f t="shared" si="7"/>
        <v>-2.4997185001689091E-2</v>
      </c>
      <c r="K249" s="7">
        <v>3.131418989729616E-2</v>
      </c>
    </row>
    <row r="250" spans="1:11">
      <c r="A250" t="s">
        <v>262</v>
      </c>
      <c r="B250" s="1">
        <v>501.02</v>
      </c>
      <c r="C250" s="7">
        <f t="shared" si="6"/>
        <v>-1.2359794200555971E-2</v>
      </c>
      <c r="D250" s="7">
        <v>2.9820051413881811E-2</v>
      </c>
      <c r="H250" t="s">
        <v>262</v>
      </c>
      <c r="I250" s="1">
        <v>254.92</v>
      </c>
      <c r="J250" s="7">
        <f t="shared" si="7"/>
        <v>-1.8670362243523097E-2</v>
      </c>
      <c r="K250" s="7">
        <v>3.20168464480639E-2</v>
      </c>
    </row>
    <row r="251" spans="1:11">
      <c r="A251" t="s">
        <v>263</v>
      </c>
      <c r="B251" s="1">
        <v>496.82</v>
      </c>
      <c r="C251" s="7">
        <f t="shared" si="6"/>
        <v>-8.3828988862719826E-3</v>
      </c>
      <c r="D251" s="7">
        <v>3.0186049005415241E-2</v>
      </c>
      <c r="H251" t="s">
        <v>263</v>
      </c>
      <c r="I251" s="1">
        <v>254.98</v>
      </c>
      <c r="J251" s="7">
        <f t="shared" si="7"/>
        <v>2.3536795857524823E-4</v>
      </c>
      <c r="K251" s="7">
        <v>3.3768128378958227E-2</v>
      </c>
    </row>
    <row r="252" spans="1:11">
      <c r="A252" t="s">
        <v>264</v>
      </c>
      <c r="B252" s="1">
        <v>510.12</v>
      </c>
      <c r="C252" s="7">
        <f t="shared" si="6"/>
        <v>2.6770258846262249E-2</v>
      </c>
      <c r="D252" s="7">
        <v>3.019286189315009E-2</v>
      </c>
      <c r="H252" t="s">
        <v>264</v>
      </c>
      <c r="I252" s="1">
        <v>258.89999999999998</v>
      </c>
      <c r="J252" s="7">
        <f t="shared" si="7"/>
        <v>1.5373754804298327E-2</v>
      </c>
      <c r="K252" s="7">
        <v>3.4930217970832657E-2</v>
      </c>
    </row>
    <row r="253" spans="1:11">
      <c r="A253" t="s">
        <v>265</v>
      </c>
      <c r="B253" s="1">
        <v>499.7</v>
      </c>
      <c r="C253" s="7">
        <f t="shared" si="6"/>
        <v>-2.0426566298125962E-2</v>
      </c>
      <c r="D253" s="7">
        <v>3.0505825171580021E-2</v>
      </c>
      <c r="H253" t="s">
        <v>265</v>
      </c>
      <c r="I253" s="1">
        <v>258.51</v>
      </c>
      <c r="J253" s="7">
        <f t="shared" si="7"/>
        <v>-1.5063731170335511E-3</v>
      </c>
      <c r="K253" s="7">
        <v>3.4990878046498523E-2</v>
      </c>
    </row>
    <row r="254" spans="1:11">
      <c r="A254" t="s">
        <v>266</v>
      </c>
      <c r="B254" s="1">
        <v>493.95</v>
      </c>
      <c r="C254" s="7">
        <f t="shared" si="6"/>
        <v>-1.1506904142485492E-2</v>
      </c>
      <c r="D254" s="7">
        <v>3.1061474796829129E-2</v>
      </c>
      <c r="H254" t="s">
        <v>266</v>
      </c>
      <c r="I254" s="1">
        <v>256.97000000000003</v>
      </c>
      <c r="J254" s="7">
        <f t="shared" si="7"/>
        <v>-5.9572163552665805E-3</v>
      </c>
      <c r="K254" s="7">
        <v>3.6426971883553233E-2</v>
      </c>
    </row>
    <row r="255" spans="1:11">
      <c r="A255" t="s">
        <v>267</v>
      </c>
      <c r="B255" s="1">
        <v>491.65</v>
      </c>
      <c r="C255" s="7">
        <f t="shared" si="6"/>
        <v>-4.6563417349934433E-3</v>
      </c>
      <c r="D255" s="7">
        <v>3.1229106307109528E-2</v>
      </c>
      <c r="H255" t="s">
        <v>267</v>
      </c>
      <c r="I255" s="1">
        <v>252.4</v>
      </c>
      <c r="J255" s="7">
        <f t="shared" si="7"/>
        <v>-1.7784177141300622E-2</v>
      </c>
      <c r="K255" s="7">
        <v>3.8059110425611838E-2</v>
      </c>
    </row>
    <row r="256" spans="1:11">
      <c r="A256" t="s">
        <v>268</v>
      </c>
      <c r="B256" s="1">
        <v>492.44</v>
      </c>
      <c r="C256" s="7">
        <f t="shared" si="6"/>
        <v>1.6068341299705492E-3</v>
      </c>
      <c r="D256" s="7">
        <v>3.2827946978764913E-2</v>
      </c>
      <c r="H256" t="s">
        <v>268</v>
      </c>
      <c r="I256" s="1">
        <v>251.89</v>
      </c>
      <c r="J256" s="7">
        <f t="shared" si="7"/>
        <v>-2.0206022187005518E-3</v>
      </c>
      <c r="K256" s="7">
        <v>3.8758204378862661E-2</v>
      </c>
    </row>
    <row r="257" spans="1:11">
      <c r="A257" t="s">
        <v>269</v>
      </c>
      <c r="B257" s="1">
        <v>495.63</v>
      </c>
      <c r="C257" s="7">
        <f t="shared" si="6"/>
        <v>6.477946551864182E-3</v>
      </c>
      <c r="D257" s="7">
        <v>3.4700850558557671E-2</v>
      </c>
      <c r="H257" t="s">
        <v>269</v>
      </c>
      <c r="I257" s="1">
        <v>256.77999999999997</v>
      </c>
      <c r="J257" s="7">
        <f t="shared" si="7"/>
        <v>1.9413235936321358E-2</v>
      </c>
      <c r="K257" s="7">
        <v>3.9046988749172708E-2</v>
      </c>
    </row>
    <row r="258" spans="1:11">
      <c r="A258" t="s">
        <v>270</v>
      </c>
      <c r="B258" s="1">
        <v>505.41</v>
      </c>
      <c r="C258" s="7">
        <f t="shared" si="6"/>
        <v>1.9732461715392592E-2</v>
      </c>
      <c r="D258" s="7">
        <v>3.6400895192385471E-2</v>
      </c>
      <c r="H258" t="s">
        <v>270</v>
      </c>
      <c r="I258" s="1">
        <v>253.54</v>
      </c>
      <c r="J258" s="7">
        <f t="shared" si="7"/>
        <v>-1.2617805125009662E-2</v>
      </c>
      <c r="K258" s="7">
        <v>3.9686256146101682E-2</v>
      </c>
    </row>
    <row r="259" spans="1:11">
      <c r="A259" t="s">
        <v>271</v>
      </c>
      <c r="B259" s="1">
        <v>497.12</v>
      </c>
      <c r="C259" s="7">
        <f t="shared" si="6"/>
        <v>-1.6402524682930731E-2</v>
      </c>
      <c r="D259" s="7">
        <v>4.6068530436773447E-2</v>
      </c>
      <c r="H259" t="s">
        <v>271</v>
      </c>
      <c r="I259" s="1">
        <v>248.42</v>
      </c>
      <c r="J259" s="7">
        <f t="shared" si="7"/>
        <v>-2.0194052220556934E-2</v>
      </c>
      <c r="K259" s="7">
        <v>4.0045860289902549E-2</v>
      </c>
    </row>
    <row r="260" spans="1:11">
      <c r="A260" t="s">
        <v>272</v>
      </c>
      <c r="B260" s="1">
        <v>490.3</v>
      </c>
      <c r="C260" s="7">
        <f t="shared" si="6"/>
        <v>-1.3719021564209835E-2</v>
      </c>
      <c r="D260" s="7">
        <v>4.9341538991220409E-2</v>
      </c>
      <c r="H260" t="s">
        <v>272</v>
      </c>
      <c r="I260" s="1">
        <v>245.96</v>
      </c>
      <c r="J260" s="7">
        <f t="shared" si="7"/>
        <v>-9.9025843329843804E-3</v>
      </c>
      <c r="K260" s="7">
        <v>4.5806024007658881E-2</v>
      </c>
    </row>
    <row r="261" spans="1:11">
      <c r="A261" t="s">
        <v>273</v>
      </c>
      <c r="B261" s="1">
        <v>497.75</v>
      </c>
      <c r="C261" s="7">
        <f t="shared" si="6"/>
        <v>1.5194778706914111E-2</v>
      </c>
      <c r="D261" s="7">
        <v>5.4450923909225041E-2</v>
      </c>
      <c r="H261" t="s">
        <v>273</v>
      </c>
      <c r="I261" s="1">
        <v>251.19</v>
      </c>
      <c r="J261" s="7">
        <f t="shared" si="7"/>
        <v>2.1263620100829359E-2</v>
      </c>
      <c r="K261" s="7">
        <v>5.6045197740113017E-2</v>
      </c>
    </row>
    <row r="262" spans="1:11">
      <c r="A262" t="s">
        <v>274</v>
      </c>
      <c r="B262" s="1">
        <v>493.78</v>
      </c>
      <c r="C262" s="7">
        <f t="shared" si="6"/>
        <v>-7.9758915118031681E-3</v>
      </c>
      <c r="D262" s="7">
        <v>5.7081313947226833E-2</v>
      </c>
      <c r="H262" t="s">
        <v>274</v>
      </c>
      <c r="I262" s="1">
        <v>253.71</v>
      </c>
      <c r="J262" s="7">
        <f t="shared" si="7"/>
        <v>1.0032246506628489E-2</v>
      </c>
      <c r="K262" s="7">
        <v>9.5844925065063202E-2</v>
      </c>
    </row>
    <row r="263" spans="1:11">
      <c r="A263" t="s">
        <v>275</v>
      </c>
      <c r="B263" s="1">
        <v>501.61</v>
      </c>
      <c r="C263" s="7">
        <f t="shared" si="6"/>
        <v>1.5857264368747299E-2</v>
      </c>
      <c r="D263" s="7">
        <v>0.15506734265376149</v>
      </c>
      <c r="H263" t="s">
        <v>275</v>
      </c>
      <c r="I263" s="1">
        <v>258.45</v>
      </c>
      <c r="J263" s="7">
        <f t="shared" si="7"/>
        <v>1.8682748019392143E-2</v>
      </c>
      <c r="K263" s="7">
        <v>0.15320594479830141</v>
      </c>
    </row>
  </sheetData>
  <mergeCells count="7">
    <mergeCell ref="M13:P14"/>
    <mergeCell ref="M2:P2"/>
    <mergeCell ref="M4:P5"/>
    <mergeCell ref="M7:P8"/>
    <mergeCell ref="M10:P11"/>
    <mergeCell ref="A11:D11"/>
    <mergeCell ref="H11:K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TUGAS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Geovany Bramanthya Samuel Sihombing</dc:creator>
  <cp:lastModifiedBy>Geovany Bramanthya Samuel Sihombing</cp:lastModifiedBy>
  <dcterms:created xsi:type="dcterms:W3CDTF">2026-09-22T05:12:11Z</dcterms:created>
  <dcterms:modified xsi:type="dcterms:W3CDTF">2026-09-22T05:12:11Z</dcterms:modified>
</cp:coreProperties>
</file>