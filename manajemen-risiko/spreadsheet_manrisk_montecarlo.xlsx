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2" autoFilterDateGrouping="1"/>
  </bookViews>
  <sheets>
    <sheet xmlns:r="http://schemas.openxmlformats.org/officeDocument/2006/relationships" name="Tugas 1" sheetId="1" state="visible" r:id="rId1"/>
    <sheet xmlns:r="http://schemas.openxmlformats.org/officeDocument/2006/relationships" name="Tugas 2" sheetId="2" state="visible" r:id="rId2"/>
    <sheet xmlns:r="http://schemas.openxmlformats.org/officeDocument/2006/relationships" name="Tugas 3" sheetId="3" state="visible" r:id="rId3"/>
    <sheet xmlns:r="http://schemas.openxmlformats.org/officeDocument/2006/relationships" name="Tugas 4 - Simulasi Baru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\$#,##0.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b val="1"/>
      <sz val="11"/>
    </font>
    <font>
      <name val="Calibri"/>
      <sz val="11"/>
    </font>
    <font>
      <name val="Calibri"/>
      <b val="1"/>
      <color rgb="FF1F497D"/>
      <sz val="11"/>
    </font>
  </fonts>
  <fills count="9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4" tint="0.7999816888943144"/>
        <bgColor rgb="FFFFF2CC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1" pivotButton="0" quotePrefix="0" xfId="0"/>
    <xf numFmtId="0" fontId="1" fillId="2" borderId="1" pivotButton="0" quotePrefix="0" xfId="0"/>
    <xf numFmtId="14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1" fillId="4" borderId="0" pivotButton="0" quotePrefix="0" xfId="0"/>
    <xf numFmtId="0" fontId="1" fillId="5" borderId="1" pivotButton="0" quotePrefix="0" xfId="0"/>
    <xf numFmtId="2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4" fontId="5" fillId="0" borderId="0" pivotButton="0" quotePrefix="0" xfId="0"/>
    <xf numFmtId="0" fontId="4" fillId="0" borderId="0" applyAlignment="1" pivotButton="0" quotePrefix="0" xfId="0">
      <alignment horizontal="center" vertical="center"/>
    </xf>
    <xf numFmtId="165" fontId="4" fillId="0" borderId="0" pivotButton="0" quotePrefix="0" xfId="0"/>
    <xf numFmtId="10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164" fontId="6" fillId="0" borderId="0" pivotButton="0" quotePrefix="0" xfId="0"/>
    <xf numFmtId="10" fontId="6" fillId="0" borderId="0" pivotButton="0" quotePrefix="0" xfId="0"/>
    <xf numFmtId="0" fontId="0" fillId="0" borderId="0" applyAlignment="1" pivotButton="0" quotePrefix="0" xfId="0">
      <alignment horizontal="center"/>
    </xf>
    <xf numFmtId="0" fontId="6" fillId="8" borderId="2" applyAlignment="1" pivotButton="0" quotePrefix="0" xfId="0">
      <alignment horizontal="left"/>
    </xf>
    <xf numFmtId="0" fontId="6" fillId="8" borderId="2" applyAlignment="1" pivotButton="0" quotePrefix="0" xfId="0">
      <alignment horizontal="center"/>
    </xf>
    <xf numFmtId="0" fontId="7" fillId="0" borderId="3" pivotButton="0" quotePrefix="0" xfId="0"/>
    <xf numFmtId="0" fontId="7" fillId="0" borderId="3" applyAlignment="1" pivotButton="0" quotePrefix="0" xfId="0">
      <alignment horizontal="center"/>
    </xf>
    <xf numFmtId="165" fontId="6" fillId="6" borderId="0" pivotButton="0" quotePrefix="0" xfId="0"/>
    <xf numFmtId="0" fontId="6" fillId="6" borderId="3" applyAlignment="1" pivotButton="0" quotePrefix="0" xfId="0">
      <alignment horizontal="center"/>
    </xf>
    <xf numFmtId="0" fontId="8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6" fillId="7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NVIDIA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'Tugas 2'!$B$10</f>
              <strCache>
                <ptCount val="1"/>
                <pt idx="0">
                  <v>Penutupan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'Tugas 2'!$A$11:$A$261</f>
              <numCache>
                <formatCode>m/d/yyyy</formatCode>
                <ptCount val="251"/>
                <pt idx="0">
                  <v>46279</v>
                </pt>
                <pt idx="1">
                  <v>46276</v>
                </pt>
                <pt idx="2">
                  <v>46275</v>
                </pt>
                <pt idx="3">
                  <v>46274</v>
                </pt>
                <pt idx="4">
                  <v>46273</v>
                </pt>
                <pt idx="5">
                  <v>46269</v>
                </pt>
                <pt idx="6">
                  <v>46268</v>
                </pt>
                <pt idx="7">
                  <v>46267</v>
                </pt>
                <pt idx="8">
                  <v>46266</v>
                </pt>
                <pt idx="9">
                  <v>46265</v>
                </pt>
                <pt idx="10">
                  <v>46262</v>
                </pt>
                <pt idx="11">
                  <v>46261</v>
                </pt>
                <pt idx="12">
                  <v>46260</v>
                </pt>
                <pt idx="13">
                  <v>46259</v>
                </pt>
                <pt idx="14">
                  <v>46258</v>
                </pt>
                <pt idx="15">
                  <v>46255</v>
                </pt>
                <pt idx="16">
                  <v>46254</v>
                </pt>
                <pt idx="17">
                  <v>46253</v>
                </pt>
                <pt idx="18">
                  <v>46252</v>
                </pt>
                <pt idx="19">
                  <v>46251</v>
                </pt>
                <pt idx="20">
                  <v>46248</v>
                </pt>
                <pt idx="21">
                  <v>46247</v>
                </pt>
                <pt idx="22">
                  <v>46246</v>
                </pt>
                <pt idx="23">
                  <v>46245</v>
                </pt>
                <pt idx="24">
                  <v>46244</v>
                </pt>
                <pt idx="25">
                  <v>46241</v>
                </pt>
                <pt idx="26">
                  <v>46240</v>
                </pt>
                <pt idx="27">
                  <v>46239</v>
                </pt>
                <pt idx="28">
                  <v>46238</v>
                </pt>
                <pt idx="29">
                  <v>46237</v>
                </pt>
                <pt idx="30">
                  <v>46234</v>
                </pt>
                <pt idx="31">
                  <v>46233</v>
                </pt>
                <pt idx="32">
                  <v>46232</v>
                </pt>
                <pt idx="33">
                  <v>46231</v>
                </pt>
                <pt idx="34">
                  <v>46230</v>
                </pt>
                <pt idx="35">
                  <v>46227</v>
                </pt>
                <pt idx="36">
                  <v>46226</v>
                </pt>
                <pt idx="37">
                  <v>46225</v>
                </pt>
                <pt idx="38">
                  <v>46224</v>
                </pt>
                <pt idx="39">
                  <v>46223</v>
                </pt>
                <pt idx="40">
                  <v>46220</v>
                </pt>
                <pt idx="41">
                  <v>46219</v>
                </pt>
                <pt idx="42">
                  <v>46218</v>
                </pt>
                <pt idx="43">
                  <v>46217</v>
                </pt>
                <pt idx="44">
                  <v>46216</v>
                </pt>
                <pt idx="45">
                  <v>46213</v>
                </pt>
                <pt idx="46">
                  <v>46212</v>
                </pt>
                <pt idx="47">
                  <v>46211</v>
                </pt>
                <pt idx="48">
                  <v>46210</v>
                </pt>
                <pt idx="49">
                  <v>46209</v>
                </pt>
                <pt idx="50">
                  <v>46205</v>
                </pt>
                <pt idx="51">
                  <v>46204</v>
                </pt>
                <pt idx="52">
                  <v>46203</v>
                </pt>
                <pt idx="53">
                  <v>46202</v>
                </pt>
                <pt idx="54">
                  <v>46199</v>
                </pt>
                <pt idx="55">
                  <v>46198</v>
                </pt>
                <pt idx="56">
                  <v>46197</v>
                </pt>
                <pt idx="57">
                  <v>46196</v>
                </pt>
                <pt idx="58">
                  <v>46195</v>
                </pt>
                <pt idx="59">
                  <v>46191</v>
                </pt>
                <pt idx="60">
                  <v>46190</v>
                </pt>
                <pt idx="61">
                  <v>46189</v>
                </pt>
                <pt idx="62">
                  <v>46188</v>
                </pt>
                <pt idx="63">
                  <v>46185</v>
                </pt>
                <pt idx="64">
                  <v>46184</v>
                </pt>
                <pt idx="65">
                  <v>46183</v>
                </pt>
                <pt idx="66">
                  <v>46182</v>
                </pt>
                <pt idx="67">
                  <v>46181</v>
                </pt>
                <pt idx="68">
                  <v>46178</v>
                </pt>
                <pt idx="69">
                  <v>46177</v>
                </pt>
                <pt idx="70">
                  <v>46176</v>
                </pt>
                <pt idx="71">
                  <v>46175</v>
                </pt>
                <pt idx="72">
                  <v>46174</v>
                </pt>
                <pt idx="73">
                  <v>46171</v>
                </pt>
                <pt idx="74">
                  <v>46170</v>
                </pt>
                <pt idx="75">
                  <v>46169</v>
                </pt>
                <pt idx="76">
                  <v>46168</v>
                </pt>
                <pt idx="77">
                  <v>46164</v>
                </pt>
                <pt idx="78">
                  <v>46163</v>
                </pt>
                <pt idx="79">
                  <v>46162</v>
                </pt>
                <pt idx="80">
                  <v>46161</v>
                </pt>
                <pt idx="81">
                  <v>46160</v>
                </pt>
                <pt idx="82">
                  <v>46157</v>
                </pt>
                <pt idx="83">
                  <v>46156</v>
                </pt>
                <pt idx="84">
                  <v>46155</v>
                </pt>
                <pt idx="85">
                  <v>46154</v>
                </pt>
                <pt idx="86">
                  <v>46153</v>
                </pt>
                <pt idx="87">
                  <v>46150</v>
                </pt>
                <pt idx="88">
                  <v>46149</v>
                </pt>
                <pt idx="89">
                  <v>46148</v>
                </pt>
                <pt idx="90">
                  <v>46147</v>
                </pt>
                <pt idx="91">
                  <v>46146</v>
                </pt>
                <pt idx="92">
                  <v>46143</v>
                </pt>
                <pt idx="93">
                  <v>46142</v>
                </pt>
                <pt idx="94">
                  <v>46141</v>
                </pt>
                <pt idx="95">
                  <v>46140</v>
                </pt>
                <pt idx="96">
                  <v>46139</v>
                </pt>
                <pt idx="97">
                  <v>46136</v>
                </pt>
                <pt idx="98">
                  <v>46135</v>
                </pt>
                <pt idx="99">
                  <v>46134</v>
                </pt>
                <pt idx="100">
                  <v>46133</v>
                </pt>
                <pt idx="101">
                  <v>46132</v>
                </pt>
                <pt idx="102">
                  <v>46129</v>
                </pt>
                <pt idx="103">
                  <v>46128</v>
                </pt>
                <pt idx="104">
                  <v>46127</v>
                </pt>
                <pt idx="105">
                  <v>46126</v>
                </pt>
                <pt idx="106">
                  <v>46125</v>
                </pt>
                <pt idx="107">
                  <v>46122</v>
                </pt>
                <pt idx="108">
                  <v>46121</v>
                </pt>
                <pt idx="109">
                  <v>46120</v>
                </pt>
                <pt idx="110">
                  <v>46119</v>
                </pt>
                <pt idx="111">
                  <v>46118</v>
                </pt>
                <pt idx="112">
                  <v>46114</v>
                </pt>
                <pt idx="113">
                  <v>46113</v>
                </pt>
              </numCache>
            </numRef>
          </cat>
          <val>
            <numRef>
              <f>'Tugas 2'!$B$11:$B$261</f>
              <numCache>
                <formatCode>General</formatCode>
                <ptCount val="251"/>
                <pt idx="0">
                  <v>210.96</v>
                </pt>
                <pt idx="1">
                  <v>218.29</v>
                </pt>
                <pt idx="2">
                  <v>218.36</v>
                </pt>
                <pt idx="3">
                  <v>223.67</v>
                </pt>
                <pt idx="4">
                  <v>225.73</v>
                </pt>
                <pt idx="5">
                  <v>230.36</v>
                </pt>
                <pt idx="6">
                  <v>228.45</v>
                </pt>
                <pt idx="7">
                  <v>224.41</v>
                </pt>
                <pt idx="8">
                  <v>217.44</v>
                </pt>
                <pt idx="9">
                  <v>220.78</v>
                </pt>
                <pt idx="10">
                  <v>217.55</v>
                </pt>
                <pt idx="11">
                  <v>227.98</v>
                </pt>
                <pt idx="12">
                  <v>209.66</v>
                </pt>
                <pt idx="13">
                  <v>213.05</v>
                </pt>
                <pt idx="14">
                  <v>208.48</v>
                </pt>
                <pt idx="15">
                  <v>214.72</v>
                </pt>
                <pt idx="16">
                  <v>216.85</v>
                </pt>
                <pt idx="17">
                  <v>217.56</v>
                </pt>
                <pt idx="18">
                  <v>219.74</v>
                </pt>
                <pt idx="19">
                  <v>225.01</v>
                </pt>
                <pt idx="20">
                  <v>225.16</v>
                </pt>
                <pt idx="21">
                  <v>225.3</v>
                </pt>
                <pt idx="22">
                  <v>224.09</v>
                </pt>
                <pt idx="23">
                  <v>217.5</v>
                </pt>
                <pt idx="24">
                  <v>217.55</v>
                </pt>
                <pt idx="25">
                  <v>223.96</v>
                </pt>
                <pt idx="26">
                  <v>218.99</v>
                </pt>
                <pt idx="27">
                  <v>219.22</v>
                </pt>
                <pt idx="28">
                  <v>211.94</v>
                </pt>
                <pt idx="29">
                  <v>206.64</v>
                </pt>
                <pt idx="30">
                  <v>200.75</v>
                </pt>
                <pt idx="31">
                  <v>195.04</v>
                </pt>
                <pt idx="32">
                  <v>190.01</v>
                </pt>
                <pt idx="33">
                  <v>197.01</v>
                </pt>
                <pt idx="34">
                  <v>196.51</v>
                </pt>
                <pt idx="35">
                  <v>206.84</v>
                </pt>
                <pt idx="36">
                  <v>208.76</v>
                </pt>
                <pt idx="37">
                  <v>212.06</v>
                </pt>
                <pt idx="38">
                  <v>207.29</v>
                </pt>
                <pt idx="39">
                  <v>203.28</v>
                </pt>
                <pt idx="40">
                  <v>202.81</v>
                </pt>
                <pt idx="41">
                  <v>207.4</v>
                </pt>
                <pt idx="42">
                  <v>212.5</v>
                </pt>
                <pt idx="43">
                  <v>211.8</v>
                </pt>
                <pt idx="44">
                  <v>203.53</v>
                </pt>
                <pt idx="45">
                  <v>210.96</v>
                </pt>
                <pt idx="46">
                  <v>202.78</v>
                </pt>
                <pt idx="47">
                  <v>204.12</v>
                </pt>
                <pt idx="48">
                  <v>196.93</v>
                </pt>
                <pt idx="49">
                  <v>195.55</v>
                </pt>
                <pt idx="50">
                  <v>194.83</v>
                </pt>
                <pt idx="51">
                  <v>197.58</v>
                </pt>
                <pt idx="52">
                  <v>200.09</v>
                </pt>
                <pt idx="53">
                  <v>194.97</v>
                </pt>
                <pt idx="54">
                  <v>192.53</v>
                </pt>
                <pt idx="55">
                  <v>195.74</v>
                </pt>
                <pt idx="56">
                  <v>199</v>
                </pt>
                <pt idx="57">
                  <v>200.04</v>
                </pt>
                <pt idx="58">
                  <v>208.65</v>
                </pt>
                <pt idx="59">
                  <v>210.69</v>
                </pt>
                <pt idx="60">
                  <v>204.65</v>
                </pt>
                <pt idx="61">
                  <v>207.41</v>
                </pt>
                <pt idx="62">
                  <v>212.45</v>
                </pt>
                <pt idx="63">
                  <v>205.19</v>
                </pt>
                <pt idx="64">
                  <v>204.87</v>
                </pt>
                <pt idx="65">
                  <v>200.42</v>
                </pt>
                <pt idx="66">
                  <v>208.19</v>
                </pt>
                <pt idx="67">
                  <v>208.64</v>
                </pt>
                <pt idx="68">
                  <v>205.1</v>
                </pt>
                <pt idx="69">
                  <v>218.66</v>
                </pt>
                <pt idx="70">
                  <v>214.75</v>
                </pt>
                <pt idx="71">
                  <v>222.82</v>
                </pt>
                <pt idx="72">
                  <v>224.36</v>
                </pt>
                <pt idx="73">
                  <v>211.14</v>
                </pt>
                <pt idx="74">
                  <v>214.25</v>
                </pt>
                <pt idx="75">
                  <v>212.6</v>
                </pt>
                <pt idx="76">
                  <v>214.86</v>
                </pt>
                <pt idx="77">
                  <v>215.33</v>
                </pt>
                <pt idx="78">
                  <v>219.51</v>
                </pt>
                <pt idx="79">
                  <v>223.47</v>
                </pt>
                <pt idx="80">
                  <v>220.61</v>
                </pt>
                <pt idx="81">
                  <v>222.32</v>
                </pt>
                <pt idx="82">
                  <v>225.32</v>
                </pt>
                <pt idx="83">
                  <v>235.74</v>
                </pt>
                <pt idx="84">
                  <v>225.83</v>
                </pt>
                <pt idx="85">
                  <v>220.78</v>
                </pt>
                <pt idx="86">
                  <v>219.44</v>
                </pt>
                <pt idx="87">
                  <v>215.2</v>
                </pt>
                <pt idx="88">
                  <v>211.5</v>
                </pt>
                <pt idx="89">
                  <v>207.83</v>
                </pt>
                <pt idx="90">
                  <v>196.5</v>
                </pt>
                <pt idx="91">
                  <v>198.48</v>
                </pt>
                <pt idx="92">
                  <v>198.45</v>
                </pt>
                <pt idx="93">
                  <v>199.57</v>
                </pt>
                <pt idx="94">
                  <v>209.25</v>
                </pt>
                <pt idx="95">
                  <v>213.17</v>
                </pt>
                <pt idx="96">
                  <v>216.61</v>
                </pt>
                <pt idx="97">
                  <v>208.27</v>
                </pt>
                <pt idx="98">
                  <v>199.64</v>
                </pt>
                <pt idx="99">
                  <v>202.5</v>
                </pt>
                <pt idx="100">
                  <v>199.88</v>
                </pt>
                <pt idx="101">
                  <v>202.06</v>
                </pt>
                <pt idx="102">
                  <v>201.68</v>
                </pt>
                <pt idx="103">
                  <v>198.35</v>
                </pt>
                <pt idx="104">
                  <v>198.87</v>
                </pt>
                <pt idx="105">
                  <v>196.51</v>
                </pt>
                <pt idx="106">
                  <v>189.31</v>
                </pt>
                <pt idx="107">
                  <v>188.63</v>
                </pt>
                <pt idx="108">
                  <v>183.91</v>
                </pt>
                <pt idx="109">
                  <v>182.08</v>
                </pt>
                <pt idx="110">
                  <v>178.1</v>
                </pt>
                <pt idx="111">
                  <v>177.64</v>
                </pt>
                <pt idx="112">
                  <v>177.39</v>
                </pt>
                <pt idx="113">
                  <v>175.75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9845583"/>
        <axId val="1849276239"/>
      </lineChart>
      <dateAx>
        <axId val="49845583"/>
        <scaling>
          <orientation val="minMax"/>
        </scaling>
        <delete val="0"/>
        <axPos val="b"/>
        <numFmt formatCode="m/d/yy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id-ID"/>
          </a:p>
        </txPr>
        <crossAx val="1849276239"/>
        <crosses val="autoZero"/>
        <lblOffset val="100"/>
        <baseTimeUnit val="days"/>
      </dateAx>
      <valAx>
        <axId val="184927623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id-ID"/>
          </a:p>
        </txPr>
        <crossAx val="4984558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AMD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'Tugas 2'!$I$10</f>
              <strCache>
                <ptCount val="1"/>
                <pt idx="0">
                  <v>Closing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'Tugas 2'!$H$11:$H$261</f>
              <numCache>
                <formatCode>m/d/yyyy</formatCode>
                <ptCount val="251"/>
                <pt idx="0">
                  <v>46279</v>
                </pt>
                <pt idx="1">
                  <v>46276</v>
                </pt>
                <pt idx="2">
                  <v>46275</v>
                </pt>
                <pt idx="3">
                  <v>46274</v>
                </pt>
                <pt idx="4">
                  <v>46273</v>
                </pt>
                <pt idx="5">
                  <v>46269</v>
                </pt>
                <pt idx="6">
                  <v>46268</v>
                </pt>
                <pt idx="7">
                  <v>46267</v>
                </pt>
                <pt idx="8">
                  <v>46266</v>
                </pt>
                <pt idx="9">
                  <v>46265</v>
                </pt>
                <pt idx="10">
                  <v>46262</v>
                </pt>
                <pt idx="11">
                  <v>46261</v>
                </pt>
                <pt idx="12">
                  <v>46260</v>
                </pt>
                <pt idx="13">
                  <v>46259</v>
                </pt>
                <pt idx="14">
                  <v>46258</v>
                </pt>
                <pt idx="15">
                  <v>46255</v>
                </pt>
                <pt idx="16">
                  <v>46254</v>
                </pt>
                <pt idx="17">
                  <v>46253</v>
                </pt>
                <pt idx="18">
                  <v>46252</v>
                </pt>
                <pt idx="19">
                  <v>46251</v>
                </pt>
                <pt idx="20">
                  <v>46248</v>
                </pt>
                <pt idx="21">
                  <v>46247</v>
                </pt>
                <pt idx="22">
                  <v>46246</v>
                </pt>
                <pt idx="23">
                  <v>46245</v>
                </pt>
                <pt idx="24">
                  <v>46244</v>
                </pt>
                <pt idx="25">
                  <v>46241</v>
                </pt>
                <pt idx="26">
                  <v>46240</v>
                </pt>
                <pt idx="27">
                  <v>46239</v>
                </pt>
                <pt idx="28">
                  <v>46238</v>
                </pt>
                <pt idx="29">
                  <v>46237</v>
                </pt>
                <pt idx="30">
                  <v>46234</v>
                </pt>
                <pt idx="31">
                  <v>46233</v>
                </pt>
                <pt idx="32">
                  <v>46232</v>
                </pt>
                <pt idx="33">
                  <v>46231</v>
                </pt>
                <pt idx="34">
                  <v>46230</v>
                </pt>
                <pt idx="35">
                  <v>46227</v>
                </pt>
                <pt idx="36">
                  <v>46226</v>
                </pt>
                <pt idx="37">
                  <v>46225</v>
                </pt>
                <pt idx="38">
                  <v>46224</v>
                </pt>
                <pt idx="39">
                  <v>46223</v>
                </pt>
                <pt idx="40">
                  <v>46220</v>
                </pt>
                <pt idx="41">
                  <v>46219</v>
                </pt>
                <pt idx="42">
                  <v>46218</v>
                </pt>
                <pt idx="43">
                  <v>46217</v>
                </pt>
                <pt idx="44">
                  <v>46216</v>
                </pt>
                <pt idx="45">
                  <v>46213</v>
                </pt>
                <pt idx="46">
                  <v>46212</v>
                </pt>
                <pt idx="47">
                  <v>46211</v>
                </pt>
                <pt idx="48">
                  <v>46210</v>
                </pt>
                <pt idx="49">
                  <v>46209</v>
                </pt>
                <pt idx="50">
                  <v>46205</v>
                </pt>
                <pt idx="51">
                  <v>46204</v>
                </pt>
                <pt idx="52">
                  <v>46203</v>
                </pt>
                <pt idx="53">
                  <v>46202</v>
                </pt>
                <pt idx="54">
                  <v>46199</v>
                </pt>
                <pt idx="55">
                  <v>46198</v>
                </pt>
                <pt idx="56">
                  <v>46197</v>
                </pt>
                <pt idx="57">
                  <v>46196</v>
                </pt>
                <pt idx="58">
                  <v>46195</v>
                </pt>
                <pt idx="59">
                  <v>46191</v>
                </pt>
                <pt idx="60">
                  <v>46190</v>
                </pt>
                <pt idx="61">
                  <v>46189</v>
                </pt>
                <pt idx="62">
                  <v>46188</v>
                </pt>
                <pt idx="63">
                  <v>46185</v>
                </pt>
                <pt idx="64">
                  <v>46184</v>
                </pt>
                <pt idx="65">
                  <v>46183</v>
                </pt>
                <pt idx="66">
                  <v>46182</v>
                </pt>
                <pt idx="67">
                  <v>46181</v>
                </pt>
                <pt idx="68">
                  <v>46178</v>
                </pt>
                <pt idx="69">
                  <v>46177</v>
                </pt>
                <pt idx="70">
                  <v>46176</v>
                </pt>
                <pt idx="71">
                  <v>46175</v>
                </pt>
                <pt idx="72">
                  <v>46174</v>
                </pt>
                <pt idx="73">
                  <v>46171</v>
                </pt>
                <pt idx="74">
                  <v>46170</v>
                </pt>
                <pt idx="75">
                  <v>46169</v>
                </pt>
                <pt idx="76">
                  <v>46168</v>
                </pt>
                <pt idx="77">
                  <v>46164</v>
                </pt>
                <pt idx="78">
                  <v>46163</v>
                </pt>
                <pt idx="79">
                  <v>46162</v>
                </pt>
                <pt idx="80">
                  <v>46161</v>
                </pt>
                <pt idx="81">
                  <v>46160</v>
                </pt>
                <pt idx="82">
                  <v>46157</v>
                </pt>
                <pt idx="83">
                  <v>46156</v>
                </pt>
                <pt idx="84">
                  <v>46155</v>
                </pt>
                <pt idx="85">
                  <v>46154</v>
                </pt>
                <pt idx="86">
                  <v>46153</v>
                </pt>
                <pt idx="87">
                  <v>46150</v>
                </pt>
                <pt idx="88">
                  <v>46149</v>
                </pt>
                <pt idx="89">
                  <v>46148</v>
                </pt>
                <pt idx="90">
                  <v>46147</v>
                </pt>
                <pt idx="91">
                  <v>46146</v>
                </pt>
                <pt idx="92">
                  <v>46143</v>
                </pt>
                <pt idx="93">
                  <v>46142</v>
                </pt>
                <pt idx="94">
                  <v>46141</v>
                </pt>
                <pt idx="95">
                  <v>46140</v>
                </pt>
                <pt idx="96">
                  <v>46139</v>
                </pt>
                <pt idx="97">
                  <v>46136</v>
                </pt>
                <pt idx="98">
                  <v>46135</v>
                </pt>
                <pt idx="99">
                  <v>46134</v>
                </pt>
                <pt idx="100">
                  <v>46133</v>
                </pt>
                <pt idx="101">
                  <v>46132</v>
                </pt>
                <pt idx="102">
                  <v>46129</v>
                </pt>
                <pt idx="103">
                  <v>46128</v>
                </pt>
                <pt idx="104">
                  <v>46127</v>
                </pt>
                <pt idx="105">
                  <v>46126</v>
                </pt>
                <pt idx="106">
                  <v>46125</v>
                </pt>
                <pt idx="107">
                  <v>46122</v>
                </pt>
                <pt idx="108">
                  <v>46121</v>
                </pt>
                <pt idx="109">
                  <v>46120</v>
                </pt>
                <pt idx="110">
                  <v>46119</v>
                </pt>
                <pt idx="111">
                  <v>46118</v>
                </pt>
                <pt idx="112">
                  <v>46114</v>
                </pt>
                <pt idx="113">
                  <v>46113</v>
                </pt>
              </numCache>
            </numRef>
          </cat>
          <val>
            <numRef>
              <f>'Tugas 2'!$I$11:$I$261</f>
              <numCache>
                <formatCode>General</formatCode>
                <ptCount val="251"/>
                <pt idx="0">
                  <v>493.41</v>
                </pt>
                <pt idx="1">
                  <v>516.13</v>
                </pt>
                <pt idx="2">
                  <v>503.6</v>
                </pt>
                <pt idx="3">
                  <v>521.09</v>
                </pt>
                <pt idx="4">
                  <v>505.74</v>
                </pt>
                <pt idx="5">
                  <v>477.57</v>
                </pt>
                <pt idx="6">
                  <v>456.16</v>
                </pt>
                <pt idx="7">
                  <v>457.06</v>
                </pt>
                <pt idx="8">
                  <v>459.61</v>
                </pt>
                <pt idx="9">
                  <v>470.72</v>
                </pt>
                <pt idx="10">
                  <v>465.58</v>
                </pt>
                <pt idx="11">
                  <v>476.67</v>
                </pt>
                <pt idx="12">
                  <v>480.93</v>
                </pt>
                <pt idx="13">
                  <v>479.18</v>
                </pt>
                <pt idx="14">
                  <v>456.74</v>
                </pt>
                <pt idx="15">
                  <v>473.25</v>
                </pt>
                <pt idx="16">
                  <v>469.45</v>
                </pt>
                <pt idx="17">
                  <v>466.42</v>
                </pt>
                <pt idx="18">
                  <v>484.39</v>
                </pt>
                <pt idx="19">
                  <v>506</v>
                </pt>
                <pt idx="20">
                  <v>514.39</v>
                </pt>
                <pt idx="21">
                  <v>483.01</v>
                </pt>
                <pt idx="22">
                  <v>482.93</v>
                </pt>
                <pt idx="23">
                  <v>474.32</v>
                </pt>
                <pt idx="24">
                  <v>469.56</v>
                </pt>
                <pt idx="25">
                  <v>483.36</v>
                </pt>
                <pt idx="26">
                  <v>489.28</v>
                </pt>
                <pt idx="27">
                  <v>482.05</v>
                </pt>
                <pt idx="28">
                  <v>518.58</v>
                </pt>
                <pt idx="29">
                  <v>484.64</v>
                </pt>
                <pt idx="30">
                  <v>476.15</v>
                </pt>
                <pt idx="31">
                  <v>485.39</v>
                </pt>
                <pt idx="32">
                  <v>429.56</v>
                </pt>
                <pt idx="33">
                  <v>454.62</v>
                </pt>
                <pt idx="34">
                  <v>494.95</v>
                </pt>
                <pt idx="35">
                  <v>521.95</v>
                </pt>
                <pt idx="36">
                  <v>539.6900000000001</v>
                </pt>
                <pt idx="37">
                  <v>552.33</v>
                </pt>
                <pt idx="38">
                  <v>544.4299999999999</v>
                </pt>
                <pt idx="39">
                  <v>503.57</v>
                </pt>
                <pt idx="40">
                  <v>495.76</v>
                </pt>
                <pt idx="41">
                  <v>500.94</v>
                </pt>
                <pt idx="42">
                  <v>529.14</v>
                </pt>
                <pt idx="43">
                  <v>548.13</v>
                </pt>
                <pt idx="44">
                  <v>534.39</v>
                </pt>
                <pt idx="45">
                  <v>557.89</v>
                </pt>
                <pt idx="46">
                  <v>546.72</v>
                </pt>
                <pt idx="47">
                  <v>517.41</v>
                </pt>
                <pt idx="48">
                  <v>516.11</v>
                </pt>
                <pt idx="49">
                  <v>552.05</v>
                </pt>
                <pt idx="50">
                  <v>517.8200000000001</v>
                </pt>
                <pt idx="51">
                  <v>540.88</v>
                </pt>
                <pt idx="52">
                  <v>580.91</v>
                </pt>
                <pt idx="53">
                  <v>539.49</v>
                </pt>
                <pt idx="54">
                  <v>521.58</v>
                </pt>
                <pt idx="55">
                  <v>532.5700000000001</v>
                </pt>
                <pt idx="56">
                  <v>519.74</v>
                </pt>
                <pt idx="57">
                  <v>519.85</v>
                </pt>
                <pt idx="58">
                  <v>551.63</v>
                </pt>
                <pt idx="59">
                  <v>537.37</v>
                </pt>
                <pt idx="60">
                  <v>512.48</v>
                </pt>
                <pt idx="61">
                  <v>507.29</v>
                </pt>
                <pt idx="62">
                  <v>547.26</v>
                </pt>
                <pt idx="63">
                  <v>511.57</v>
                </pt>
                <pt idx="64">
                  <v>488.45</v>
                </pt>
                <pt idx="65">
                  <v>452.4</v>
                </pt>
                <pt idx="66">
                  <v>475.51</v>
                </pt>
                <pt idx="67">
                  <v>490.33</v>
                </pt>
                <pt idx="68">
                  <v>466.38</v>
                </pt>
                <pt idx="69">
                  <v>523.2</v>
                </pt>
                <pt idx="70">
                  <v>542.52</v>
                </pt>
                <pt idx="71">
                  <v>521.54</v>
                </pt>
                <pt idx="72">
                  <v>510.13</v>
                </pt>
                <pt idx="73">
                  <v>516.1</v>
                </pt>
                <pt idx="74">
                  <v>518.09</v>
                </pt>
                <pt idx="75">
                  <v>495.54</v>
                </pt>
                <pt idx="76">
                  <v>503.89</v>
                </pt>
                <pt idx="77">
                  <v>467.51</v>
                </pt>
                <pt idx="78">
                  <v>449.59</v>
                </pt>
                <pt idx="79">
                  <v>447.58</v>
                </pt>
                <pt idx="80">
                  <v>414.05</v>
                </pt>
                <pt idx="81">
                  <v>420.99</v>
                </pt>
                <pt idx="82">
                  <v>424.1</v>
                </pt>
                <pt idx="83">
                  <v>449.7</v>
                </pt>
                <pt idx="84">
                  <v>445.5</v>
                </pt>
                <pt idx="85">
                  <v>448.29</v>
                </pt>
                <pt idx="86">
                  <v>458.79</v>
                </pt>
                <pt idx="87">
                  <v>455.19</v>
                </pt>
                <pt idx="88">
                  <v>408.46</v>
                </pt>
                <pt idx="89">
                  <v>421.39</v>
                </pt>
                <pt idx="90">
                  <v>355.26</v>
                </pt>
                <pt idx="91">
                  <v>341.54</v>
                </pt>
                <pt idx="92">
                  <v>360.54</v>
                </pt>
                <pt idx="93">
                  <v>354.49</v>
                </pt>
                <pt idx="94">
                  <v>337.11</v>
                </pt>
                <pt idx="95">
                  <v>323.21</v>
                </pt>
                <pt idx="96">
                  <v>334.63</v>
                </pt>
                <pt idx="97">
                  <v>347.81</v>
                </pt>
                <pt idx="98">
                  <v>305.33</v>
                </pt>
                <pt idx="99">
                  <v>303.46</v>
                </pt>
                <pt idx="100">
                  <v>284.49</v>
                </pt>
                <pt idx="101">
                  <v>274.95</v>
                </pt>
                <pt idx="102">
                  <v>278.39</v>
                </pt>
                <pt idx="103">
                  <v>278.26</v>
                </pt>
                <pt idx="104">
                  <v>258.12</v>
                </pt>
                <pt idx="105">
                  <v>255.07</v>
                </pt>
                <pt idx="106">
                  <v>246.83</v>
                </pt>
                <pt idx="107">
                  <v>245.04</v>
                </pt>
                <pt idx="108">
                  <v>236.64</v>
                </pt>
                <pt idx="109">
                  <v>231.82</v>
                </pt>
                <pt idx="110">
                  <v>221.53</v>
                </pt>
                <pt idx="111">
                  <v>220.18</v>
                </pt>
                <pt idx="112">
                  <v>217.5</v>
                </pt>
                <pt idx="113">
                  <v>210.21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9746751"/>
        <axId val="1849240239"/>
      </lineChart>
      <dateAx>
        <axId val="49746751"/>
        <scaling>
          <orientation val="minMax"/>
        </scaling>
        <delete val="0"/>
        <axPos val="b"/>
        <numFmt formatCode="m/d/yy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id-ID"/>
          </a:p>
        </txPr>
        <crossAx val="1849240239"/>
        <crosses val="autoZero"/>
        <lblOffset val="100"/>
        <baseTimeUnit val="days"/>
      </dateAx>
      <valAx>
        <axId val="184924023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id-ID"/>
          </a:p>
        </txPr>
        <crossAx val="49746751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Relationship Type="http://schemas.openxmlformats.org/officeDocument/2006/relationships/image" Target="/xl/media/image2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>
    <from>
      <col>10</col>
      <colOff>417710</colOff>
      <row>9</row>
      <rowOff>166290</rowOff>
    </from>
    <to>
      <col>18</col>
      <colOff>147835</colOff>
      <row>24</row>
      <rowOff>81756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10</col>
      <colOff>397871</colOff>
      <row>25</row>
      <rowOff>67072</rowOff>
    </from>
    <to>
      <col>18</col>
      <colOff>127996</colOff>
      <row>39</row>
      <rowOff>171053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18</col>
      <colOff>510760</colOff>
      <row>10</row>
      <rowOff>13804</rowOff>
    </from>
    <to>
      <col>25</col>
      <colOff>39020</colOff>
      <row>24</row>
      <rowOff>21412</rowOff>
    </to>
    <pic>
      <nvPicPr>
        <cNvPr id="6" name="Gambar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396303" y="2167282"/>
          <a:ext cx="3780000" cy="252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26</row>
      <rowOff>0</rowOff>
    </from>
    <to>
      <col>24</col>
      <colOff>473044</colOff>
      <row>39</row>
      <rowOff>7066</rowOff>
    </to>
    <pic>
      <nvPicPr>
        <cNvPr id="7" name="Gambar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2492935" y="5024783"/>
          <a:ext cx="3510000" cy="234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18</col>
      <colOff>0</colOff>
      <row>30</row>
      <rowOff>0</rowOff>
    </from>
    <ext cx="26479500" cy="1885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261"/>
  <sheetViews>
    <sheetView zoomScale="64" workbookViewId="0">
      <selection activeCell="N5" sqref="N5"/>
    </sheetView>
  </sheetViews>
  <sheetFormatPr baseColWidth="8" defaultRowHeight="15"/>
  <cols>
    <col width="12.7109375" bestFit="1" customWidth="1" style="32" min="1" max="1"/>
    <col width="10" bestFit="1" customWidth="1" style="32" min="2" max="2"/>
    <col width="11" customWidth="1" style="32" min="3" max="3"/>
    <col width="11.7109375" bestFit="1" customWidth="1" style="32" min="8" max="8"/>
    <col width="11.85546875" bestFit="1" customWidth="1" style="32" min="10" max="10"/>
    <col width="50" customWidth="1" style="32" min="13" max="13"/>
  </cols>
  <sheetData>
    <row r="2">
      <c r="A2" s="1" t="inlineStr">
        <is>
          <t>Nilai Investasi (Vo)</t>
        </is>
      </c>
      <c r="C2" t="n">
        <v>100000</v>
      </c>
      <c r="H2" s="1" t="inlineStr">
        <is>
          <t>Nilai Investasi (Vo)</t>
        </is>
      </c>
      <c r="J2" t="n">
        <v>100000</v>
      </c>
      <c r="M2" s="11" t="inlineStr">
        <is>
          <t>Kesimpulan:</t>
        </is>
      </c>
    </row>
    <row r="3">
      <c r="A3" s="1" t="inlineStr">
        <is>
          <t>Holding Period (t)</t>
        </is>
      </c>
      <c r="C3" t="n">
        <v>1</v>
      </c>
      <c r="H3" s="1" t="inlineStr">
        <is>
          <t>Holding Period (t)</t>
        </is>
      </c>
      <c r="J3" t="n">
        <v>1</v>
      </c>
      <c r="M3" s="11" t="inlineStr">
        <is>
          <t>1. Saham Google:</t>
        </is>
      </c>
    </row>
    <row r="4">
      <c r="A4" s="1" t="inlineStr">
        <is>
          <t>Tingkat Signifikansi (alfa)</t>
        </is>
      </c>
      <c r="C4" s="4" t="n">
        <v>0.05</v>
      </c>
      <c r="H4" s="1" t="inlineStr">
        <is>
          <t>Tingkat Signifikansi (alfa)</t>
        </is>
      </c>
      <c r="J4" s="4" t="n">
        <v>0.05</v>
      </c>
      <c r="M4" s="12" t="inlineStr">
        <is>
          <t>Pada tingkat kepercayaan 95% dan holding period 1 hari dengan modal $100.000, estimasi kerugian maksimum (VaR) adalah sebesar $2.485,46 (2,49%). Artinya, terdapat keyakinan 95% bahwa kerugian harian tidak akan melebihi batas tersebut.</t>
        </is>
      </c>
    </row>
    <row r="5">
      <c r="A5" s="1" t="inlineStr">
        <is>
          <t>Tingkat Kepercayaan (1-alfa)</t>
        </is>
      </c>
      <c r="C5" s="4">
        <f>1-C4</f>
        <v/>
      </c>
      <c r="H5" s="1" t="inlineStr">
        <is>
          <t>Tingkat Kepercayaan (1-alfa)</t>
        </is>
      </c>
      <c r="J5" s="4">
        <f>1-J4</f>
        <v/>
      </c>
      <c r="M5" s="11" t="inlineStr">
        <is>
          <t>2. Saham Apple:</t>
        </is>
      </c>
    </row>
    <row r="6">
      <c r="A6" s="1" t="inlineStr">
        <is>
          <t>Nilai Persentil-alfa</t>
        </is>
      </c>
      <c r="C6" s="5">
        <f>ABS(PERCENTILE($C$14:$C$261, C4))</f>
        <v/>
      </c>
      <c r="H6" s="1" t="inlineStr">
        <is>
          <t>Nilai Persentil-alfa</t>
        </is>
      </c>
      <c r="J6" s="5">
        <f>ABS(PERCENTILE($J$14:$J$261, J4))</f>
        <v/>
      </c>
      <c r="M6" s="12" t="inlineStr">
        <is>
          <t>Pada tingkat kepercayaan 95% dan holding period 1 hari dengan modal $100.000, estimasi kerugian maksimum (VaR) adalah sebesar $2.023,60 (2,02%). Artinya, terdapat keyakinan 95% bahwa kerugian harian tidak akan melebihi batas tersebut.</t>
        </is>
      </c>
    </row>
    <row r="7">
      <c r="A7" s="1" t="inlineStr">
        <is>
          <t>Faktor Waktu (√t)</t>
        </is>
      </c>
      <c r="C7">
        <f>SQRT(C3)</f>
        <v/>
      </c>
      <c r="H7" s="1" t="inlineStr">
        <is>
          <t>Faktor Waktu (√t)</t>
        </is>
      </c>
      <c r="J7">
        <f>SQRT(J3)</f>
        <v/>
      </c>
      <c r="M7" s="11" t="inlineStr">
        <is>
          <t>3. Perbandingan Risiko:</t>
        </is>
      </c>
    </row>
    <row r="8">
      <c r="A8" s="2" t="inlineStr">
        <is>
          <t>Nilai VaR ($)</t>
        </is>
      </c>
      <c r="C8" s="6">
        <f>C2*C6*C7</f>
        <v/>
      </c>
      <c r="H8" s="9" t="inlineStr">
        <is>
          <t>Nilai VaR ($)</t>
        </is>
      </c>
      <c r="J8" s="6">
        <f>J2*J6*J7</f>
        <v/>
      </c>
      <c r="M8" s="12" t="inlineStr">
        <is>
          <t>Berdasarkan metode Historical Simulation, saham Google memiliki potensi risiko kerugian pasar yang lebih tinggi dibandingkan saham Apple ($2.485,46 &gt; $2.023,60).</t>
        </is>
      </c>
    </row>
    <row r="9">
      <c r="A9" s="2" t="inlineStr">
        <is>
          <t>Nilai VaR (%)</t>
        </is>
      </c>
      <c r="C9" s="4">
        <f>C7*C6</f>
        <v/>
      </c>
      <c r="H9" s="9" t="inlineStr">
        <is>
          <t>Nilai VaR (%)</t>
        </is>
      </c>
      <c r="J9" s="4">
        <f>J7*J6</f>
        <v/>
      </c>
    </row>
    <row r="10">
      <c r="A10" s="8" t="n"/>
    </row>
    <row r="11">
      <c r="A11" s="34" t="inlineStr">
        <is>
          <t>GOOGLE</t>
        </is>
      </c>
      <c r="H11" s="33" t="inlineStr">
        <is>
          <t>APPLE</t>
        </is>
      </c>
    </row>
    <row r="12">
      <c r="A12" t="inlineStr">
        <is>
          <t>Tanggal</t>
        </is>
      </c>
      <c r="B12" t="inlineStr">
        <is>
          <t>Penutupan</t>
        </is>
      </c>
      <c r="C12" t="inlineStr">
        <is>
          <t>Return</t>
        </is>
      </c>
      <c r="D12" t="inlineStr">
        <is>
          <t>sort</t>
        </is>
      </c>
      <c r="H12" t="inlineStr">
        <is>
          <t>Tanggal</t>
        </is>
      </c>
      <c r="I12" t="inlineStr">
        <is>
          <t>Closing</t>
        </is>
      </c>
      <c r="J12" t="inlineStr">
        <is>
          <t>Return</t>
        </is>
      </c>
      <c r="K12" t="inlineStr">
        <is>
          <t>sort</t>
        </is>
      </c>
    </row>
    <row r="13">
      <c r="A13" s="3" t="inlineStr">
        <is>
          <t>2025-09-10</t>
        </is>
      </c>
      <c r="B13" s="7" t="n">
        <v>239.56</v>
      </c>
      <c r="C13" t="inlineStr">
        <is>
          <t>-</t>
        </is>
      </c>
      <c r="D13" s="4" t="n"/>
      <c r="H13" s="3" t="inlineStr">
        <is>
          <t>2025-09-10</t>
        </is>
      </c>
      <c r="I13" s="7" t="n">
        <v>226.79</v>
      </c>
      <c r="J13" t="inlineStr">
        <is>
          <t>-</t>
        </is>
      </c>
      <c r="K13" s="4" t="n"/>
    </row>
    <row r="14">
      <c r="A14" s="3" t="inlineStr">
        <is>
          <t>2025-09-11</t>
        </is>
      </c>
      <c r="B14" s="7" t="n">
        <v>240.78</v>
      </c>
      <c r="C14" s="4">
        <f>(B14-B13)/B13</f>
        <v/>
      </c>
      <c r="D14" s="4">
        <f t="array" ref="D14:D261">_xlfn._xlws.SORT(C14:C261,1,1)</f>
        <v/>
      </c>
      <c r="H14" s="3" t="inlineStr">
        <is>
          <t>2025-09-11</t>
        </is>
      </c>
      <c r="I14" s="7" t="n">
        <v>230.03</v>
      </c>
      <c r="J14" s="4">
        <f>(I14-I13)/I13</f>
        <v/>
      </c>
      <c r="K14" s="4">
        <f t="array" ref="K14:K261">_xlfn._xlws.SORT(J14:J261,1,1)</f>
        <v/>
      </c>
    </row>
    <row r="15">
      <c r="A15" s="3" t="inlineStr">
        <is>
          <t>2025-09-12</t>
        </is>
      </c>
      <c r="B15" s="7" t="n">
        <v>241.38</v>
      </c>
      <c r="C15" s="4">
        <f>(B15-B14)/B14</f>
        <v/>
      </c>
      <c r="D15" s="4" t="n">
        <v>-0.05083546508463509</v>
      </c>
      <c r="H15" s="3" t="inlineStr">
        <is>
          <t>2025-09-12</t>
        </is>
      </c>
      <c r="I15" s="7" t="n">
        <v>234.07</v>
      </c>
      <c r="J15" s="4">
        <f>(I15-I14)/I14</f>
        <v/>
      </c>
      <c r="K15" s="4" t="n">
        <v>-0.06117783540330288</v>
      </c>
    </row>
    <row r="16">
      <c r="A16" s="3" t="inlineStr">
        <is>
          <t>2025-09-15</t>
        </is>
      </c>
      <c r="B16" s="7" t="n">
        <v>251.76</v>
      </c>
      <c r="C16" s="4">
        <f>(B16-B15)/B15</f>
        <v/>
      </c>
      <c r="D16" s="4" t="n">
        <v>-0.04429918154560919</v>
      </c>
      <c r="H16" s="3" t="inlineStr">
        <is>
          <t>2025-09-15</t>
        </is>
      </c>
      <c r="I16" s="7" t="n">
        <v>236.7</v>
      </c>
      <c r="J16" s="4">
        <f>(I16-I15)/I15</f>
        <v/>
      </c>
      <c r="K16" s="4" t="n">
        <v>-0.04998185117967326</v>
      </c>
    </row>
    <row r="17">
      <c r="A17" t="inlineStr">
        <is>
          <t>2025-09-16</t>
        </is>
      </c>
      <c r="B17" s="7" t="n">
        <v>251.42</v>
      </c>
      <c r="C17" s="4">
        <f>(B17-B16)/B16</f>
        <v/>
      </c>
      <c r="D17" s="4" t="n">
        <v>-0.04054882110030645</v>
      </c>
      <c r="H17" t="inlineStr">
        <is>
          <t>2025-09-16</t>
        </is>
      </c>
      <c r="I17" s="7" t="n">
        <v>238.15</v>
      </c>
      <c r="J17" s="4">
        <f>(I17-I16)/I16</f>
        <v/>
      </c>
      <c r="K17" s="4" t="n">
        <v>-0.03644624262121114</v>
      </c>
    </row>
    <row r="18">
      <c r="A18" t="inlineStr">
        <is>
          <t>2025-09-17</t>
        </is>
      </c>
      <c r="B18" s="7" t="n">
        <v>249.85</v>
      </c>
      <c r="C18" s="4">
        <f>(B18-B17)/B17</f>
        <v/>
      </c>
      <c r="D18" s="4" t="n">
        <v>-0.03808578023511729</v>
      </c>
      <c r="H18" t="inlineStr">
        <is>
          <t>2025-09-17</t>
        </is>
      </c>
      <c r="I18" s="7" t="n">
        <v>238.99</v>
      </c>
      <c r="J18" s="4">
        <f>(I18-I17)/I17</f>
        <v/>
      </c>
      <c r="K18" s="4" t="n">
        <v>-0.03455562947599113</v>
      </c>
    </row>
    <row r="19">
      <c r="A19" t="inlineStr">
        <is>
          <t>2025-09-18</t>
        </is>
      </c>
      <c r="B19" s="7" t="n">
        <v>252.33</v>
      </c>
      <c r="C19" s="4">
        <f>(B19-B18)/B18</f>
        <v/>
      </c>
      <c r="D19" s="4" t="n">
        <v>-0.03608363309352512</v>
      </c>
      <c r="H19" t="inlineStr">
        <is>
          <t>2025-09-18</t>
        </is>
      </c>
      <c r="I19" s="7" t="n">
        <v>237.88</v>
      </c>
      <c r="J19" s="4">
        <f>(I19-I18)/I18</f>
        <v/>
      </c>
      <c r="K19" s="4" t="n">
        <v>-0.03452212250039357</v>
      </c>
    </row>
    <row r="20">
      <c r="A20" t="inlineStr">
        <is>
          <t>2025-09-19</t>
        </is>
      </c>
      <c r="B20" s="7" t="n">
        <v>255.24</v>
      </c>
      <c r="C20" s="4">
        <f>(B20-B19)/B19</f>
        <v/>
      </c>
      <c r="D20" s="4" t="n">
        <v>-0.03284061266804894</v>
      </c>
      <c r="H20" t="inlineStr">
        <is>
          <t>2025-09-19</t>
        </is>
      </c>
      <c r="I20" s="7" t="n">
        <v>245.5</v>
      </c>
      <c r="J20" s="4">
        <f>(I20-I19)/I19</f>
        <v/>
      </c>
      <c r="K20" s="4" t="n">
        <v>-0.03213042681809849</v>
      </c>
    </row>
    <row r="21">
      <c r="A21" t="inlineStr">
        <is>
          <t>2025-09-22</t>
        </is>
      </c>
      <c r="B21" s="7" t="n">
        <v>252.88</v>
      </c>
      <c r="C21" s="4">
        <f>(B21-B20)/B20</f>
        <v/>
      </c>
      <c r="D21" s="4" t="n">
        <v>-0.03142365060280121</v>
      </c>
      <c r="H21" t="inlineStr">
        <is>
          <t>2025-09-22</t>
        </is>
      </c>
      <c r="I21" s="7" t="n">
        <v>256.08</v>
      </c>
      <c r="J21" s="4">
        <f>(I21-I20)/I20</f>
        <v/>
      </c>
      <c r="K21" s="4" t="n">
        <v>-0.02519685039370077</v>
      </c>
    </row>
    <row r="22">
      <c r="A22" t="inlineStr">
        <is>
          <t>2025-09-23</t>
        </is>
      </c>
      <c r="B22" s="7" t="n">
        <v>252.34</v>
      </c>
      <c r="C22" s="4">
        <f>(B22-B21)/B21</f>
        <v/>
      </c>
      <c r="D22" s="4" t="n">
        <v>-0.0305604475292654</v>
      </c>
      <c r="H22" t="inlineStr">
        <is>
          <t>2025-09-23</t>
        </is>
      </c>
      <c r="I22" s="7" t="n">
        <v>254.43</v>
      </c>
      <c r="J22" s="4">
        <f>(I22-I21)/I21</f>
        <v/>
      </c>
      <c r="K22" s="4" t="n">
        <v>-0.02510587733463317</v>
      </c>
    </row>
    <row r="23">
      <c r="A23" t="inlineStr">
        <is>
          <t>2025-09-24</t>
        </is>
      </c>
      <c r="B23" s="7" t="n">
        <v>247.83</v>
      </c>
      <c r="C23" s="4">
        <f>(B23-B22)/B22</f>
        <v/>
      </c>
      <c r="D23" s="4" t="n">
        <v>-0.02891138712034235</v>
      </c>
      <c r="H23" t="inlineStr">
        <is>
          <t>2025-09-24</t>
        </is>
      </c>
      <c r="I23" s="7" t="n">
        <v>252.31</v>
      </c>
      <c r="J23" s="4">
        <f>(I23-I22)/I22</f>
        <v/>
      </c>
      <c r="K23" s="4" t="n">
        <v>-0.02273335116341274</v>
      </c>
    </row>
    <row r="24">
      <c r="A24" t="inlineStr">
        <is>
          <t>2025-09-25</t>
        </is>
      </c>
      <c r="B24" s="7" t="n">
        <v>246.57</v>
      </c>
      <c r="C24" s="4">
        <f>(B24-B23)/B23</f>
        <v/>
      </c>
      <c r="D24" s="4" t="n">
        <v>-0.02589094572471988</v>
      </c>
      <c r="H24" t="inlineStr">
        <is>
          <t>2025-09-25</t>
        </is>
      </c>
      <c r="I24" s="7" t="n">
        <v>256.87</v>
      </c>
      <c r="J24" s="4">
        <f>(I24-I23)/I23</f>
        <v/>
      </c>
      <c r="K24" s="4" t="n">
        <v>-0.02205192367844849</v>
      </c>
    </row>
    <row r="25">
      <c r="A25" t="inlineStr">
        <is>
          <t>2025-09-26</t>
        </is>
      </c>
      <c r="B25" s="7" t="n">
        <v>247.18</v>
      </c>
      <c r="C25" s="4">
        <f>(B25-B24)/B24</f>
        <v/>
      </c>
      <c r="D25" s="4" t="n">
        <v>-0.02509582513208328</v>
      </c>
      <c r="H25" t="inlineStr">
        <is>
          <t>2025-09-26</t>
        </is>
      </c>
      <c r="I25" s="7" t="n">
        <v>255.46</v>
      </c>
      <c r="J25" s="4">
        <f>(I25-I24)/I24</f>
        <v/>
      </c>
      <c r="K25" s="4" t="n">
        <v>-0.02142386288727762</v>
      </c>
    </row>
    <row r="26">
      <c r="A26" t="inlineStr">
        <is>
          <t>2025-09-29</t>
        </is>
      </c>
      <c r="B26" s="7" t="n">
        <v>244.36</v>
      </c>
      <c r="C26" s="4">
        <f>(B26-B25)/B25</f>
        <v/>
      </c>
      <c r="D26" s="4" t="n">
        <v>-0.0248628624349933</v>
      </c>
      <c r="H26" t="inlineStr">
        <is>
          <t>2025-09-29</t>
        </is>
      </c>
      <c r="I26" s="7" t="n">
        <v>254.43</v>
      </c>
      <c r="J26" s="4">
        <f>(I26-I25)/I25</f>
        <v/>
      </c>
      <c r="K26" s="4" t="n">
        <v>-0.02070617322104618</v>
      </c>
    </row>
    <row r="27">
      <c r="A27" t="inlineStr">
        <is>
          <t>2025-09-30</t>
        </is>
      </c>
      <c r="B27" s="7" t="n">
        <v>243.55</v>
      </c>
      <c r="C27" s="4">
        <f>(B27-B26)/B26</f>
        <v/>
      </c>
      <c r="D27" s="4" t="n">
        <v>-0.02483928409742541</v>
      </c>
      <c r="H27" t="inlineStr">
        <is>
          <t>2025-09-30</t>
        </is>
      </c>
      <c r="I27" s="7" t="n">
        <v>254.63</v>
      </c>
      <c r="J27" s="4">
        <f>(I27-I26)/I26</f>
        <v/>
      </c>
      <c r="K27" s="4" t="n">
        <v>-0.01936275449560988</v>
      </c>
    </row>
    <row r="28">
      <c r="A28" t="inlineStr">
        <is>
          <t>2025-10-01</t>
        </is>
      </c>
      <c r="B28" s="7" t="n">
        <v>245.54</v>
      </c>
      <c r="C28" s="4">
        <f>(B28-B27)/B27</f>
        <v/>
      </c>
      <c r="D28" s="4" t="n">
        <v>-0.02476236604710284</v>
      </c>
      <c r="H28" t="inlineStr">
        <is>
          <t>2025-10-01</t>
        </is>
      </c>
      <c r="I28" s="7" t="n">
        <v>255.45</v>
      </c>
      <c r="J28" s="4">
        <f>(I28-I27)/I27</f>
        <v/>
      </c>
      <c r="K28" s="4" t="n">
        <v>-0.01887160799114972</v>
      </c>
    </row>
    <row r="29">
      <c r="A29" t="inlineStr">
        <is>
          <t>2025-10-02</t>
        </is>
      </c>
      <c r="B29" s="7" t="n">
        <v>246.43</v>
      </c>
      <c r="C29" s="4">
        <f>(B29-B28)/B28</f>
        <v/>
      </c>
      <c r="D29" s="4" t="n">
        <v>-0.02475917082999814</v>
      </c>
      <c r="H29" t="inlineStr">
        <is>
          <t>2025-10-02</t>
        </is>
      </c>
      <c r="I29" s="7" t="n">
        <v>257.13</v>
      </c>
      <c r="J29" s="4">
        <f>(I29-I28)/I28</f>
        <v/>
      </c>
      <c r="K29" s="4" t="n">
        <v>-0.01842594372877011</v>
      </c>
    </row>
    <row r="30">
      <c r="A30" s="3" t="inlineStr">
        <is>
          <t>2025-10-03</t>
        </is>
      </c>
      <c r="B30" s="7" t="n">
        <v>246.45</v>
      </c>
      <c r="C30" s="4">
        <f>(B30-B29)/B29</f>
        <v/>
      </c>
      <c r="D30" s="4" t="n">
        <v>-0.02425222312045271</v>
      </c>
      <c r="H30" s="3" t="inlineStr">
        <is>
          <t>2025-10-03</t>
        </is>
      </c>
      <c r="I30" s="7" t="n">
        <v>258.02</v>
      </c>
      <c r="J30" s="4">
        <f>(I30-I29)/I29</f>
        <v/>
      </c>
      <c r="K30" s="4" t="n">
        <v>-0.01833420639078043</v>
      </c>
    </row>
    <row r="31">
      <c r="A31" s="3" t="inlineStr">
        <is>
          <t>2025-10-06</t>
        </is>
      </c>
      <c r="B31" s="7" t="n">
        <v>251.51</v>
      </c>
      <c r="C31" s="4">
        <f>(B31-B30)/B30</f>
        <v/>
      </c>
      <c r="D31" s="4" t="n">
        <v>-0.02372007823900148</v>
      </c>
      <c r="H31" s="3" t="inlineStr">
        <is>
          <t>2025-10-06</t>
        </is>
      </c>
      <c r="I31" s="7" t="n">
        <v>256.69</v>
      </c>
      <c r="J31" s="4">
        <f>(I31-I30)/I30</f>
        <v/>
      </c>
      <c r="K31" s="4" t="n">
        <v>-0.01817113909181031</v>
      </c>
    </row>
    <row r="32">
      <c r="A32" s="3" t="inlineStr">
        <is>
          <t>2025-10-07</t>
        </is>
      </c>
      <c r="B32" s="7" t="n">
        <v>247.13</v>
      </c>
      <c r="C32" s="4">
        <f>(B32-B31)/B31</f>
        <v/>
      </c>
      <c r="D32" s="4" t="n">
        <v>-0.0229105859460817</v>
      </c>
      <c r="H32" s="3" t="inlineStr">
        <is>
          <t>2025-10-07</t>
        </is>
      </c>
      <c r="I32" s="7" t="n">
        <v>256.48</v>
      </c>
      <c r="J32" s="4">
        <f>(I32-I31)/I31</f>
        <v/>
      </c>
      <c r="K32" s="4" t="n">
        <v>-0.01777216665048075</v>
      </c>
    </row>
    <row r="33">
      <c r="A33" s="3" t="inlineStr">
        <is>
          <t>2025-10-08</t>
        </is>
      </c>
      <c r="B33" s="7" t="n">
        <v>245.46</v>
      </c>
      <c r="C33" s="4">
        <f>(B33-B32)/B32</f>
        <v/>
      </c>
      <c r="D33" s="4" t="n">
        <v>-0.02274143302180689</v>
      </c>
      <c r="H33" s="3" t="inlineStr">
        <is>
          <t>2025-10-08</t>
        </is>
      </c>
      <c r="I33" s="7" t="n">
        <v>258.06</v>
      </c>
      <c r="J33" s="4">
        <f>(I33-I32)/I32</f>
        <v/>
      </c>
      <c r="K33" s="4" t="n">
        <v>-0.01745415522519955</v>
      </c>
    </row>
    <row r="34">
      <c r="A34" s="3" t="inlineStr">
        <is>
          <t>2025-10-09</t>
        </is>
      </c>
      <c r="B34" s="7" t="n">
        <v>242.21</v>
      </c>
      <c r="C34" s="4">
        <f>(B34-B33)/B33</f>
        <v/>
      </c>
      <c r="D34" s="4" t="n">
        <v>-0.02269976776894645</v>
      </c>
      <c r="H34" s="3" t="inlineStr">
        <is>
          <t>2025-10-09</t>
        </is>
      </c>
      <c r="I34" s="7" t="n">
        <v>254.04</v>
      </c>
      <c r="J34" s="4">
        <f>(I34-I33)/I33</f>
        <v/>
      </c>
      <c r="K34" s="4" t="n">
        <v>-0.01687448373520038</v>
      </c>
    </row>
    <row r="35">
      <c r="A35" s="3" t="inlineStr">
        <is>
          <t>2025-10-10</t>
        </is>
      </c>
      <c r="B35" s="7" t="n">
        <v>237.49</v>
      </c>
      <c r="C35" s="4">
        <f>(B35-B34)/B34</f>
        <v/>
      </c>
      <c r="D35" s="4" t="n">
        <v>-0.02209944751381207</v>
      </c>
      <c r="H35" s="3" t="inlineStr">
        <is>
          <t>2025-10-10</t>
        </is>
      </c>
      <c r="I35" s="7" t="n">
        <v>245.27</v>
      </c>
      <c r="J35" s="4">
        <f>(I35-I34)/I34</f>
        <v/>
      </c>
      <c r="K35" s="4" t="n">
        <v>-0.01644023290329944</v>
      </c>
    </row>
    <row r="36">
      <c r="A36" s="3" t="inlineStr">
        <is>
          <t>2025-10-13</t>
        </is>
      </c>
      <c r="B36" s="7" t="n">
        <v>244.64</v>
      </c>
      <c r="C36" s="4">
        <f>(B36-B35)/B35</f>
        <v/>
      </c>
      <c r="D36" s="4" t="n">
        <v>-0.02191764809024226</v>
      </c>
      <c r="H36" s="3" t="inlineStr">
        <is>
          <t>2025-10-13</t>
        </is>
      </c>
      <c r="I36" s="7" t="n">
        <v>247.66</v>
      </c>
      <c r="J36" s="4">
        <f>(I36-I35)/I35</f>
        <v/>
      </c>
      <c r="K36" s="4" t="n">
        <v>-0.01618102320237447</v>
      </c>
    </row>
    <row r="37">
      <c r="A37" s="3" t="inlineStr">
        <is>
          <t>2025-10-14</t>
        </is>
      </c>
      <c r="B37" s="7" t="n">
        <v>246.19</v>
      </c>
      <c r="C37" s="4">
        <f>(B37-B36)/B36</f>
        <v/>
      </c>
      <c r="D37" s="4" t="n">
        <v>-0.02178604759682679</v>
      </c>
      <c r="H37" s="3" t="inlineStr">
        <is>
          <t>2025-10-14</t>
        </is>
      </c>
      <c r="I37" s="7" t="n">
        <v>247.77</v>
      </c>
      <c r="J37" s="4">
        <f>(I37-I36)/I36</f>
        <v/>
      </c>
      <c r="K37" s="4" t="n">
        <v>-0.01617303966151281</v>
      </c>
    </row>
    <row r="38">
      <c r="A38" t="inlineStr">
        <is>
          <t>2025-10-15</t>
        </is>
      </c>
      <c r="B38" s="7" t="n">
        <v>251.71</v>
      </c>
      <c r="C38" s="4">
        <f>(B38-B37)/B37</f>
        <v/>
      </c>
      <c r="D38" s="4" t="n">
        <v>-0.02173482942822418</v>
      </c>
      <c r="H38" t="inlineStr">
        <is>
          <t>2025-10-15</t>
        </is>
      </c>
      <c r="I38" s="7" t="n">
        <v>249.34</v>
      </c>
      <c r="J38" s="4">
        <f>(I38-I37)/I37</f>
        <v/>
      </c>
      <c r="K38" s="4" t="n">
        <v>-0.0156725888324873</v>
      </c>
    </row>
    <row r="39">
      <c r="A39" t="inlineStr">
        <is>
          <t>2025-10-16</t>
        </is>
      </c>
      <c r="B39" s="7" t="n">
        <v>251.88</v>
      </c>
      <c r="C39" s="4">
        <f>(B39-B38)/B38</f>
        <v/>
      </c>
      <c r="D39" s="4" t="n">
        <v>-0.02160258291752279</v>
      </c>
      <c r="H39" t="inlineStr">
        <is>
          <t>2025-10-16</t>
        </is>
      </c>
      <c r="I39" s="7" t="n">
        <v>247.45</v>
      </c>
      <c r="J39" s="4">
        <f>(I39-I38)/I38</f>
        <v/>
      </c>
      <c r="K39" s="4" t="n">
        <v>-0.01557777261102073</v>
      </c>
    </row>
    <row r="40">
      <c r="A40" t="inlineStr">
        <is>
          <t>2025-10-17</t>
        </is>
      </c>
      <c r="B40" s="7" t="n">
        <v>253.79</v>
      </c>
      <c r="C40" s="4">
        <f>(B40-B39)/B39</f>
        <v/>
      </c>
      <c r="D40" s="4" t="n">
        <v>-0.02132901590877095</v>
      </c>
      <c r="H40" t="inlineStr">
        <is>
          <t>2025-10-17</t>
        </is>
      </c>
      <c r="I40" s="7" t="n">
        <v>252.29</v>
      </c>
      <c r="J40" s="4">
        <f>(I40-I39)/I39</f>
        <v/>
      </c>
      <c r="K40" s="4" t="n">
        <v>-0.015221729865034</v>
      </c>
    </row>
    <row r="41">
      <c r="A41" t="inlineStr">
        <is>
          <t>2025-10-20</t>
        </is>
      </c>
      <c r="B41" s="7" t="n">
        <v>257.02</v>
      </c>
      <c r="C41" s="4">
        <f>(B41-B40)/B40</f>
        <v/>
      </c>
      <c r="D41" s="4" t="n">
        <v>-0.02088473964030433</v>
      </c>
      <c r="H41" t="inlineStr">
        <is>
          <t>2025-10-20</t>
        </is>
      </c>
      <c r="I41" s="7" t="n">
        <v>262.24</v>
      </c>
      <c r="J41" s="4">
        <f>(I41-I40)/I40</f>
        <v/>
      </c>
      <c r="K41" s="4" t="n">
        <v>-0.01498490728762383</v>
      </c>
    </row>
    <row r="42">
      <c r="A42" t="inlineStr">
        <is>
          <t>2025-10-21</t>
        </is>
      </c>
      <c r="B42" s="7" t="n">
        <v>251.34</v>
      </c>
      <c r="C42" s="4">
        <f>(B42-B41)/B41</f>
        <v/>
      </c>
      <c r="D42" s="4" t="n">
        <v>-0.01976589332024948</v>
      </c>
      <c r="H42" t="inlineStr">
        <is>
          <t>2025-10-21</t>
        </is>
      </c>
      <c r="I42" s="7" t="n">
        <v>262.77</v>
      </c>
      <c r="J42" s="4">
        <f>(I42-I41)/I41</f>
        <v/>
      </c>
      <c r="K42" s="4" t="n">
        <v>-0.01426139587667879</v>
      </c>
    </row>
    <row r="43">
      <c r="A43" t="inlineStr">
        <is>
          <t>2025-10-22</t>
        </is>
      </c>
      <c r="B43" s="7" t="n">
        <v>252.53</v>
      </c>
      <c r="C43" s="4">
        <f>(B43-B42)/B42</f>
        <v/>
      </c>
      <c r="D43" s="4" t="n">
        <v>-0.01948722183229428</v>
      </c>
      <c r="H43" t="inlineStr">
        <is>
          <t>2025-10-22</t>
        </is>
      </c>
      <c r="I43" s="7" t="n">
        <v>258.45</v>
      </c>
      <c r="J43" s="4">
        <f>(I43-I42)/I42</f>
        <v/>
      </c>
      <c r="K43" s="4" t="n">
        <v>-0.01407492829474553</v>
      </c>
    </row>
    <row r="44">
      <c r="A44" t="inlineStr">
        <is>
          <t>2025-10-23</t>
        </is>
      </c>
      <c r="B44" s="7" t="n">
        <v>253.73</v>
      </c>
      <c r="C44" s="4">
        <f>(B44-B43)/B43</f>
        <v/>
      </c>
      <c r="D44" s="4" t="n">
        <v>-0.01878414209500686</v>
      </c>
      <c r="H44" t="inlineStr">
        <is>
          <t>2025-10-23</t>
        </is>
      </c>
      <c r="I44" s="7" t="n">
        <v>259.58</v>
      </c>
      <c r="J44" s="4">
        <f>(I44-I43)/I43</f>
        <v/>
      </c>
      <c r="K44" s="4" t="n">
        <v>-0.01383712778126268</v>
      </c>
    </row>
    <row r="45">
      <c r="A45" t="inlineStr">
        <is>
          <t>2025-10-24</t>
        </is>
      </c>
      <c r="B45" s="7" t="n">
        <v>260.51</v>
      </c>
      <c r="C45" s="4">
        <f>(B45-B44)/B44</f>
        <v/>
      </c>
      <c r="D45" s="4" t="n">
        <v>-0.01787271142109848</v>
      </c>
      <c r="H45" t="inlineStr">
        <is>
          <t>2025-10-24</t>
        </is>
      </c>
      <c r="I45" s="7" t="n">
        <v>262.82</v>
      </c>
      <c r="J45" s="4">
        <f>(I45-I44)/I44</f>
        <v/>
      </c>
      <c r="K45" s="4" t="n">
        <v>-0.01297983982325313</v>
      </c>
    </row>
    <row r="46">
      <c r="A46" t="inlineStr">
        <is>
          <t>2025-10-27</t>
        </is>
      </c>
      <c r="B46" s="7" t="n">
        <v>269.93</v>
      </c>
      <c r="C46" s="4">
        <f>(B46-B45)/B45</f>
        <v/>
      </c>
      <c r="D46" s="4" t="n">
        <v>-0.01778668310727492</v>
      </c>
      <c r="H46" t="inlineStr">
        <is>
          <t>2025-10-27</t>
        </is>
      </c>
      <c r="I46" s="7" t="n">
        <v>268.81</v>
      </c>
      <c r="J46" s="4">
        <f>(I46-I45)/I45</f>
        <v/>
      </c>
      <c r="K46" s="4" t="n">
        <v>-0.01272780934110525</v>
      </c>
    </row>
    <row r="47">
      <c r="A47" t="inlineStr">
        <is>
          <t>2025-10-28</t>
        </is>
      </c>
      <c r="B47" s="7" t="n">
        <v>268.43</v>
      </c>
      <c r="C47" s="4">
        <f>(B47-B46)/B46</f>
        <v/>
      </c>
      <c r="D47" s="4" t="n">
        <v>-0.01741481452029739</v>
      </c>
      <c r="H47" t="inlineStr">
        <is>
          <t>2025-10-28</t>
        </is>
      </c>
      <c r="I47" s="7" t="n">
        <v>269</v>
      </c>
      <c r="J47" s="4">
        <f>(I47-I46)/I46</f>
        <v/>
      </c>
      <c r="K47" s="4" t="n">
        <v>-0.01258449590104991</v>
      </c>
    </row>
    <row r="48">
      <c r="A48" t="inlineStr">
        <is>
          <t>2025-10-29</t>
        </is>
      </c>
      <c r="B48" s="7" t="n">
        <v>275.17</v>
      </c>
      <c r="C48" s="4">
        <f>(B48-B47)/B47</f>
        <v/>
      </c>
      <c r="D48" s="4" t="n">
        <v>-0.01689254912132818</v>
      </c>
      <c r="H48" t="inlineStr">
        <is>
          <t>2025-10-29</t>
        </is>
      </c>
      <c r="I48" s="7" t="n">
        <v>269.7</v>
      </c>
      <c r="J48" s="4">
        <f>(I48-I47)/I47</f>
        <v/>
      </c>
      <c r="K48" s="4" t="n">
        <v>-0.01249879510329995</v>
      </c>
    </row>
    <row r="49">
      <c r="A49" t="inlineStr">
        <is>
          <t>2025-10-30</t>
        </is>
      </c>
      <c r="B49" s="7" t="n">
        <v>281.9</v>
      </c>
      <c r="C49" s="4">
        <f>(B49-B48)/B48</f>
        <v/>
      </c>
      <c r="D49" s="4" t="n">
        <v>-0.0162797418360466</v>
      </c>
      <c r="H49" t="inlineStr">
        <is>
          <t>2025-10-30</t>
        </is>
      </c>
      <c r="I49" s="7" t="n">
        <v>271.4</v>
      </c>
      <c r="J49" s="4">
        <f>(I49-I48)/I48</f>
        <v/>
      </c>
      <c r="K49" s="4" t="n">
        <v>-0.01214147457328872</v>
      </c>
    </row>
    <row r="50">
      <c r="A50" t="inlineStr">
        <is>
          <t>2025-10-31</t>
        </is>
      </c>
      <c r="B50" s="7" t="n">
        <v>281.82</v>
      </c>
      <c r="C50" s="4">
        <f>(B50-B49)/B49</f>
        <v/>
      </c>
      <c r="D50" s="4" t="n">
        <v>-0.01561914282144196</v>
      </c>
      <c r="H50" t="inlineStr">
        <is>
          <t>2025-10-31</t>
        </is>
      </c>
      <c r="I50" s="7" t="n">
        <v>270.37</v>
      </c>
      <c r="J50" s="4">
        <f>(I50-I49)/I49</f>
        <v/>
      </c>
      <c r="K50" s="4" t="n">
        <v>-0.01181552081102307</v>
      </c>
    </row>
    <row r="51">
      <c r="A51" t="inlineStr">
        <is>
          <t>2025-11-03</t>
        </is>
      </c>
      <c r="B51" s="7" t="n">
        <v>284.12</v>
      </c>
      <c r="C51" s="4">
        <f>(B51-B50)/B50</f>
        <v/>
      </c>
      <c r="D51" s="4" t="n">
        <v>-0.01477342839514637</v>
      </c>
      <c r="H51" t="inlineStr">
        <is>
          <t>2025-11-03</t>
        </is>
      </c>
      <c r="I51" s="7" t="n">
        <v>269.05</v>
      </c>
      <c r="J51" s="4">
        <f>(I51-I50)/I50</f>
        <v/>
      </c>
      <c r="K51" s="4" t="n">
        <v>-0.01137259317644421</v>
      </c>
    </row>
    <row r="52">
      <c r="A52" t="inlineStr">
        <is>
          <t>2025-11-04</t>
        </is>
      </c>
      <c r="B52" s="7" t="n">
        <v>278.06</v>
      </c>
      <c r="C52" s="4">
        <f>(B52-B51)/B51</f>
        <v/>
      </c>
      <c r="D52" s="4" t="n">
        <v>-0.01474229444744858</v>
      </c>
      <c r="H52" t="inlineStr">
        <is>
          <t>2025-11-04</t>
        </is>
      </c>
      <c r="I52" s="7" t="n">
        <v>270.04</v>
      </c>
      <c r="J52" s="4">
        <f>(I52-I51)/I51</f>
        <v/>
      </c>
      <c r="K52" s="4" t="n">
        <v>-0.01099451944927156</v>
      </c>
    </row>
    <row r="53">
      <c r="A53" s="3" t="inlineStr">
        <is>
          <t>2025-11-05</t>
        </is>
      </c>
      <c r="B53" s="7" t="n">
        <v>284.75</v>
      </c>
      <c r="C53" s="4">
        <f>(B53-B52)/B52</f>
        <v/>
      </c>
      <c r="D53" s="4" t="n">
        <v>-0.01469886702444827</v>
      </c>
      <c r="H53" s="3" t="inlineStr">
        <is>
          <t>2025-11-05</t>
        </is>
      </c>
      <c r="I53" s="7" t="n">
        <v>270.14</v>
      </c>
      <c r="J53" s="4">
        <f>(I53-I52)/I52</f>
        <v/>
      </c>
      <c r="K53" s="4" t="n">
        <v>-0.01087248837834738</v>
      </c>
    </row>
    <row r="54">
      <c r="A54" s="3" t="inlineStr">
        <is>
          <t>2025-11-06</t>
        </is>
      </c>
      <c r="B54" s="7" t="n">
        <v>285.34</v>
      </c>
      <c r="C54" s="4">
        <f>(B54-B53)/B53</f>
        <v/>
      </c>
      <c r="D54" s="4" t="n">
        <v>-0.01350310763984386</v>
      </c>
      <c r="H54" s="3" t="inlineStr">
        <is>
          <t>2025-11-06</t>
        </is>
      </c>
      <c r="I54" s="7" t="n">
        <v>269.77</v>
      </c>
      <c r="J54" s="4">
        <f>(I54-I53)/I53</f>
        <v/>
      </c>
      <c r="K54" s="4" t="n">
        <v>-0.01086744955556986</v>
      </c>
    </row>
    <row r="55">
      <c r="A55" s="3" t="inlineStr">
        <is>
          <t>2025-11-07</t>
        </is>
      </c>
      <c r="B55" s="7" t="n">
        <v>279.7</v>
      </c>
      <c r="C55" s="4">
        <f>(B55-B54)/B54</f>
        <v/>
      </c>
      <c r="D55" s="4" t="n">
        <v>-0.01324044650859611</v>
      </c>
      <c r="H55" s="3" t="inlineStr">
        <is>
          <t>2025-11-07</t>
        </is>
      </c>
      <c r="I55" s="7" t="n">
        <v>268.47</v>
      </c>
      <c r="J55" s="4">
        <f>(I55-I54)/I54</f>
        <v/>
      </c>
      <c r="K55" s="4" t="n">
        <v>-0.01037914875488935</v>
      </c>
    </row>
    <row r="56">
      <c r="A56" s="3" t="inlineStr">
        <is>
          <t>2025-11-10</t>
        </is>
      </c>
      <c r="B56" s="7" t="n">
        <v>290.59</v>
      </c>
      <c r="C56" s="4">
        <f>(B56-B55)/B55</f>
        <v/>
      </c>
      <c r="D56" s="4" t="n">
        <v>-0.01254921259842513</v>
      </c>
      <c r="H56" s="3" t="inlineStr">
        <is>
          <t>2025-11-10</t>
        </is>
      </c>
      <c r="I56" s="7" t="n">
        <v>269.43</v>
      </c>
      <c r="J56" s="4">
        <f>(I56-I55)/I55</f>
        <v/>
      </c>
      <c r="K56" s="4" t="n">
        <v>-0.01008703251884505</v>
      </c>
    </row>
    <row r="57">
      <c r="A57" s="3" t="inlineStr">
        <is>
          <t>2025-11-11</t>
        </is>
      </c>
      <c r="B57" s="7" t="n">
        <v>291.74</v>
      </c>
      <c r="C57" s="4">
        <f>(B57-B56)/B56</f>
        <v/>
      </c>
      <c r="D57" s="4" t="n">
        <v>-0.01236315318177871</v>
      </c>
      <c r="H57" s="3" t="inlineStr">
        <is>
          <t>2025-11-11</t>
        </is>
      </c>
      <c r="I57" s="7" t="n">
        <v>275.25</v>
      </c>
      <c r="J57" s="4">
        <f>(I57-I56)/I56</f>
        <v/>
      </c>
      <c r="K57" s="4" t="n">
        <v>-0.00986589688310735</v>
      </c>
    </row>
    <row r="58">
      <c r="A58" s="3" t="inlineStr">
        <is>
          <t>2025-11-12</t>
        </is>
      </c>
      <c r="B58" s="7" t="n">
        <v>287.43</v>
      </c>
      <c r="C58" s="4">
        <f>(B58-B57)/B57</f>
        <v/>
      </c>
      <c r="D58" s="4" t="n">
        <v>-0.01234927477136353</v>
      </c>
      <c r="H58" s="3" t="inlineStr">
        <is>
          <t>2025-11-12</t>
        </is>
      </c>
      <c r="I58" s="7" t="n">
        <v>273.47</v>
      </c>
      <c r="J58" s="4">
        <f>(I58-I57)/I57</f>
        <v/>
      </c>
      <c r="K58" s="4" t="n">
        <v>-0.009124271910036631</v>
      </c>
    </row>
    <row r="59">
      <c r="A59" s="3" t="inlineStr">
        <is>
          <t>2025-11-13</t>
        </is>
      </c>
      <c r="B59" s="7" t="n">
        <v>279.12</v>
      </c>
      <c r="C59" s="4">
        <f>(B59-B58)/B58</f>
        <v/>
      </c>
      <c r="D59" s="4" t="n">
        <v>-0.01228065233923882</v>
      </c>
      <c r="H59" s="3" t="inlineStr">
        <is>
          <t>2025-11-13</t>
        </is>
      </c>
      <c r="I59" s="7" t="n">
        <v>272.95</v>
      </c>
      <c r="J59" s="4">
        <f>(I59-I58)/I58</f>
        <v/>
      </c>
      <c r="K59" s="4" t="n">
        <v>-0.008914607444479092</v>
      </c>
    </row>
    <row r="60">
      <c r="A60" t="inlineStr">
        <is>
          <t>2025-11-14</t>
        </is>
      </c>
      <c r="B60" s="7" t="n">
        <v>276.98</v>
      </c>
      <c r="C60" s="4">
        <f>(B60-B59)/B59</f>
        <v/>
      </c>
      <c r="D60" s="4" t="n">
        <v>-0.01217744273702519</v>
      </c>
      <c r="H60" t="inlineStr">
        <is>
          <t>2025-11-14</t>
        </is>
      </c>
      <c r="I60" s="7" t="n">
        <v>272.41</v>
      </c>
      <c r="J60" s="4">
        <f>(I60-I59)/I59</f>
        <v/>
      </c>
      <c r="K60" s="4" t="n">
        <v>-0.008723885736774867</v>
      </c>
    </row>
    <row r="61">
      <c r="A61" t="inlineStr">
        <is>
          <t>2025-11-17</t>
        </is>
      </c>
      <c r="B61" s="7" t="n">
        <v>285.6</v>
      </c>
      <c r="C61" s="4">
        <f>(B61-B60)/B60</f>
        <v/>
      </c>
      <c r="D61" s="4" t="n">
        <v>-0.01178550383028875</v>
      </c>
      <c r="H61" t="inlineStr">
        <is>
          <t>2025-11-17</t>
        </is>
      </c>
      <c r="I61" s="7" t="n">
        <v>267.46</v>
      </c>
      <c r="J61" s="4">
        <f>(I61-I60)/I60</f>
        <v/>
      </c>
      <c r="K61" s="4" t="n">
        <v>-0.008721864951768552</v>
      </c>
    </row>
    <row r="62">
      <c r="A62" t="inlineStr">
        <is>
          <t>2025-11-18</t>
        </is>
      </c>
      <c r="B62" s="7" t="n">
        <v>284.96</v>
      </c>
      <c r="C62" s="4">
        <f>(B62-B61)/B61</f>
        <v/>
      </c>
      <c r="D62" s="4" t="n">
        <v>-0.01140869002346465</v>
      </c>
      <c r="H62" t="inlineStr">
        <is>
          <t>2025-11-18</t>
        </is>
      </c>
      <c r="I62" s="7" t="n">
        <v>267.44</v>
      </c>
      <c r="J62" s="4">
        <f>(I62-I61)/I61</f>
        <v/>
      </c>
      <c r="K62" s="4" t="n">
        <v>-0.008667666313133177</v>
      </c>
    </row>
    <row r="63">
      <c r="A63" t="inlineStr">
        <is>
          <t>2025-11-19</t>
        </is>
      </c>
      <c r="B63" s="7" t="n">
        <v>292.99</v>
      </c>
      <c r="C63" s="4">
        <f>(B63-B62)/B62</f>
        <v/>
      </c>
      <c r="D63" s="4" t="n">
        <v>-0.01111832016043406</v>
      </c>
      <c r="H63" t="inlineStr">
        <is>
          <t>2025-11-19</t>
        </is>
      </c>
      <c r="I63" s="7" t="n">
        <v>268.56</v>
      </c>
      <c r="J63" s="4">
        <f>(I63-I62)/I62</f>
        <v/>
      </c>
      <c r="K63" s="4" t="n">
        <v>-0.00860142984807865</v>
      </c>
    </row>
    <row r="64">
      <c r="A64" t="inlineStr">
        <is>
          <t>2025-11-20</t>
        </is>
      </c>
      <c r="B64" s="7" t="n">
        <v>289.98</v>
      </c>
      <c r="C64" s="4">
        <f>(B64-B63)/B63</f>
        <v/>
      </c>
      <c r="D64" s="4" t="n">
        <v>-0.01082845783366203</v>
      </c>
      <c r="H64" t="inlineStr">
        <is>
          <t>2025-11-20</t>
        </is>
      </c>
      <c r="I64" s="7" t="n">
        <v>266.25</v>
      </c>
      <c r="J64" s="4">
        <f>(I64-I63)/I63</f>
        <v/>
      </c>
      <c r="K64" s="4" t="n">
        <v>-0.008494590888313124</v>
      </c>
    </row>
    <row r="65">
      <c r="A65" t="inlineStr">
        <is>
          <t>2025-11-21</t>
        </is>
      </c>
      <c r="B65" s="7" t="n">
        <v>299.65</v>
      </c>
      <c r="C65" s="4">
        <f>(B65-B64)/B64</f>
        <v/>
      </c>
      <c r="D65" s="4" t="n">
        <v>-0.01066576264114541</v>
      </c>
      <c r="H65" t="inlineStr">
        <is>
          <t>2025-11-21</t>
        </is>
      </c>
      <c r="I65" s="7" t="n">
        <v>271.49</v>
      </c>
      <c r="J65" s="4">
        <f>(I65-I64)/I64</f>
        <v/>
      </c>
      <c r="K65" s="4" t="n">
        <v>-0.008332350744802125</v>
      </c>
    </row>
    <row r="66">
      <c r="A66" t="inlineStr">
        <is>
          <t>2025-11-24</t>
        </is>
      </c>
      <c r="B66" s="7" t="n">
        <v>318.47</v>
      </c>
      <c r="C66" s="4">
        <f>(B66-B65)/B65</f>
        <v/>
      </c>
      <c r="D66" s="4" t="n">
        <v>-0.01045683288673939</v>
      </c>
      <c r="H66" t="inlineStr">
        <is>
          <t>2025-11-24</t>
        </is>
      </c>
      <c r="I66" s="7" t="n">
        <v>275.92</v>
      </c>
      <c r="J66" s="4">
        <f>(I66-I65)/I65</f>
        <v/>
      </c>
      <c r="K66" s="4" t="n">
        <v>-0.007960563567931397</v>
      </c>
    </row>
    <row r="67">
      <c r="A67" t="inlineStr">
        <is>
          <t>2025-11-25</t>
        </is>
      </c>
      <c r="B67" s="7" t="n">
        <v>323.64</v>
      </c>
      <c r="C67" s="4">
        <f>(B67-B66)/B66</f>
        <v/>
      </c>
      <c r="D67" s="4" t="n">
        <v>-0.01038190582128295</v>
      </c>
      <c r="H67" t="inlineStr">
        <is>
          <t>2025-11-25</t>
        </is>
      </c>
      <c r="I67" s="7" t="n">
        <v>276.97</v>
      </c>
      <c r="J67" s="4">
        <f>(I67-I66)/I66</f>
        <v/>
      </c>
      <c r="K67" s="4" t="n">
        <v>-0.007737459978655395</v>
      </c>
    </row>
    <row r="68">
      <c r="A68" t="inlineStr">
        <is>
          <t>2025-11-26</t>
        </is>
      </c>
      <c r="B68" s="7" t="n">
        <v>320.28</v>
      </c>
      <c r="C68" s="4">
        <f>(B68-B67)/B67</f>
        <v/>
      </c>
      <c r="D68" s="4" t="n">
        <v>-0.01027338817024469</v>
      </c>
      <c r="H68" t="inlineStr">
        <is>
          <t>2025-11-26</t>
        </is>
      </c>
      <c r="I68" s="7" t="n">
        <v>277.55</v>
      </c>
      <c r="J68" s="4">
        <f>(I68-I67)/I67</f>
        <v/>
      </c>
      <c r="K68" s="4" t="n">
        <v>-0.007721155967350505</v>
      </c>
    </row>
    <row r="69">
      <c r="A69" t="inlineStr">
        <is>
          <t>2025-11-28</t>
        </is>
      </c>
      <c r="B69" s="7" t="n">
        <v>320.12</v>
      </c>
      <c r="C69" s="4">
        <f>(B69-B68)/B68</f>
        <v/>
      </c>
      <c r="D69" s="4" t="n">
        <v>-0.01024290313140181</v>
      </c>
      <c r="H69" t="inlineStr">
        <is>
          <t>2025-11-28</t>
        </is>
      </c>
      <c r="I69" s="7" t="n">
        <v>278.85</v>
      </c>
      <c r="J69" s="4">
        <f>(I69-I68)/I68</f>
        <v/>
      </c>
      <c r="K69" s="4" t="n">
        <v>-0.007580011229646326</v>
      </c>
    </row>
    <row r="70">
      <c r="A70" t="inlineStr">
        <is>
          <t>2025-12-01</t>
        </is>
      </c>
      <c r="B70" s="7" t="n">
        <v>315.12</v>
      </c>
      <c r="C70" s="4">
        <f>(B70-B69)/B69</f>
        <v/>
      </c>
      <c r="D70" s="4" t="n">
        <v>-0.01022766517015122</v>
      </c>
      <c r="H70" t="inlineStr">
        <is>
          <t>2025-12-01</t>
        </is>
      </c>
      <c r="I70" s="7" t="n">
        <v>283.1</v>
      </c>
      <c r="J70" s="4">
        <f>(I70-I69)/I69</f>
        <v/>
      </c>
      <c r="K70" s="4" t="n">
        <v>-0.007188667277468334</v>
      </c>
    </row>
    <row r="71">
      <c r="A71" s="3" t="inlineStr">
        <is>
          <t>2025-12-02</t>
        </is>
      </c>
      <c r="B71" s="7" t="n">
        <v>316.02</v>
      </c>
      <c r="C71" s="4">
        <f>(B71-B70)/B70</f>
        <v/>
      </c>
      <c r="D71" s="4" t="n">
        <v>-0.01019371228961569</v>
      </c>
      <c r="H71" s="3" t="inlineStr">
        <is>
          <t>2025-12-02</t>
        </is>
      </c>
      <c r="I71" s="7" t="n">
        <v>286.19</v>
      </c>
      <c r="J71" s="4">
        <f>(I71-I70)/I70</f>
        <v/>
      </c>
      <c r="K71" s="4" t="n">
        <v>-0.007128131660784865</v>
      </c>
    </row>
    <row r="72">
      <c r="A72" s="3" t="inlineStr">
        <is>
          <t>2025-12-03</t>
        </is>
      </c>
      <c r="B72" s="7" t="n">
        <v>320.62</v>
      </c>
      <c r="C72" s="4">
        <f>(B72-B71)/B71</f>
        <v/>
      </c>
      <c r="D72" s="4" t="n">
        <v>-0.01013707363723305</v>
      </c>
      <c r="H72" s="3" t="inlineStr">
        <is>
          <t>2025-12-03</t>
        </is>
      </c>
      <c r="I72" s="7" t="n">
        <v>284.15</v>
      </c>
      <c r="J72" s="4">
        <f>(I72-I71)/I71</f>
        <v/>
      </c>
      <c r="K72" s="4" t="n">
        <v>-0.007085608084562606</v>
      </c>
    </row>
    <row r="73">
      <c r="A73" s="3" t="inlineStr">
        <is>
          <t>2025-12-04</t>
        </is>
      </c>
      <c r="B73" s="7" t="n">
        <v>318.39</v>
      </c>
      <c r="C73" s="4">
        <f>(B73-B72)/B72</f>
        <v/>
      </c>
      <c r="D73" s="4" t="n">
        <v>-0.01007721892609061</v>
      </c>
      <c r="H73" s="3" t="inlineStr">
        <is>
          <t>2025-12-04</t>
        </is>
      </c>
      <c r="I73" s="7" t="n">
        <v>280.7</v>
      </c>
      <c r="J73" s="4">
        <f>(I73-I72)/I72</f>
        <v/>
      </c>
      <c r="K73" s="4" t="n">
        <v>-0.006840042750267246</v>
      </c>
    </row>
    <row r="74">
      <c r="A74" s="3" t="inlineStr">
        <is>
          <t>2025-12-05</t>
        </is>
      </c>
      <c r="B74" s="7" t="n">
        <v>322.09</v>
      </c>
      <c r="C74" s="4">
        <f>(B74-B73)/B73</f>
        <v/>
      </c>
      <c r="D74" s="4" t="n">
        <v>-0.01005138812578783</v>
      </c>
      <c r="H74" s="3" t="inlineStr">
        <is>
          <t>2025-12-05</t>
        </is>
      </c>
      <c r="I74" s="7" t="n">
        <v>278.78</v>
      </c>
      <c r="J74" s="4">
        <f>(I74-I73)/I73</f>
        <v/>
      </c>
      <c r="K74" s="4" t="n">
        <v>-0.006731804893060471</v>
      </c>
    </row>
    <row r="75">
      <c r="A75" s="3" t="inlineStr">
        <is>
          <t>2025-12-08</t>
        </is>
      </c>
      <c r="B75" s="7" t="n">
        <v>314.45</v>
      </c>
      <c r="C75" s="4">
        <f>(B75-B74)/B74</f>
        <v/>
      </c>
      <c r="D75" s="4" t="n">
        <v>-0.009746480437619724</v>
      </c>
      <c r="H75" s="3" t="inlineStr">
        <is>
          <t>2025-12-08</t>
        </is>
      </c>
      <c r="I75" s="7" t="n">
        <v>277.89</v>
      </c>
      <c r="J75" s="4">
        <f>(I75-I74)/I74</f>
        <v/>
      </c>
      <c r="K75" s="4" t="n">
        <v>-0.006466848319709256</v>
      </c>
    </row>
    <row r="76">
      <c r="A76" s="3" t="inlineStr">
        <is>
          <t>2025-12-09</t>
        </is>
      </c>
      <c r="B76" s="7" t="n">
        <v>317.75</v>
      </c>
      <c r="C76" s="4">
        <f>(B76-B75)/B75</f>
        <v/>
      </c>
      <c r="D76" s="4" t="n">
        <v>-0.009693582093310227</v>
      </c>
      <c r="H76" s="3" t="inlineStr">
        <is>
          <t>2025-12-09</t>
        </is>
      </c>
      <c r="I76" s="7" t="n">
        <v>277.18</v>
      </c>
      <c r="J76" s="4">
        <f>(I76-I75)/I75</f>
        <v/>
      </c>
      <c r="K76" s="4" t="n">
        <v>-0.006443298969072076</v>
      </c>
    </row>
    <row r="77">
      <c r="A77" s="3" t="inlineStr">
        <is>
          <t>2025-12-10</t>
        </is>
      </c>
      <c r="B77" s="7" t="n">
        <v>321</v>
      </c>
      <c r="C77" s="4">
        <f>(B77-B76)/B76</f>
        <v/>
      </c>
      <c r="D77" s="4" t="n">
        <v>-0.009505240068242726</v>
      </c>
      <c r="H77" s="3" t="inlineStr">
        <is>
          <t>2025-12-10</t>
        </is>
      </c>
      <c r="I77" s="7" t="n">
        <v>278.78</v>
      </c>
      <c r="J77" s="4">
        <f>(I77-I76)/I76</f>
        <v/>
      </c>
      <c r="K77" s="4" t="n">
        <v>-0.006396724876863045</v>
      </c>
    </row>
    <row r="78">
      <c r="A78" s="3" t="inlineStr">
        <is>
          <t>2025-12-11</t>
        </is>
      </c>
      <c r="B78" s="7" t="n">
        <v>313.7</v>
      </c>
      <c r="C78" s="4">
        <f>(B78-B77)/B77</f>
        <v/>
      </c>
      <c r="D78" s="4" t="n">
        <v>-0.009366358419315445</v>
      </c>
      <c r="H78" s="3" t="inlineStr">
        <is>
          <t>2025-12-11</t>
        </is>
      </c>
      <c r="I78" s="7" t="n">
        <v>278.03</v>
      </c>
      <c r="J78" s="4">
        <f>(I78-I77)/I77</f>
        <v/>
      </c>
      <c r="K78" s="4" t="n">
        <v>-0.006264053967234142</v>
      </c>
    </row>
    <row r="79">
      <c r="A79" s="3" t="inlineStr">
        <is>
          <t>2025-12-12</t>
        </is>
      </c>
      <c r="B79" s="7" t="n">
        <v>310.52</v>
      </c>
      <c r="C79" s="4">
        <f>(B79-B78)/B78</f>
        <v/>
      </c>
      <c r="D79" s="4" t="n">
        <v>-0.009341892385574972</v>
      </c>
      <c r="H79" s="3" t="inlineStr">
        <is>
          <t>2025-12-12</t>
        </is>
      </c>
      <c r="I79" s="7" t="n">
        <v>278.28</v>
      </c>
      <c r="J79" s="4">
        <f>(I79-I78)/I78</f>
        <v/>
      </c>
      <c r="K79" s="4" t="n">
        <v>-0.005644718374321177</v>
      </c>
    </row>
    <row r="80">
      <c r="A80" s="3" t="inlineStr">
        <is>
          <t>2025-12-15</t>
        </is>
      </c>
      <c r="B80" s="7" t="n">
        <v>309.32</v>
      </c>
      <c r="C80" s="4">
        <f>(B80-B79)/B79</f>
        <v/>
      </c>
      <c r="D80" s="4" t="n">
        <v>-0.009246199655226507</v>
      </c>
      <c r="H80" s="3" t="inlineStr">
        <is>
          <t>2025-12-15</t>
        </is>
      </c>
      <c r="I80" s="7" t="n">
        <v>274.11</v>
      </c>
      <c r="J80" s="4">
        <f>(I80-I79)/I79</f>
        <v/>
      </c>
      <c r="K80" s="4" t="n">
        <v>-0.005557515878616756</v>
      </c>
    </row>
    <row r="81">
      <c r="A81" t="inlineStr">
        <is>
          <t>2025-12-16</t>
        </is>
      </c>
      <c r="B81" s="7" t="n">
        <v>307.73</v>
      </c>
      <c r="C81" s="4">
        <f>(B81-B80)/B80</f>
        <v/>
      </c>
      <c r="D81" s="4" t="n">
        <v>-0.009139574356965698</v>
      </c>
      <c r="H81" t="inlineStr">
        <is>
          <t>2025-12-16</t>
        </is>
      </c>
      <c r="I81" s="7" t="n">
        <v>274.61</v>
      </c>
      <c r="J81" s="4">
        <f>(I81-I80)/I80</f>
        <v/>
      </c>
      <c r="K81" s="4" t="n">
        <v>-0.0054891579398139</v>
      </c>
    </row>
    <row r="82">
      <c r="A82" t="inlineStr">
        <is>
          <t>2025-12-17</t>
        </is>
      </c>
      <c r="B82" s="7" t="n">
        <v>298.06</v>
      </c>
      <c r="C82" s="4">
        <f>(B82-B81)/B81</f>
        <v/>
      </c>
      <c r="D82" s="4" t="n">
        <v>-0.0088329314115865</v>
      </c>
      <c r="H82" t="inlineStr">
        <is>
          <t>2025-12-17</t>
        </is>
      </c>
      <c r="I82" s="7" t="n">
        <v>271.84</v>
      </c>
      <c r="J82" s="4">
        <f>(I82-I81)/I81</f>
        <v/>
      </c>
      <c r="K82" s="4" t="n">
        <v>-0.00515463917525767</v>
      </c>
    </row>
    <row r="83">
      <c r="A83" t="inlineStr">
        <is>
          <t>2025-12-18</t>
        </is>
      </c>
      <c r="B83" s="7" t="n">
        <v>303.75</v>
      </c>
      <c r="C83" s="4">
        <f>(B83-B82)/B82</f>
        <v/>
      </c>
      <c r="D83" s="4" t="n">
        <v>-0.008729358376402313</v>
      </c>
      <c r="H83" t="inlineStr">
        <is>
          <t>2025-12-18</t>
        </is>
      </c>
      <c r="I83" s="7" t="n">
        <v>272.19</v>
      </c>
      <c r="J83" s="4">
        <f>(I83-I82)/I82</f>
        <v/>
      </c>
      <c r="K83" s="4" t="n">
        <v>-0.004955249106902638</v>
      </c>
    </row>
    <row r="84">
      <c r="A84" t="inlineStr">
        <is>
          <t>2025-12-19</t>
        </is>
      </c>
      <c r="B84" s="7" t="n">
        <v>308.61</v>
      </c>
      <c r="C84" s="4">
        <f>(B84-B83)/B83</f>
        <v/>
      </c>
      <c r="D84" s="4" t="n">
        <v>-0.008673689807583708</v>
      </c>
      <c r="H84" t="inlineStr">
        <is>
          <t>2025-12-19</t>
        </is>
      </c>
      <c r="I84" s="7" t="n">
        <v>273.67</v>
      </c>
      <c r="J84" s="4">
        <f>(I84-I83)/I83</f>
        <v/>
      </c>
      <c r="K84" s="4" t="n">
        <v>-0.004914004914005028</v>
      </c>
    </row>
    <row r="85">
      <c r="A85" t="inlineStr">
        <is>
          <t>2025-12-22</t>
        </is>
      </c>
      <c r="B85" s="7" t="n">
        <v>311.33</v>
      </c>
      <c r="C85" s="4">
        <f>(B85-B84)/B84</f>
        <v/>
      </c>
      <c r="D85" s="4" t="n">
        <v>-0.008464401488774313</v>
      </c>
      <c r="H85" t="inlineStr">
        <is>
          <t>2025-12-22</t>
        </is>
      </c>
      <c r="I85" s="7" t="n">
        <v>270.97</v>
      </c>
      <c r="J85" s="4">
        <f>(I85-I84)/I84</f>
        <v/>
      </c>
      <c r="K85" s="4" t="n">
        <v>-0.004882198468765001</v>
      </c>
    </row>
    <row r="86">
      <c r="A86" t="inlineStr">
        <is>
          <t>2025-12-23</t>
        </is>
      </c>
      <c r="B86" s="7" t="n">
        <v>315.68</v>
      </c>
      <c r="C86" s="4">
        <f>(B86-B85)/B85</f>
        <v/>
      </c>
      <c r="D86" s="4" t="n">
        <v>-0.008370406986323822</v>
      </c>
      <c r="H86" t="inlineStr">
        <is>
          <t>2025-12-23</t>
        </is>
      </c>
      <c r="I86" s="7" t="n">
        <v>272.36</v>
      </c>
      <c r="J86" s="4">
        <f>(I86-I85)/I85</f>
        <v/>
      </c>
      <c r="K86" s="4" t="n">
        <v>-0.00481891982058774</v>
      </c>
    </row>
    <row r="87">
      <c r="A87" t="inlineStr">
        <is>
          <t>2025-12-24</t>
        </is>
      </c>
      <c r="B87" s="7" t="n">
        <v>315.67</v>
      </c>
      <c r="C87" s="4">
        <f>(B87-B86)/B86</f>
        <v/>
      </c>
      <c r="D87" s="4" t="n">
        <v>-0.008259911894273194</v>
      </c>
      <c r="H87" t="inlineStr">
        <is>
          <t>2025-12-24</t>
        </is>
      </c>
      <c r="I87" s="7" t="n">
        <v>273.81</v>
      </c>
      <c r="J87" s="4">
        <f>(I87-I86)/I86</f>
        <v/>
      </c>
      <c r="K87" s="4" t="n">
        <v>-0.004667614775918132</v>
      </c>
    </row>
    <row r="88">
      <c r="A88" t="inlineStr">
        <is>
          <t>2025-12-26</t>
        </is>
      </c>
      <c r="B88" s="7" t="n">
        <v>314.96</v>
      </c>
      <c r="C88" s="4">
        <f>(B88-B87)/B87</f>
        <v/>
      </c>
      <c r="D88" s="4" t="n">
        <v>-0.007741269568209154</v>
      </c>
      <c r="H88" t="inlineStr">
        <is>
          <t>2025-12-26</t>
        </is>
      </c>
      <c r="I88" s="7" t="n">
        <v>273.4</v>
      </c>
      <c r="J88" s="4">
        <f>(I88-I87)/I87</f>
        <v/>
      </c>
      <c r="K88" s="4" t="n">
        <v>-0.004663507109004809</v>
      </c>
    </row>
    <row r="89">
      <c r="A89" t="inlineStr">
        <is>
          <t>2025-12-29</t>
        </is>
      </c>
      <c r="B89" s="7" t="n">
        <v>314.39</v>
      </c>
      <c r="C89" s="4">
        <f>(B89-B88)/B88</f>
        <v/>
      </c>
      <c r="D89" s="4" t="n">
        <v>-0.007666953281742571</v>
      </c>
      <c r="H89" t="inlineStr">
        <is>
          <t>2025-12-29</t>
        </is>
      </c>
      <c r="I89" s="7" t="n">
        <v>273.76</v>
      </c>
      <c r="J89" s="4">
        <f>(I89-I88)/I88</f>
        <v/>
      </c>
      <c r="K89" s="4" t="n">
        <v>-0.004644545796895325</v>
      </c>
    </row>
    <row r="90">
      <c r="A90" t="inlineStr">
        <is>
          <t>2025-12-30</t>
        </is>
      </c>
      <c r="B90" s="7" t="n">
        <v>314.55</v>
      </c>
      <c r="C90" s="4">
        <f>(B90-B89)/B89</f>
        <v/>
      </c>
      <c r="D90" s="4" t="n">
        <v>-0.007627272022131987</v>
      </c>
      <c r="H90" t="inlineStr">
        <is>
          <t>2025-12-30</t>
        </is>
      </c>
      <c r="I90" s="7" t="n">
        <v>273.08</v>
      </c>
      <c r="J90" s="4">
        <f>(I90-I89)/I89</f>
        <v/>
      </c>
      <c r="K90" s="4" t="n">
        <v>-0.004467555295151496</v>
      </c>
    </row>
    <row r="91">
      <c r="A91" t="inlineStr">
        <is>
          <t>2025-12-31</t>
        </is>
      </c>
      <c r="B91" s="7" t="n">
        <v>313.8</v>
      </c>
      <c r="C91" s="4">
        <f>(B91-B90)/B90</f>
        <v/>
      </c>
      <c r="D91" s="4" t="n">
        <v>-0.007561594910572225</v>
      </c>
      <c r="H91" t="inlineStr">
        <is>
          <t>2025-12-31</t>
        </is>
      </c>
      <c r="I91" s="7" t="n">
        <v>271.86</v>
      </c>
      <c r="J91" s="4">
        <f>(I91-I90)/I90</f>
        <v/>
      </c>
      <c r="K91" s="4" t="n">
        <v>-0.004175445316989205</v>
      </c>
    </row>
    <row r="92">
      <c r="A92" t="inlineStr">
        <is>
          <t>2026-01-02</t>
        </is>
      </c>
      <c r="B92" s="7" t="n">
        <v>315.32</v>
      </c>
      <c r="C92" s="4">
        <f>(B92-B91)/B91</f>
        <v/>
      </c>
      <c r="D92" s="4" t="n">
        <v>-0.007284487970015622</v>
      </c>
      <c r="H92" t="inlineStr">
        <is>
          <t>2026-01-02</t>
        </is>
      </c>
      <c r="I92" s="7" t="n">
        <v>271.01</v>
      </c>
      <c r="J92" s="4">
        <f>(I92-I91)/I91</f>
        <v/>
      </c>
      <c r="K92" s="4" t="n">
        <v>-0.00414542983350332</v>
      </c>
    </row>
    <row r="93">
      <c r="A93" s="3" t="inlineStr">
        <is>
          <t>2026-01-05</t>
        </is>
      </c>
      <c r="B93" s="7" t="n">
        <v>317.32</v>
      </c>
      <c r="C93" s="4">
        <f>(B93-B92)/B92</f>
        <v/>
      </c>
      <c r="D93" s="4" t="n">
        <v>-0.006955274156322183</v>
      </c>
      <c r="H93" s="3" t="inlineStr">
        <is>
          <t>2026-01-05</t>
        </is>
      </c>
      <c r="I93" s="7" t="n">
        <v>267.26</v>
      </c>
      <c r="J93" s="4">
        <f>(I93-I92)/I92</f>
        <v/>
      </c>
      <c r="K93" s="4" t="n">
        <v>-0.004031942378454557</v>
      </c>
    </row>
    <row r="94">
      <c r="A94" s="3" t="inlineStr">
        <is>
          <t>2026-01-06</t>
        </is>
      </c>
      <c r="B94" s="7" t="n">
        <v>314.55</v>
      </c>
      <c r="C94" s="4">
        <f>(B94-B93)/B93</f>
        <v/>
      </c>
      <c r="D94" s="4" t="n">
        <v>-0.006885785174653538</v>
      </c>
      <c r="H94" s="3" t="inlineStr">
        <is>
          <t>2026-01-06</t>
        </is>
      </c>
      <c r="I94" s="7" t="n">
        <v>262.36</v>
      </c>
      <c r="J94" s="4">
        <f>(I94-I93)/I93</f>
        <v/>
      </c>
      <c r="K94" s="4" t="n">
        <v>-0.003920941025846162</v>
      </c>
    </row>
    <row r="95">
      <c r="A95" s="3" t="inlineStr">
        <is>
          <t>2026-01-07</t>
        </is>
      </c>
      <c r="B95" s="7" t="n">
        <v>322.43</v>
      </c>
      <c r="C95" s="4">
        <f>(B95-B94)/B94</f>
        <v/>
      </c>
      <c r="D95" s="4" t="n">
        <v>-0.006757576983773672</v>
      </c>
      <c r="H95" s="3" t="inlineStr">
        <is>
          <t>2026-01-07</t>
        </is>
      </c>
      <c r="I95" s="7" t="n">
        <v>260.33</v>
      </c>
      <c r="J95" s="4">
        <f>(I95-I94)/I94</f>
        <v/>
      </c>
      <c r="K95" s="4" t="n">
        <v>-0.003896208226221075</v>
      </c>
    </row>
    <row r="96">
      <c r="A96" s="3" t="inlineStr">
        <is>
          <t>2026-01-08</t>
        </is>
      </c>
      <c r="B96" s="7" t="n">
        <v>326.01</v>
      </c>
      <c r="C96" s="4">
        <f>(B96-B95)/B95</f>
        <v/>
      </c>
      <c r="D96" s="4" t="n">
        <v>-0.00629557061638769</v>
      </c>
      <c r="H96" s="3" t="inlineStr">
        <is>
          <t>2026-01-08</t>
        </is>
      </c>
      <c r="I96" s="7" t="n">
        <v>259.04</v>
      </c>
      <c r="J96" s="4">
        <f>(I96-I95)/I95</f>
        <v/>
      </c>
      <c r="K96" s="4" t="n">
        <v>-0.003795136330139915</v>
      </c>
    </row>
    <row r="97">
      <c r="A97" s="3" t="inlineStr">
        <is>
          <t>2026-01-09</t>
        </is>
      </c>
      <c r="B97" s="7" t="n">
        <v>329.14</v>
      </c>
      <c r="C97" s="4">
        <f>(B97-B96)/B96</f>
        <v/>
      </c>
      <c r="D97" s="4" t="n">
        <v>-0.006244531063558958</v>
      </c>
      <c r="H97" s="3" t="inlineStr">
        <is>
          <t>2026-01-09</t>
        </is>
      </c>
      <c r="I97" s="7" t="n">
        <v>259.37</v>
      </c>
      <c r="J97" s="4">
        <f>(I97-I96)/I96</f>
        <v/>
      </c>
      <c r="K97" s="4" t="n">
        <v>-0.003664249017830263</v>
      </c>
    </row>
    <row r="98">
      <c r="A98" s="3" t="inlineStr">
        <is>
          <t>2026-01-12</t>
        </is>
      </c>
      <c r="B98" s="7" t="n">
        <v>332.73</v>
      </c>
      <c r="C98" s="4">
        <f>(B98-B97)/B97</f>
        <v/>
      </c>
      <c r="D98" s="4" t="n">
        <v>-0.006194901119847463</v>
      </c>
      <c r="H98" s="3" t="inlineStr">
        <is>
          <t>2026-01-12</t>
        </is>
      </c>
      <c r="I98" s="7" t="n">
        <v>260.25</v>
      </c>
      <c r="J98" s="4">
        <f>(I98-I97)/I97</f>
        <v/>
      </c>
      <c r="K98" s="4" t="n">
        <v>-0.003422911659748007</v>
      </c>
    </row>
    <row r="99">
      <c r="A99" s="3" t="inlineStr">
        <is>
          <t>2026-01-13</t>
        </is>
      </c>
      <c r="B99" s="7" t="n">
        <v>336.43</v>
      </c>
      <c r="C99" s="4">
        <f>(B99-B98)/B98</f>
        <v/>
      </c>
      <c r="D99" s="4" t="n">
        <v>-0.006083716597776188</v>
      </c>
      <c r="H99" s="3" t="inlineStr">
        <is>
          <t>2026-01-13</t>
        </is>
      </c>
      <c r="I99" s="7" t="n">
        <v>261.05</v>
      </c>
      <c r="J99" s="4">
        <f>(I99-I98)/I98</f>
        <v/>
      </c>
      <c r="K99" s="4" t="n">
        <v>-0.003355592094225026</v>
      </c>
    </row>
    <row r="100">
      <c r="A100" s="3" t="inlineStr">
        <is>
          <t>2026-01-14</t>
        </is>
      </c>
      <c r="B100" s="7" t="n">
        <v>336.31</v>
      </c>
      <c r="C100" s="4">
        <f>(B100-B99)/B99</f>
        <v/>
      </c>
      <c r="D100" s="4" t="n">
        <v>-0.006029879402411925</v>
      </c>
      <c r="H100" s="3" t="inlineStr">
        <is>
          <t>2026-01-14</t>
        </is>
      </c>
      <c r="I100" s="7" t="n">
        <v>259.96</v>
      </c>
      <c r="J100" s="4">
        <f>(I100-I99)/I99</f>
        <v/>
      </c>
      <c r="K100" s="4" t="n">
        <v>-0.003192481526651792</v>
      </c>
    </row>
    <row r="101">
      <c r="A101" t="inlineStr">
        <is>
          <t>2026-01-15</t>
        </is>
      </c>
      <c r="B101" s="7" t="n">
        <v>333.16</v>
      </c>
      <c r="C101" s="4">
        <f>(B101-B100)/B100</f>
        <v/>
      </c>
      <c r="D101" s="4" t="n">
        <v>-0.005771577454569441</v>
      </c>
      <c r="H101" t="inlineStr">
        <is>
          <t>2026-01-15</t>
        </is>
      </c>
      <c r="I101" s="7" t="n">
        <v>258.21</v>
      </c>
      <c r="J101" s="4">
        <f>(I101-I100)/I100</f>
        <v/>
      </c>
      <c r="K101" s="4" t="n">
        <v>-0.003126609284190476</v>
      </c>
    </row>
    <row r="102">
      <c r="A102" t="inlineStr">
        <is>
          <t>2026-01-16</t>
        </is>
      </c>
      <c r="B102" s="7" t="n">
        <v>330.34</v>
      </c>
      <c r="C102" s="4">
        <f>(B102-B101)/B101</f>
        <v/>
      </c>
      <c r="D102" s="4" t="n">
        <v>-0.005556996258289186</v>
      </c>
      <c r="H102" t="inlineStr">
        <is>
          <t>2026-01-16</t>
        </is>
      </c>
      <c r="I102" s="7" t="n">
        <v>255.53</v>
      </c>
      <c r="J102" s="4">
        <f>(I102-I101)/I101</f>
        <v/>
      </c>
      <c r="K102" s="4" t="n">
        <v>-0.002846119790019714</v>
      </c>
    </row>
    <row r="103">
      <c r="A103" t="inlineStr">
        <is>
          <t>2026-01-20</t>
        </is>
      </c>
      <c r="B103" s="7" t="n">
        <v>322.16</v>
      </c>
      <c r="C103" s="4">
        <f>(B103-B102)/B102</f>
        <v/>
      </c>
      <c r="D103" s="4" t="n">
        <v>-0.005140307771886638</v>
      </c>
      <c r="H103" t="inlineStr">
        <is>
          <t>2026-01-20</t>
        </is>
      </c>
      <c r="I103" s="7" t="n">
        <v>246.7</v>
      </c>
      <c r="J103" s="4">
        <f>(I103-I102)/I102</f>
        <v/>
      </c>
      <c r="K103" s="4" t="n">
        <v>-0.002690293421335821</v>
      </c>
    </row>
    <row r="104">
      <c r="A104" t="inlineStr">
        <is>
          <t>2026-01-21</t>
        </is>
      </c>
      <c r="B104" s="7" t="n">
        <v>328.38</v>
      </c>
      <c r="C104" s="4">
        <f>(B104-B103)/B103</f>
        <v/>
      </c>
      <c r="D104" s="4" t="n">
        <v>-0.005084130250575069</v>
      </c>
      <c r="H104" t="inlineStr">
        <is>
          <t>2026-01-21</t>
        </is>
      </c>
      <c r="I104" s="7" t="n">
        <v>247.65</v>
      </c>
      <c r="J104" s="4">
        <f>(I104-I103)/I103</f>
        <v/>
      </c>
      <c r="K104" s="4" t="n">
        <v>-0.00255496779301155</v>
      </c>
    </row>
    <row r="105">
      <c r="A105" t="inlineStr">
        <is>
          <t>2026-01-22</t>
        </is>
      </c>
      <c r="B105" s="7" t="n">
        <v>330.84</v>
      </c>
      <c r="C105" s="4">
        <f>(B105-B104)/B104</f>
        <v/>
      </c>
      <c r="D105" s="4" t="n">
        <v>-0.005082668101773089</v>
      </c>
      <c r="H105" t="inlineStr">
        <is>
          <t>2026-01-22</t>
        </is>
      </c>
      <c r="I105" s="7" t="n">
        <v>248.35</v>
      </c>
      <c r="J105" s="4">
        <f>(I105-I104)/I104</f>
        <v/>
      </c>
      <c r="K105" s="4" t="n">
        <v>-0.002483927527761568</v>
      </c>
    </row>
    <row r="106">
      <c r="A106" t="inlineStr">
        <is>
          <t>2026-01-23</t>
        </is>
      </c>
      <c r="B106" s="7" t="n">
        <v>328.43</v>
      </c>
      <c r="C106" s="4">
        <f>(B106-B105)/B105</f>
        <v/>
      </c>
      <c r="D106" s="4" t="n">
        <v>-0.004778004414764256</v>
      </c>
      <c r="H106" t="inlineStr">
        <is>
          <t>2026-01-23</t>
        </is>
      </c>
      <c r="I106" s="7" t="n">
        <v>248.04</v>
      </c>
      <c r="J106" s="4">
        <f>(I106-I105)/I105</f>
        <v/>
      </c>
      <c r="K106" s="4" t="n">
        <v>-0.002208317997791765</v>
      </c>
    </row>
    <row r="107">
      <c r="A107" t="inlineStr">
        <is>
          <t>2026-01-26</t>
        </is>
      </c>
      <c r="B107" s="7" t="n">
        <v>333.59</v>
      </c>
      <c r="C107" s="4">
        <f>(B107-B106)/B106</f>
        <v/>
      </c>
      <c r="D107" s="4" t="n">
        <v>-0.004686246992782689</v>
      </c>
      <c r="H107" t="inlineStr">
        <is>
          <t>2026-01-26</t>
        </is>
      </c>
      <c r="I107" s="7" t="n">
        <v>255.41</v>
      </c>
      <c r="J107" s="4">
        <f>(I107-I106)/I106</f>
        <v/>
      </c>
      <c r="K107" s="4" t="n">
        <v>-0.002181917359879948</v>
      </c>
    </row>
    <row r="108">
      <c r="A108" t="inlineStr">
        <is>
          <t>2026-01-27</t>
        </is>
      </c>
      <c r="B108" s="7" t="n">
        <v>335</v>
      </c>
      <c r="C108" s="4">
        <f>(B108-B107)/B107</f>
        <v/>
      </c>
      <c r="D108" s="4" t="n">
        <v>-0.004099085815393816</v>
      </c>
      <c r="H108" t="inlineStr">
        <is>
          <t>2026-01-27</t>
        </is>
      </c>
      <c r="I108" s="7" t="n">
        <v>258.27</v>
      </c>
      <c r="J108" s="4">
        <f>(I108-I107)/I107</f>
        <v/>
      </c>
      <c r="K108" s="4" t="n">
        <v>-0.002097725053347261</v>
      </c>
    </row>
    <row r="109">
      <c r="A109" t="inlineStr">
        <is>
          <t>2026-01-28</t>
        </is>
      </c>
      <c r="B109" s="7" t="n">
        <v>336.28</v>
      </c>
      <c r="C109" s="4">
        <f>(B109-B108)/B108</f>
        <v/>
      </c>
      <c r="D109" s="4" t="n">
        <v>-0.003864485379363612</v>
      </c>
      <c r="H109" t="inlineStr">
        <is>
          <t>2026-01-28</t>
        </is>
      </c>
      <c r="I109" s="7" t="n">
        <v>256.44</v>
      </c>
      <c r="J109" s="4">
        <f>(I109-I108)/I108</f>
        <v/>
      </c>
      <c r="K109" s="4" t="n">
        <v>-0.001994754534372442</v>
      </c>
    </row>
    <row r="110">
      <c r="A110" t="inlineStr">
        <is>
          <t>2026-01-29</t>
        </is>
      </c>
      <c r="B110" s="7" t="n">
        <v>338.66</v>
      </c>
      <c r="C110" s="4">
        <f>(B110-B109)/B109</f>
        <v/>
      </c>
      <c r="D110" s="4" t="n">
        <v>-0.003715250714471161</v>
      </c>
      <c r="H110" t="inlineStr">
        <is>
          <t>2026-01-29</t>
        </is>
      </c>
      <c r="I110" s="7" t="n">
        <v>258.28</v>
      </c>
      <c r="J110" s="4">
        <f>(I110-I109)/I109</f>
        <v/>
      </c>
      <c r="K110" s="4" t="n">
        <v>-0.001978384319472298</v>
      </c>
    </row>
    <row r="111">
      <c r="A111" t="inlineStr">
        <is>
          <t>2026-01-30</t>
        </is>
      </c>
      <c r="B111" s="7" t="n">
        <v>338.53</v>
      </c>
      <c r="C111" s="4">
        <f>(B111-B110)/B110</f>
        <v/>
      </c>
      <c r="D111" s="4" t="n">
        <v>-0.003627499347050118</v>
      </c>
      <c r="H111" t="inlineStr">
        <is>
          <t>2026-01-30</t>
        </is>
      </c>
      <c r="I111" s="7" t="n">
        <v>259.48</v>
      </c>
      <c r="J111" s="4">
        <f>(I111-I110)/I110</f>
        <v/>
      </c>
      <c r="K111" s="4" t="n">
        <v>-0.001962890263323479</v>
      </c>
    </row>
    <row r="112">
      <c r="A112" t="inlineStr">
        <is>
          <t>2026-02-02</t>
        </is>
      </c>
      <c r="B112" s="7" t="n">
        <v>344.9</v>
      </c>
      <c r="C112" s="4">
        <f>(B112-B111)/B111</f>
        <v/>
      </c>
      <c r="D112" s="4" t="n">
        <v>-0.003507810359002392</v>
      </c>
      <c r="H112" t="inlineStr">
        <is>
          <t>2026-02-02</t>
        </is>
      </c>
      <c r="I112" s="7" t="n">
        <v>270.01</v>
      </c>
      <c r="J112" s="4">
        <f>(I112-I111)/I111</f>
        <v/>
      </c>
      <c r="K112" s="4" t="n">
        <v>-0.00190148828025026</v>
      </c>
    </row>
    <row r="113">
      <c r="A113" t="inlineStr">
        <is>
          <t>2026-02-03</t>
        </is>
      </c>
      <c r="B113" s="7" t="n">
        <v>340.7</v>
      </c>
      <c r="C113" s="4">
        <f>(B113-B112)/B112</f>
        <v/>
      </c>
      <c r="D113" s="4" t="n">
        <v>-0.003396586570851214</v>
      </c>
      <c r="H113" t="inlineStr">
        <is>
          <t>2026-02-03</t>
        </is>
      </c>
      <c r="I113" s="7" t="n">
        <v>269.48</v>
      </c>
      <c r="J113" s="4">
        <f>(I113-I112)/I112</f>
        <v/>
      </c>
      <c r="K113" s="4" t="n">
        <v>-0.00158668480020727</v>
      </c>
    </row>
    <row r="114">
      <c r="A114" t="inlineStr">
        <is>
          <t>2026-02-04</t>
        </is>
      </c>
      <c r="B114" s="7" t="n">
        <v>333.34</v>
      </c>
      <c r="C114" s="4">
        <f>(B114-B113)/B113</f>
        <v/>
      </c>
      <c r="D114" s="4" t="n">
        <v>-0.00331478146996236</v>
      </c>
      <c r="H114" t="inlineStr">
        <is>
          <t>2026-02-04</t>
        </is>
      </c>
      <c r="I114" s="7" t="n">
        <v>276.49</v>
      </c>
      <c r="J114" s="4">
        <f>(I114-I113)/I113</f>
        <v/>
      </c>
      <c r="K114" s="4" t="n">
        <v>-0.001497388700193656</v>
      </c>
    </row>
    <row r="115">
      <c r="A115" s="3" t="inlineStr">
        <is>
          <t>2026-02-05</t>
        </is>
      </c>
      <c r="B115" s="7" t="n">
        <v>331.33</v>
      </c>
      <c r="C115" s="4">
        <f>(B115-B114)/B114</f>
        <v/>
      </c>
      <c r="D115" s="4" t="n">
        <v>-0.003005085529357269</v>
      </c>
      <c r="H115" s="3" t="inlineStr">
        <is>
          <t>2026-02-05</t>
        </is>
      </c>
      <c r="I115" s="7" t="n">
        <v>275.91</v>
      </c>
      <c r="J115" s="4">
        <f>(I115-I114)/I114</f>
        <v/>
      </c>
      <c r="K115" s="4" t="n">
        <v>-0.001439953921474476</v>
      </c>
    </row>
    <row r="116">
      <c r="A116" s="3" t="inlineStr">
        <is>
          <t>2026-02-06</t>
        </is>
      </c>
      <c r="B116" s="7" t="n">
        <v>323.1</v>
      </c>
      <c r="C116" s="4">
        <f>(B116-B115)/B115</f>
        <v/>
      </c>
      <c r="D116" s="4" t="n">
        <v>-0.002926661310685131</v>
      </c>
      <c r="H116" s="3" t="inlineStr">
        <is>
          <t>2026-02-06</t>
        </is>
      </c>
      <c r="I116" s="7" t="n">
        <v>278.12</v>
      </c>
      <c r="J116" s="4">
        <f>(I116-I115)/I115</f>
        <v/>
      </c>
      <c r="K116" s="4" t="n">
        <v>-0.001427469135802487</v>
      </c>
    </row>
    <row r="117">
      <c r="A117" s="3" t="inlineStr">
        <is>
          <t>2026-02-09</t>
        </is>
      </c>
      <c r="B117" s="7" t="n">
        <v>324.4</v>
      </c>
      <c r="C117" s="4">
        <f>(B117-B116)/B116</f>
        <v/>
      </c>
      <c r="D117" s="4" t="n">
        <v>-0.002470403285315479</v>
      </c>
      <c r="H117" s="3" t="inlineStr">
        <is>
          <t>2026-02-09</t>
        </is>
      </c>
      <c r="I117" s="7" t="n">
        <v>274.62</v>
      </c>
      <c r="J117" s="4">
        <f>(I117-I116)/I116</f>
        <v/>
      </c>
      <c r="K117" s="4" t="n">
        <v>-0.001417799832441831</v>
      </c>
    </row>
    <row r="118">
      <c r="A118" s="3" t="inlineStr">
        <is>
          <t>2026-02-10</t>
        </is>
      </c>
      <c r="B118" s="7" t="n">
        <v>318.63</v>
      </c>
      <c r="C118" s="4">
        <f>(B118-B117)/B117</f>
        <v/>
      </c>
      <c r="D118" s="4" t="n">
        <v>-0.002384358607534573</v>
      </c>
      <c r="H118" s="3" t="inlineStr">
        <is>
          <t>2026-02-10</t>
        </is>
      </c>
      <c r="I118" s="7" t="n">
        <v>273.68</v>
      </c>
      <c r="J118" s="4">
        <f>(I118-I117)/I117</f>
        <v/>
      </c>
      <c r="K118" s="4" t="n">
        <v>-0.001369660176204948</v>
      </c>
    </row>
    <row r="119">
      <c r="A119" s="3" t="inlineStr">
        <is>
          <t>2026-02-11</t>
        </is>
      </c>
      <c r="B119" s="7" t="n">
        <v>311.33</v>
      </c>
      <c r="C119" s="4">
        <f>(B119-B118)/B118</f>
        <v/>
      </c>
      <c r="D119" s="4" t="n">
        <v>-0.0022647574517826</v>
      </c>
      <c r="H119" s="3" t="inlineStr">
        <is>
          <t>2026-02-11</t>
        </is>
      </c>
      <c r="I119" s="7" t="n">
        <v>275.5</v>
      </c>
      <c r="J119" s="4">
        <f>(I119-I118)/I118</f>
        <v/>
      </c>
      <c r="K119" s="4" t="n">
        <v>-0.001248238373263549</v>
      </c>
    </row>
    <row r="120">
      <c r="A120" s="3" t="inlineStr">
        <is>
          <t>2026-02-12</t>
        </is>
      </c>
      <c r="B120" s="7" t="n">
        <v>309.37</v>
      </c>
      <c r="C120" s="4">
        <f>(B120-B119)/B119</f>
        <v/>
      </c>
      <c r="D120" s="4" t="n">
        <v>-0.002249184274717383</v>
      </c>
      <c r="H120" s="3" t="inlineStr">
        <is>
          <t>2026-02-12</t>
        </is>
      </c>
      <c r="I120" s="7" t="n">
        <v>261.73</v>
      </c>
      <c r="J120" s="4">
        <f>(I120-I119)/I119</f>
        <v/>
      </c>
      <c r="K120" s="4" t="n">
        <v>-0.001111365345013669</v>
      </c>
    </row>
    <row r="121">
      <c r="A121" s="3" t="inlineStr">
        <is>
          <t>2026-02-13</t>
        </is>
      </c>
      <c r="B121" s="7" t="n">
        <v>306.02</v>
      </c>
      <c r="C121" s="4">
        <f>(B121-B120)/B120</f>
        <v/>
      </c>
      <c r="D121" s="4" t="n">
        <v>-0.002240896358543569</v>
      </c>
      <c r="H121" s="3" t="inlineStr">
        <is>
          <t>2026-02-13</t>
        </is>
      </c>
      <c r="I121" s="7" t="n">
        <v>255.78</v>
      </c>
      <c r="J121" s="4">
        <f>(I121-I120)/I120</f>
        <v/>
      </c>
      <c r="K121" s="4" t="n">
        <v>-0.0008181074447776678</v>
      </c>
    </row>
    <row r="122">
      <c r="A122" t="inlineStr">
        <is>
          <t>2026-02-17</t>
        </is>
      </c>
      <c r="B122" s="7" t="n">
        <v>302.82</v>
      </c>
      <c r="C122" s="4">
        <f>(B122-B121)/B121</f>
        <v/>
      </c>
      <c r="D122" s="4" t="n">
        <v>-0.002135400189813319</v>
      </c>
      <c r="H122" t="inlineStr">
        <is>
          <t>2026-02-17</t>
        </is>
      </c>
      <c r="I122" s="7" t="n">
        <v>263.88</v>
      </c>
      <c r="J122" s="4">
        <f>(I122-I121)/I121</f>
        <v/>
      </c>
      <c r="K122" s="4" t="n">
        <v>-0.0005228677759665855</v>
      </c>
    </row>
    <row r="123">
      <c r="A123" t="inlineStr">
        <is>
          <t>2026-02-18</t>
        </is>
      </c>
      <c r="B123" s="7" t="n">
        <v>303.94</v>
      </c>
      <c r="C123" s="4">
        <f>(B123-B122)/B122</f>
        <v/>
      </c>
      <c r="D123" s="4" t="n">
        <v>-0.002054556373865971</v>
      </c>
      <c r="H123" t="inlineStr">
        <is>
          <t>2026-02-18</t>
        </is>
      </c>
      <c r="I123" s="7" t="n">
        <v>264.35</v>
      </c>
      <c r="J123" s="4">
        <f>(I123-I122)/I122</f>
        <v/>
      </c>
      <c r="K123" s="4" t="n">
        <v>-0.0002434697923550248</v>
      </c>
    </row>
    <row r="124">
      <c r="A124" t="inlineStr">
        <is>
          <t>2026-02-19</t>
        </is>
      </c>
      <c r="B124" s="7" t="n">
        <v>303.56</v>
      </c>
      <c r="C124" s="4">
        <f>(B124-B123)/B123</f>
        <v/>
      </c>
      <c r="D124" s="4" t="n">
        <v>-0.00186092066601369</v>
      </c>
      <c r="H124" t="inlineStr">
        <is>
          <t>2026-02-19</t>
        </is>
      </c>
      <c r="I124" s="7" t="n">
        <v>260.58</v>
      </c>
      <c r="J124" s="4">
        <f>(I124-I123)/I123</f>
        <v/>
      </c>
      <c r="K124" s="4" t="n">
        <v>-7.667829620818852e-05</v>
      </c>
    </row>
    <row r="125">
      <c r="A125" t="inlineStr">
        <is>
          <t>2026-02-20</t>
        </is>
      </c>
      <c r="B125" s="7" t="n">
        <v>314.9</v>
      </c>
      <c r="C125" s="4">
        <f>(B125-B124)/B124</f>
        <v/>
      </c>
      <c r="D125" s="4" t="n">
        <v>-0.001836734693877538</v>
      </c>
      <c r="H125" t="inlineStr">
        <is>
          <t>2026-02-20</t>
        </is>
      </c>
      <c r="I125" s="7" t="n">
        <v>264.58</v>
      </c>
      <c r="J125" s="4">
        <f>(I125-I124)/I124</f>
        <v/>
      </c>
      <c r="K125" s="4" t="n">
        <v>-7.477753682786888e-05</v>
      </c>
    </row>
    <row r="126">
      <c r="A126" t="inlineStr">
        <is>
          <t>2026-02-23</t>
        </is>
      </c>
      <c r="B126" s="7" t="n">
        <v>311.69</v>
      </c>
      <c r="C126" s="4">
        <f>(B126-B125)/B125</f>
        <v/>
      </c>
      <c r="D126" s="4" t="n">
        <v>-0.001809753619507218</v>
      </c>
      <c r="H126" t="inlineStr">
        <is>
          <t>2026-02-23</t>
        </is>
      </c>
      <c r="I126" s="7" t="n">
        <v>266.18</v>
      </c>
      <c r="J126" s="4">
        <f>(I126-I125)/I125</f>
        <v/>
      </c>
      <c r="K126" s="4" t="n">
        <v>-3.838918960417254e-05</v>
      </c>
    </row>
    <row r="127">
      <c r="A127" t="inlineStr">
        <is>
          <t>2026-02-24</t>
        </is>
      </c>
      <c r="B127" s="7" t="n">
        <v>310.92</v>
      </c>
      <c r="C127" s="4">
        <f>(B127-B126)/B126</f>
        <v/>
      </c>
      <c r="D127" s="4" t="n">
        <v>-0.00149203119701593</v>
      </c>
      <c r="H127" t="inlineStr">
        <is>
          <t>2026-02-24</t>
        </is>
      </c>
      <c r="I127" s="7" t="n">
        <v>272.14</v>
      </c>
      <c r="J127" s="4">
        <f>(I127-I126)/I126</f>
        <v/>
      </c>
      <c r="K127" s="4" t="n">
        <v>0.0003703155088133828</v>
      </c>
    </row>
    <row r="128">
      <c r="A128" t="inlineStr">
        <is>
          <t>2026-02-25</t>
        </is>
      </c>
      <c r="B128" s="7" t="n">
        <v>313.03</v>
      </c>
      <c r="C128" s="4">
        <f>(B128-B127)/B127</f>
        <v/>
      </c>
      <c r="D128" s="4" t="n">
        <v>-0.001350492532570716</v>
      </c>
      <c r="H128" t="inlineStr">
        <is>
          <t>2026-02-25</t>
        </is>
      </c>
      <c r="I128" s="7" t="n">
        <v>274.23</v>
      </c>
      <c r="J128" s="4">
        <f>(I128-I127)/I127</f>
        <v/>
      </c>
      <c r="K128" s="4" t="n">
        <v>0.0004441573124445355</v>
      </c>
    </row>
    <row r="129">
      <c r="A129" t="inlineStr">
        <is>
          <t>2026-02-26</t>
        </is>
      </c>
      <c r="B129" s="7" t="n">
        <v>307.15</v>
      </c>
      <c r="C129" s="4">
        <f>(B129-B128)/B128</f>
        <v/>
      </c>
      <c r="D129" s="4" t="n">
        <v>-0.00125024675922878</v>
      </c>
      <c r="H129" t="inlineStr">
        <is>
          <t>2026-02-26</t>
        </is>
      </c>
      <c r="I129" s="7" t="n">
        <v>272.95</v>
      </c>
      <c r="J129" s="4">
        <f>(I129-I128)/I128</f>
        <v/>
      </c>
      <c r="K129" s="4" t="n">
        <v>0.000596445186687253</v>
      </c>
    </row>
    <row r="130">
      <c r="A130" t="inlineStr">
        <is>
          <t>2026-02-27</t>
        </is>
      </c>
      <c r="B130" s="7" t="n">
        <v>311.43</v>
      </c>
      <c r="C130" s="4">
        <f>(B130-B129)/B129</f>
        <v/>
      </c>
      <c r="D130" s="4" t="n">
        <v>-0.001162993545385757</v>
      </c>
      <c r="H130" t="inlineStr">
        <is>
          <t>2026-02-27</t>
        </is>
      </c>
      <c r="I130" s="7" t="n">
        <v>264.18</v>
      </c>
      <c r="J130" s="4">
        <f>(I130-I129)/I129</f>
        <v/>
      </c>
      <c r="K130" s="4" t="n">
        <v>0.0007068189427476572</v>
      </c>
    </row>
    <row r="131">
      <c r="A131" t="inlineStr">
        <is>
          <t>2026-03-02</t>
        </is>
      </c>
      <c r="B131" s="7" t="n">
        <v>306.36</v>
      </c>
      <c r="C131" s="4">
        <f>(B131-B130)/B130</f>
        <v/>
      </c>
      <c r="D131" s="4" t="n">
        <v>-0.000546762589928051</v>
      </c>
      <c r="H131" t="inlineStr">
        <is>
          <t>2026-03-02</t>
        </is>
      </c>
      <c r="I131" s="7" t="n">
        <v>264.72</v>
      </c>
      <c r="J131" s="4">
        <f>(I131-I130)/I130</f>
        <v/>
      </c>
      <c r="K131" s="4" t="n">
        <v>0.0007860708249812861</v>
      </c>
    </row>
    <row r="132">
      <c r="A132" t="inlineStr">
        <is>
          <t>2026-03-03</t>
        </is>
      </c>
      <c r="B132" s="7" t="n">
        <v>303.56</v>
      </c>
      <c r="C132" s="4">
        <f>(B132-B131)/B131</f>
        <v/>
      </c>
      <c r="D132" s="4" t="n">
        <v>-0.0005339164039458445</v>
      </c>
      <c r="H132" t="inlineStr">
        <is>
          <t>2026-03-03</t>
        </is>
      </c>
      <c r="I132" s="7" t="n">
        <v>263.75</v>
      </c>
      <c r="J132" s="4">
        <f>(I132-I131)/I131</f>
        <v/>
      </c>
      <c r="K132" s="4" t="n">
        <v>0.0008991835413444593</v>
      </c>
    </row>
    <row r="133">
      <c r="A133" t="inlineStr">
        <is>
          <t>2026-03-04</t>
        </is>
      </c>
      <c r="B133" s="7" t="n">
        <v>303.45</v>
      </c>
      <c r="C133" s="4">
        <f>(B133-B132)/B132</f>
        <v/>
      </c>
      <c r="D133" s="4" t="n">
        <v>-0.0004995628824777325</v>
      </c>
      <c r="H133" t="inlineStr">
        <is>
          <t>2026-03-04</t>
        </is>
      </c>
      <c r="I133" s="7" t="n">
        <v>262.52</v>
      </c>
      <c r="J133" s="4">
        <f>(I133-I132)/I132</f>
        <v/>
      </c>
      <c r="K133" s="4" t="n">
        <v>0.0009517882637185302</v>
      </c>
    </row>
    <row r="134">
      <c r="A134" t="inlineStr">
        <is>
          <t>2026-03-05</t>
        </is>
      </c>
      <c r="B134" s="7" t="n">
        <v>300.91</v>
      </c>
      <c r="C134" s="4">
        <f>(B134-B133)/B133</f>
        <v/>
      </c>
      <c r="D134" s="4" t="n">
        <v>-0.0004978767022990655</v>
      </c>
      <c r="H134" t="inlineStr">
        <is>
          <t>2026-03-05</t>
        </is>
      </c>
      <c r="I134" s="7" t="n">
        <v>260.29</v>
      </c>
      <c r="J134" s="4">
        <f>(I134-I133)/I133</f>
        <v/>
      </c>
      <c r="K134" s="4" t="n">
        <v>0.001068798986620148</v>
      </c>
    </row>
    <row r="135">
      <c r="A135" s="3" t="inlineStr">
        <is>
          <t>2026-03-06</t>
        </is>
      </c>
      <c r="B135" s="7" t="n">
        <v>298.3</v>
      </c>
      <c r="C135" s="4">
        <f>(B135-B134)/B134</f>
        <v/>
      </c>
      <c r="D135" s="4" t="n">
        <v>-0.0003838658241305506</v>
      </c>
      <c r="H135" s="3" t="inlineStr">
        <is>
          <t>2026-03-06</t>
        </is>
      </c>
      <c r="I135" s="7" t="n">
        <v>257.46</v>
      </c>
      <c r="J135" s="4">
        <f>(I135-I134)/I134</f>
        <v/>
      </c>
      <c r="K135" s="4" t="n">
        <v>0.001134452137855463</v>
      </c>
    </row>
    <row r="136">
      <c r="A136" s="3" t="inlineStr">
        <is>
          <t>2026-03-09</t>
        </is>
      </c>
      <c r="B136" s="7" t="n">
        <v>306.01</v>
      </c>
      <c r="C136" s="4">
        <f>(B136-B135)/B135</f>
        <v/>
      </c>
      <c r="D136" s="4" t="n">
        <v>-0.0003623665832125894</v>
      </c>
      <c r="H136" s="3" t="inlineStr">
        <is>
          <t>2026-03-09</t>
        </is>
      </c>
      <c r="I136" s="7" t="n">
        <v>259.88</v>
      </c>
      <c r="J136" s="4">
        <f>(I136-I135)/I135</f>
        <v/>
      </c>
      <c r="K136" s="4" t="n">
        <v>0.001273934527486041</v>
      </c>
    </row>
    <row r="137">
      <c r="A137" s="3" t="inlineStr">
        <is>
          <t>2026-03-10</t>
        </is>
      </c>
      <c r="B137" s="7" t="n">
        <v>306.93</v>
      </c>
      <c r="C137" s="4">
        <f>(B137-B136)/B136</f>
        <v/>
      </c>
      <c r="D137" s="4" t="n">
        <v>-0.0003566863834973235</v>
      </c>
      <c r="H137" s="3" t="inlineStr">
        <is>
          <t>2026-03-10</t>
        </is>
      </c>
      <c r="I137" s="7" t="n">
        <v>260.83</v>
      </c>
      <c r="J137" s="4">
        <f>(I137-I136)/I136</f>
        <v/>
      </c>
      <c r="K137" s="4" t="n">
        <v>0.001287522071807029</v>
      </c>
    </row>
    <row r="138">
      <c r="A138" s="3" t="inlineStr">
        <is>
          <t>2026-03-11</t>
        </is>
      </c>
      <c r="B138" s="7" t="n">
        <v>308.42</v>
      </c>
      <c r="C138" s="4">
        <f>(B138-B137)/B137</f>
        <v/>
      </c>
      <c r="D138" s="4" t="n">
        <v>-0.0002837885775096988</v>
      </c>
      <c r="H138" s="3" t="inlineStr">
        <is>
          <t>2026-03-11</t>
        </is>
      </c>
      <c r="I138" s="7" t="n">
        <v>260.81</v>
      </c>
      <c r="J138" s="4">
        <f>(I138-I137)/I137</f>
        <v/>
      </c>
      <c r="K138" s="4" t="n">
        <v>0.001316752011704512</v>
      </c>
    </row>
    <row r="139">
      <c r="A139" s="3" t="inlineStr">
        <is>
          <t>2026-03-12</t>
        </is>
      </c>
      <c r="B139" s="7" t="n">
        <v>303.21</v>
      </c>
      <c r="C139" s="4">
        <f>(B139-B138)/B138</f>
        <v/>
      </c>
      <c r="D139" s="4" t="n">
        <v>-3.1677648251365e-05</v>
      </c>
      <c r="H139" s="3" t="inlineStr">
        <is>
          <t>2026-03-12</t>
        </is>
      </c>
      <c r="I139" s="7" t="n">
        <v>255.76</v>
      </c>
      <c r="J139" s="4">
        <f>(I139-I138)/I138</f>
        <v/>
      </c>
      <c r="K139" s="4" t="n">
        <v>0.001440316869711391</v>
      </c>
    </row>
    <row r="140">
      <c r="A140" s="3" t="inlineStr">
        <is>
          <t>2026-03-13</t>
        </is>
      </c>
      <c r="B140" s="7" t="n">
        <v>301.46</v>
      </c>
      <c r="C140" s="4">
        <f>(B140-B139)/B139</f>
        <v/>
      </c>
      <c r="D140" s="4" t="n">
        <v>-2.59848248622568e-05</v>
      </c>
      <c r="H140" s="3" t="inlineStr">
        <is>
          <t>2026-03-13</t>
        </is>
      </c>
      <c r="I140" s="7" t="n">
        <v>250.12</v>
      </c>
      <c r="J140" s="4">
        <f>(I140-I139)/I139</f>
        <v/>
      </c>
      <c r="K140" s="4" t="n">
        <v>0.001781112626951748</v>
      </c>
    </row>
    <row r="141">
      <c r="A141" s="3" t="inlineStr">
        <is>
          <t>2026-03-16</t>
        </is>
      </c>
      <c r="B141" s="7" t="n">
        <v>304.42</v>
      </c>
      <c r="C141" s="4">
        <f>(B141-B140)/B140</f>
        <v/>
      </c>
      <c r="D141" s="4" t="n">
        <v>0</v>
      </c>
      <c r="H141" s="3" t="inlineStr">
        <is>
          <t>2026-03-16</t>
        </is>
      </c>
      <c r="I141" s="7" t="n">
        <v>252.82</v>
      </c>
      <c r="J141" s="4">
        <f>(I141-I140)/I140</f>
        <v/>
      </c>
      <c r="K141" s="4" t="n">
        <v>0.001824085221261537</v>
      </c>
    </row>
    <row r="142">
      <c r="A142" s="3" t="inlineStr">
        <is>
          <t>2026-03-17</t>
        </is>
      </c>
      <c r="B142" s="7" t="n">
        <v>309.41</v>
      </c>
      <c r="C142" s="4">
        <f>(B142-B141)/B141</f>
        <v/>
      </c>
      <c r="D142" s="4" t="n">
        <v>5.921890267367959e-05</v>
      </c>
      <c r="H142" s="3" t="inlineStr">
        <is>
          <t>2026-03-17</t>
        </is>
      </c>
      <c r="I142" s="7" t="n">
        <v>254.23</v>
      </c>
      <c r="J142" s="4">
        <f>(I142-I141)/I141</f>
        <v/>
      </c>
      <c r="K142" s="4" t="n">
        <v>0.002021049420378175</v>
      </c>
    </row>
    <row r="143">
      <c r="A143" s="3" t="inlineStr">
        <is>
          <t>2026-03-18</t>
        </is>
      </c>
      <c r="B143" s="7" t="n">
        <v>306.3</v>
      </c>
      <c r="C143" s="4">
        <f>(B143-B142)/B142</f>
        <v/>
      </c>
      <c r="D143" s="4" t="n">
        <v>8.115894980311573e-05</v>
      </c>
      <c r="H143" s="3" t="inlineStr">
        <is>
          <t>2026-03-18</t>
        </is>
      </c>
      <c r="I143" s="7" t="n">
        <v>249.94</v>
      </c>
      <c r="J143" s="4">
        <f>(I143-I142)/I142</f>
        <v/>
      </c>
      <c r="K143" s="4" t="n">
        <v>0.002044060867590357</v>
      </c>
    </row>
    <row r="144">
      <c r="A144" t="inlineStr">
        <is>
          <t>2026-03-19</t>
        </is>
      </c>
      <c r="B144" s="7" t="n">
        <v>305.73</v>
      </c>
      <c r="C144" s="4">
        <f>(B144-B143)/B143</f>
        <v/>
      </c>
      <c r="D144" s="4" t="n">
        <v>0.0004049197752695881</v>
      </c>
      <c r="H144" t="inlineStr">
        <is>
          <t>2026-03-19</t>
        </is>
      </c>
      <c r="I144" s="7" t="n">
        <v>248.96</v>
      </c>
      <c r="J144" s="4">
        <f>(I144-I143)/I143</f>
        <v/>
      </c>
      <c r="K144" s="4" t="n">
        <v>0.002094089612593364</v>
      </c>
    </row>
    <row r="145">
      <c r="A145" t="inlineStr">
        <is>
          <t>2026-03-20</t>
        </is>
      </c>
      <c r="B145" s="7" t="n">
        <v>298.79</v>
      </c>
      <c r="C145" s="4">
        <f>(B145-B144)/B144</f>
        <v/>
      </c>
      <c r="D145" s="4" t="n">
        <v>0.0005089220395051529</v>
      </c>
      <c r="H145" t="inlineStr">
        <is>
          <t>2026-03-20</t>
        </is>
      </c>
      <c r="I145" s="7" t="n">
        <v>247.99</v>
      </c>
      <c r="J145" s="4">
        <f>(I145-I144)/I144</f>
        <v/>
      </c>
      <c r="K145" s="4" t="n">
        <v>0.002194850291554792</v>
      </c>
    </row>
    <row r="146">
      <c r="A146" t="inlineStr">
        <is>
          <t>2026-03-23</t>
        </is>
      </c>
      <c r="B146" s="7" t="n">
        <v>299.02</v>
      </c>
      <c r="C146" s="4">
        <f>(B146-B145)/B145</f>
        <v/>
      </c>
      <c r="D146" s="4" t="n">
        <v>0.0006753803980771026</v>
      </c>
      <c r="H146" t="inlineStr">
        <is>
          <t>2026-03-23</t>
        </is>
      </c>
      <c r="I146" s="7" t="n">
        <v>251.49</v>
      </c>
      <c r="J146" s="4">
        <f>(I146-I145)/I145</f>
        <v/>
      </c>
      <c r="K146" s="4" t="n">
        <v>0.002602230483271333</v>
      </c>
    </row>
    <row r="147">
      <c r="A147" t="inlineStr">
        <is>
          <t>2026-03-24</t>
        </is>
      </c>
      <c r="B147" s="7" t="n">
        <v>289.2</v>
      </c>
      <c r="C147" s="4">
        <f>(B147-B146)/B146</f>
        <v/>
      </c>
      <c r="D147" s="4" t="n">
        <v>0.0007697714113590192</v>
      </c>
      <c r="H147" t="inlineStr">
        <is>
          <t>2026-03-24</t>
        </is>
      </c>
      <c r="I147" s="7" t="n">
        <v>251.64</v>
      </c>
      <c r="J147" s="4">
        <f>(I147-I146)/I146</f>
        <v/>
      </c>
      <c r="K147" s="4" t="n">
        <v>0.002826569755703568</v>
      </c>
    </row>
    <row r="148">
      <c r="A148" t="inlineStr">
        <is>
          <t>2026-03-25</t>
        </is>
      </c>
      <c r="B148" s="7" t="n">
        <v>289.59</v>
      </c>
      <c r="C148" s="4">
        <f>(B148-B147)/B147</f>
        <v/>
      </c>
      <c r="D148" s="4" t="n">
        <v>0.00123066104078767</v>
      </c>
      <c r="H148" t="inlineStr">
        <is>
          <t>2026-03-25</t>
        </is>
      </c>
      <c r="I148" s="7" t="n">
        <v>252.62</v>
      </c>
      <c r="J148" s="4">
        <f>(I148-I147)/I147</f>
        <v/>
      </c>
      <c r="K148" s="4" t="n">
        <v>0.002944848116257351</v>
      </c>
    </row>
    <row r="149">
      <c r="A149" t="inlineStr">
        <is>
          <t>2026-03-26</t>
        </is>
      </c>
      <c r="B149" s="7" t="n">
        <v>280.74</v>
      </c>
      <c r="C149" s="4">
        <f>(B149-B148)/B148</f>
        <v/>
      </c>
      <c r="D149" s="4" t="n">
        <v>0.001348547717842277</v>
      </c>
      <c r="H149" t="inlineStr">
        <is>
          <t>2026-03-26</t>
        </is>
      </c>
      <c r="I149" s="7" t="n">
        <v>252.89</v>
      </c>
      <c r="J149" s="4">
        <f>(I149-I148)/I148</f>
        <v/>
      </c>
      <c r="K149" s="4" t="n">
        <v>0.003073967339097066</v>
      </c>
    </row>
    <row r="150">
      <c r="A150" t="inlineStr">
        <is>
          <t>2026-03-27</t>
        </is>
      </c>
      <c r="B150" s="7" t="n">
        <v>273.76</v>
      </c>
      <c r="C150" s="4">
        <f>(B150-B149)/B149</f>
        <v/>
      </c>
      <c r="D150" s="4" t="n">
        <v>0.002071992976294908</v>
      </c>
      <c r="H150" t="inlineStr">
        <is>
          <t>2026-03-27</t>
        </is>
      </c>
      <c r="I150" s="7" t="n">
        <v>248.8</v>
      </c>
      <c r="J150" s="4">
        <f>(I150-I149)/I149</f>
        <v/>
      </c>
      <c r="K150" s="4" t="n">
        <v>0.003126410107651735</v>
      </c>
    </row>
    <row r="151">
      <c r="A151" t="inlineStr">
        <is>
          <t>2026-03-30</t>
        </is>
      </c>
      <c r="B151" s="7" t="n">
        <v>273.14</v>
      </c>
      <c r="C151" s="4">
        <f>(B151-B150)/B150</f>
        <v/>
      </c>
      <c r="D151" s="4" t="n">
        <v>0.002355971602688949</v>
      </c>
      <c r="H151" t="inlineStr">
        <is>
          <t>2026-03-30</t>
        </is>
      </c>
      <c r="I151" s="7" t="n">
        <v>246.63</v>
      </c>
      <c r="J151" s="4">
        <f>(I151-I150)/I150</f>
        <v/>
      </c>
      <c r="K151" s="4" t="n">
        <v>0.003200258606755947</v>
      </c>
    </row>
    <row r="152">
      <c r="A152" t="inlineStr">
        <is>
          <t>2026-03-31</t>
        </is>
      </c>
      <c r="B152" s="7" t="n">
        <v>286.86</v>
      </c>
      <c r="C152" s="4">
        <f>(B152-B151)/B151</f>
        <v/>
      </c>
      <c r="D152" s="4" t="n">
        <v>0.002473942490976249</v>
      </c>
      <c r="H152" t="inlineStr">
        <is>
          <t>2026-03-31</t>
        </is>
      </c>
      <c r="I152" s="7" t="n">
        <v>253.79</v>
      </c>
      <c r="J152" s="4">
        <f>(I152-I151)/I151</f>
        <v/>
      </c>
      <c r="K152" s="4" t="n">
        <v>0.003220358952205134</v>
      </c>
    </row>
    <row r="153">
      <c r="A153" t="inlineStr">
        <is>
          <t>2026-04-01</t>
        </is>
      </c>
      <c r="B153" s="7" t="n">
        <v>294.9</v>
      </c>
      <c r="C153" s="4">
        <f>(B153-B152)/B152</f>
        <v/>
      </c>
      <c r="D153" s="4" t="n">
        <v>0.002491901320707676</v>
      </c>
      <c r="H153" t="inlineStr">
        <is>
          <t>2026-04-01</t>
        </is>
      </c>
      <c r="I153" s="7" t="n">
        <v>255.63</v>
      </c>
      <c r="J153" s="4">
        <f>(I153-I152)/I152</f>
        <v/>
      </c>
      <c r="K153" s="4" t="n">
        <v>0.003392836488414217</v>
      </c>
    </row>
    <row r="154">
      <c r="A154" s="3" t="inlineStr">
        <is>
          <t>2026-04-02</t>
        </is>
      </c>
      <c r="B154" s="7" t="n">
        <v>294.46</v>
      </c>
      <c r="C154" s="4">
        <f>(B154-B153)/B153</f>
        <v/>
      </c>
      <c r="D154" s="4" t="n">
        <v>0.002856054836252784</v>
      </c>
      <c r="H154" s="3" t="inlineStr">
        <is>
          <t>2026-04-02</t>
        </is>
      </c>
      <c r="I154" s="7" t="n">
        <v>255.92</v>
      </c>
      <c r="J154" s="4">
        <f>(I154-I153)/I153</f>
        <v/>
      </c>
      <c r="K154" s="4" t="n">
        <v>0.003461284175319824</v>
      </c>
    </row>
    <row r="155">
      <c r="A155" s="3" t="inlineStr">
        <is>
          <t>2026-04-06</t>
        </is>
      </c>
      <c r="B155" s="7" t="n">
        <v>297.66</v>
      </c>
      <c r="C155" s="4">
        <f>(B155-B154)/B154</f>
        <v/>
      </c>
      <c r="D155" s="4" t="n">
        <v>0.003006437698114493</v>
      </c>
      <c r="H155" s="3" t="inlineStr">
        <is>
          <t>2026-04-06</t>
        </is>
      </c>
      <c r="I155" s="7" t="n">
        <v>258.86</v>
      </c>
      <c r="J155" s="4">
        <f>(I155-I154)/I154</f>
        <v/>
      </c>
      <c r="K155" s="4" t="n">
        <v>0.003521234575461692</v>
      </c>
    </row>
    <row r="156">
      <c r="A156" s="3" t="inlineStr">
        <is>
          <t>2026-04-07</t>
        </is>
      </c>
      <c r="B156" s="7" t="n">
        <v>303.93</v>
      </c>
      <c r="C156" s="4">
        <f>(B156-B155)/B155</f>
        <v/>
      </c>
      <c r="D156" s="4" t="n">
        <v>0.003101032754658483</v>
      </c>
      <c r="H156" s="3" t="inlineStr">
        <is>
          <t>2026-04-07</t>
        </is>
      </c>
      <c r="I156" s="7" t="n">
        <v>253.5</v>
      </c>
      <c r="J156" s="4">
        <f>(I156-I155)/I155</f>
        <v/>
      </c>
      <c r="K156" s="4" t="n">
        <v>0.003527188746588299</v>
      </c>
    </row>
    <row r="157">
      <c r="A157" s="3" t="inlineStr">
        <is>
          <t>2026-04-08</t>
        </is>
      </c>
      <c r="B157" s="7" t="n">
        <v>314.74</v>
      </c>
      <c r="C157" s="4">
        <f>(B157-B156)/B156</f>
        <v/>
      </c>
      <c r="D157" s="4" t="n">
        <v>0.003351311724354688</v>
      </c>
      <c r="H157" s="3" t="inlineStr">
        <is>
          <t>2026-04-08</t>
        </is>
      </c>
      <c r="I157" s="7" t="n">
        <v>258.9</v>
      </c>
      <c r="J157" s="4">
        <f>(I157-I156)/I156</f>
        <v/>
      </c>
      <c r="K157" s="4" t="n">
        <v>0.003545000860437008</v>
      </c>
    </row>
    <row r="158">
      <c r="A158" s="3" t="inlineStr">
        <is>
          <t>2026-04-09</t>
        </is>
      </c>
      <c r="B158" s="7" t="n">
        <v>316.37</v>
      </c>
      <c r="C158" s="4">
        <f>(B158-B157)/B157</f>
        <v/>
      </c>
      <c r="D158" s="4" t="n">
        <v>0.003352129511732507</v>
      </c>
      <c r="H158" s="3" t="inlineStr">
        <is>
          <t>2026-04-09</t>
        </is>
      </c>
      <c r="I158" s="7" t="n">
        <v>260.49</v>
      </c>
      <c r="J158" s="4">
        <f>(I158-I157)/I157</f>
        <v/>
      </c>
      <c r="K158" s="4" t="n">
        <v>0.003575818527209668</v>
      </c>
    </row>
    <row r="159">
      <c r="A159" s="3" t="inlineStr">
        <is>
          <t>2026-04-10</t>
        </is>
      </c>
      <c r="B159" s="7" t="n">
        <v>315.72</v>
      </c>
      <c r="C159" s="4">
        <f>(B159-B158)/B158</f>
        <v/>
      </c>
      <c r="D159" s="4" t="n">
        <v>0.003624664005864685</v>
      </c>
      <c r="H159" s="3" t="inlineStr">
        <is>
          <t>2026-04-10</t>
        </is>
      </c>
      <c r="I159" s="7" t="n">
        <v>260.48</v>
      </c>
      <c r="J159" s="4">
        <f>(I159-I158)/I158</f>
        <v/>
      </c>
      <c r="K159" s="4" t="n">
        <v>0.0036050406763439</v>
      </c>
    </row>
    <row r="160">
      <c r="A160" s="3" t="inlineStr">
        <is>
          <t>2026-04-13</t>
        </is>
      </c>
      <c r="B160" s="7" t="n">
        <v>319.21</v>
      </c>
      <c r="C160" s="4">
        <f>(B160-B159)/B159</f>
        <v/>
      </c>
      <c r="D160" s="4" t="n">
        <v>0.003698566805362937</v>
      </c>
      <c r="H160" s="3" t="inlineStr">
        <is>
          <t>2026-04-13</t>
        </is>
      </c>
      <c r="I160" s="7" t="n">
        <v>259.2</v>
      </c>
      <c r="J160" s="4">
        <f>(I160-I159)/I159</f>
        <v/>
      </c>
      <c r="K160" s="4" t="n">
        <v>0.003655533323072144</v>
      </c>
    </row>
    <row r="161">
      <c r="A161" s="3" t="inlineStr">
        <is>
          <t>2026-04-14</t>
        </is>
      </c>
      <c r="B161" s="7" t="n">
        <v>330.58</v>
      </c>
      <c r="C161" s="4">
        <f>(B161-B160)/B160</f>
        <v/>
      </c>
      <c r="D161" s="4" t="n">
        <v>0.003820895522387978</v>
      </c>
      <c r="H161" s="3" t="inlineStr">
        <is>
          <t>2026-04-14</t>
        </is>
      </c>
      <c r="I161" s="7" t="n">
        <v>258.83</v>
      </c>
      <c r="J161" s="4">
        <f>(I161-I160)/I160</f>
        <v/>
      </c>
      <c r="K161" s="4" t="n">
        <v>0.003679613454748222</v>
      </c>
    </row>
    <row r="162">
      <c r="A162" s="3" t="inlineStr">
        <is>
          <t>2026-04-15</t>
        </is>
      </c>
      <c r="B162" s="7" t="n">
        <v>334.47</v>
      </c>
      <c r="C162" s="4">
        <f>(B162-B161)/B161</f>
        <v/>
      </c>
      <c r="D162" s="4" t="n">
        <v>0.003957465845349235</v>
      </c>
      <c r="H162" s="3" t="inlineStr">
        <is>
          <t>2026-04-15</t>
        </is>
      </c>
      <c r="I162" s="7" t="n">
        <v>266.43</v>
      </c>
      <c r="J162" s="4">
        <f>(I162-I161)/I161</f>
        <v/>
      </c>
      <c r="K162" s="4" t="n">
        <v>0.003793983346763539</v>
      </c>
    </row>
    <row r="163">
      <c r="A163" t="inlineStr">
        <is>
          <t>2026-04-16</t>
        </is>
      </c>
      <c r="B163" s="7" t="n">
        <v>332.77</v>
      </c>
      <c r="C163" s="4">
        <f>(B163-B162)/B162</f>
        <v/>
      </c>
      <c r="D163" s="4" t="n">
        <v>0.004023522129371571</v>
      </c>
      <c r="H163" t="inlineStr">
        <is>
          <t>2026-04-16</t>
        </is>
      </c>
      <c r="I163" s="7" t="n">
        <v>263.4</v>
      </c>
      <c r="J163" s="4">
        <f>(I163-I162)/I162</f>
        <v/>
      </c>
      <c r="K163" s="4" t="n">
        <v>0.003805450855320424</v>
      </c>
    </row>
    <row r="164">
      <c r="A164" t="inlineStr">
        <is>
          <t>2026-04-17</t>
        </is>
      </c>
      <c r="B164" s="7" t="n">
        <v>339.4</v>
      </c>
      <c r="C164" s="4">
        <f>(B164-B163)/B163</f>
        <v/>
      </c>
      <c r="D164" s="4" t="n">
        <v>0.004226745406037426</v>
      </c>
      <c r="H164" t="inlineStr">
        <is>
          <t>2026-04-17</t>
        </is>
      </c>
      <c r="I164" s="7" t="n">
        <v>270.23</v>
      </c>
      <c r="J164" s="4">
        <f>(I164-I163)/I163</f>
        <v/>
      </c>
      <c r="K164" s="4" t="n">
        <v>0.003850830968788071</v>
      </c>
    </row>
    <row r="165">
      <c r="A165" t="inlineStr">
        <is>
          <t>2026-04-20</t>
        </is>
      </c>
      <c r="B165" s="7" t="n">
        <v>335.4</v>
      </c>
      <c r="C165" s="4">
        <f>(B165-B164)/B164</f>
        <v/>
      </c>
      <c r="D165" s="4" t="n">
        <v>0.004427017455097394</v>
      </c>
      <c r="H165" t="inlineStr">
        <is>
          <t>2026-04-20</t>
        </is>
      </c>
      <c r="I165" s="7" t="n">
        <v>273.05</v>
      </c>
      <c r="J165" s="4">
        <f>(I165-I164)/I164</f>
        <v/>
      </c>
      <c r="K165" s="4" t="n">
        <v>0.003894452392306542</v>
      </c>
    </row>
    <row r="166">
      <c r="A166" t="inlineStr">
        <is>
          <t>2026-04-21</t>
        </is>
      </c>
      <c r="B166" s="7" t="n">
        <v>330.47</v>
      </c>
      <c r="C166" s="4">
        <f>(B166-B165)/B165</f>
        <v/>
      </c>
      <c r="D166" s="4" t="n">
        <v>0.004487323311644668</v>
      </c>
      <c r="H166" t="inlineStr">
        <is>
          <t>2026-04-21</t>
        </is>
      </c>
      <c r="I166" s="7" t="n">
        <v>266.17</v>
      </c>
      <c r="J166" s="4">
        <f>(I166-I165)/I165</f>
        <v/>
      </c>
      <c r="K166" s="4" t="n">
        <v>0.004187855219862416</v>
      </c>
    </row>
    <row r="167">
      <c r="A167" t="inlineStr">
        <is>
          <t>2026-04-22</t>
        </is>
      </c>
      <c r="B167" s="7" t="n">
        <v>337.73</v>
      </c>
      <c r="C167" s="4">
        <f>(B167-B166)/B166</f>
        <v/>
      </c>
      <c r="D167" s="4" t="n">
        <v>0.004585682156731002</v>
      </c>
      <c r="H167" t="inlineStr">
        <is>
          <t>2026-04-22</t>
        </is>
      </c>
      <c r="I167" s="7" t="n">
        <v>273.17</v>
      </c>
      <c r="J167" s="4">
        <f>(I167-I166)/I166</f>
        <v/>
      </c>
      <c r="K167" s="4" t="n">
        <v>0.004367620387163663</v>
      </c>
    </row>
    <row r="168">
      <c r="A168" t="inlineStr">
        <is>
          <t>2026-04-23</t>
        </is>
      </c>
      <c r="B168" s="7" t="n">
        <v>337.75</v>
      </c>
      <c r="C168" s="4">
        <f>(B168-B167)/B167</f>
        <v/>
      </c>
      <c r="D168" s="4" t="n">
        <v>0.004734622423808378</v>
      </c>
      <c r="H168" t="inlineStr">
        <is>
          <t>2026-04-23</t>
        </is>
      </c>
      <c r="I168" s="7" t="n">
        <v>273.43</v>
      </c>
      <c r="J168" s="4">
        <f>(I168-I167)/I167</f>
        <v/>
      </c>
      <c r="K168" s="4" t="n">
        <v>0.004372218997871912</v>
      </c>
    </row>
    <row r="169">
      <c r="A169" t="inlineStr">
        <is>
          <t>2026-04-24</t>
        </is>
      </c>
      <c r="B169" s="7" t="n">
        <v>342.32</v>
      </c>
      <c r="C169" s="4">
        <f>(B169-B168)/B168</f>
        <v/>
      </c>
      <c r="D169" s="4" t="n">
        <v>0.00475191066407947</v>
      </c>
      <c r="H169" t="inlineStr">
        <is>
          <t>2026-04-24</t>
        </is>
      </c>
      <c r="I169" s="7" t="n">
        <v>271.06</v>
      </c>
      <c r="J169" s="4">
        <f>(I169-I168)/I168</f>
        <v/>
      </c>
      <c r="K169" s="4" t="n">
        <v>0.004533762057877894</v>
      </c>
    </row>
    <row r="170">
      <c r="A170" t="inlineStr">
        <is>
          <t>2026-04-27</t>
        </is>
      </c>
      <c r="B170" s="7" t="n">
        <v>348.52</v>
      </c>
      <c r="C170" s="4">
        <f>(B170-B169)/B169</f>
        <v/>
      </c>
      <c r="D170" s="4" t="n">
        <v>0.004843849585723333</v>
      </c>
      <c r="H170" t="inlineStr">
        <is>
          <t>2026-04-27</t>
        </is>
      </c>
      <c r="I170" s="7" t="n">
        <v>267.61</v>
      </c>
      <c r="J170" s="4">
        <f>(I170-I169)/I169</f>
        <v/>
      </c>
      <c r="K170" s="4" t="n">
        <v>0.004646120489391534</v>
      </c>
    </row>
    <row r="171">
      <c r="A171" t="inlineStr">
        <is>
          <t>2026-04-28</t>
        </is>
      </c>
      <c r="B171" s="7" t="n">
        <v>347.5</v>
      </c>
      <c r="C171" s="4">
        <f>(B171-B170)/B170</f>
        <v/>
      </c>
      <c r="D171" s="4" t="n">
        <v>0.004854527090867654</v>
      </c>
      <c r="H171" t="inlineStr">
        <is>
          <t>2026-04-28</t>
        </is>
      </c>
      <c r="I171" s="7" t="n">
        <v>270.71</v>
      </c>
      <c r="J171" s="4">
        <f>(I171-I170)/I170</f>
        <v/>
      </c>
      <c r="K171" s="4" t="n">
        <v>0.004683840749414561</v>
      </c>
    </row>
    <row r="172">
      <c r="A172" t="inlineStr">
        <is>
          <t>2026-04-29</t>
        </is>
      </c>
      <c r="B172" s="7" t="n">
        <v>347.31</v>
      </c>
      <c r="C172" s="4">
        <f>(B172-B171)/B171</f>
        <v/>
      </c>
      <c r="D172" s="4" t="n">
        <v>0.005092669894807142</v>
      </c>
      <c r="H172" t="inlineStr">
        <is>
          <t>2026-04-29</t>
        </is>
      </c>
      <c r="I172" s="7" t="n">
        <v>270.17</v>
      </c>
      <c r="J172" s="4">
        <f>(I172-I171)/I171</f>
        <v/>
      </c>
      <c r="K172" s="4" t="n">
        <v>0.005129719157102211</v>
      </c>
    </row>
    <row r="173">
      <c r="A173" t="inlineStr">
        <is>
          <t>2026-04-30</t>
        </is>
      </c>
      <c r="B173" s="7" t="n">
        <v>381.94</v>
      </c>
      <c r="C173" s="4">
        <f>(B173-B172)/B172</f>
        <v/>
      </c>
      <c r="D173" s="4" t="n">
        <v>0.005178877803901618</v>
      </c>
      <c r="H173" t="inlineStr">
        <is>
          <t>2026-04-30</t>
        </is>
      </c>
      <c r="I173" s="7" t="n">
        <v>271.35</v>
      </c>
      <c r="J173" s="4">
        <f>(I173-I172)/I172</f>
        <v/>
      </c>
      <c r="K173" s="4" t="n">
        <v>0.005236279009632182</v>
      </c>
    </row>
    <row r="174">
      <c r="A174" t="inlineStr">
        <is>
          <t>2026-05-01</t>
        </is>
      </c>
      <c r="B174" s="7" t="n">
        <v>383.22</v>
      </c>
      <c r="C174" s="4">
        <f>(B174-B173)/B173</f>
        <v/>
      </c>
      <c r="D174" s="4" t="n">
        <v>0.005270608077583352</v>
      </c>
      <c r="H174" t="inlineStr">
        <is>
          <t>2026-05-01</t>
        </is>
      </c>
      <c r="I174" s="7" t="n">
        <v>280.14</v>
      </c>
      <c r="J174" s="4">
        <f>(I174-I173)/I173</f>
        <v/>
      </c>
      <c r="K174" s="4" t="n">
        <v>0.005323836099280322</v>
      </c>
    </row>
    <row r="175">
      <c r="A175" t="inlineStr">
        <is>
          <t>2026-05-04</t>
        </is>
      </c>
      <c r="B175" s="7" t="n">
        <v>379.64</v>
      </c>
      <c r="C175" s="4">
        <f>(B175-B174)/B174</f>
        <v/>
      </c>
      <c r="D175" s="4" t="n">
        <v>0.005835800501024857</v>
      </c>
      <c r="H175" t="inlineStr">
        <is>
          <t>2026-05-04</t>
        </is>
      </c>
      <c r="I175" s="7" t="n">
        <v>276.83</v>
      </c>
      <c r="J175" s="4">
        <f>(I175-I174)/I174</f>
        <v/>
      </c>
      <c r="K175" s="4" t="n">
        <v>0.005340196236126646</v>
      </c>
    </row>
    <row r="176">
      <c r="A176" s="3" t="inlineStr">
        <is>
          <t>2026-05-05</t>
        </is>
      </c>
      <c r="B176" s="7" t="n">
        <v>384.27</v>
      </c>
      <c r="C176" s="4">
        <f>(B176-B175)/B175</f>
        <v/>
      </c>
      <c r="D176" s="4" t="n">
        <v>0.006335840418574278</v>
      </c>
      <c r="H176" s="3" t="inlineStr">
        <is>
          <t>2026-05-05</t>
        </is>
      </c>
      <c r="I176" s="7" t="n">
        <v>284.18</v>
      </c>
      <c r="J176" s="4">
        <f>(I176-I175)/I175</f>
        <v/>
      </c>
      <c r="K176" s="4" t="n">
        <v>0.005437378301921519</v>
      </c>
    </row>
    <row r="177">
      <c r="A177" s="3" t="inlineStr">
        <is>
          <t>2026-05-06</t>
        </is>
      </c>
      <c r="B177" s="7" t="n">
        <v>395.14</v>
      </c>
      <c r="C177" s="4">
        <f>(B177-B176)/B176</f>
        <v/>
      </c>
      <c r="D177" s="4" t="n">
        <v>0.006342762907522517</v>
      </c>
      <c r="H177" s="3" t="inlineStr">
        <is>
          <t>2026-05-06</t>
        </is>
      </c>
      <c r="I177" s="7" t="n">
        <v>287.51</v>
      </c>
      <c r="J177" s="4">
        <f>(I177-I176)/I176</f>
        <v/>
      </c>
      <c r="K177" s="4" t="n">
        <v>0.005577090420061691</v>
      </c>
    </row>
    <row r="178">
      <c r="A178" s="3" t="inlineStr">
        <is>
          <t>2026-05-07</t>
        </is>
      </c>
      <c r="B178" s="7" t="n">
        <v>395.3</v>
      </c>
      <c r="C178" s="4">
        <f>(B178-B177)/B177</f>
        <v/>
      </c>
      <c r="D178" s="4" t="n">
        <v>0.006704953744306299</v>
      </c>
      <c r="H178" s="3" t="inlineStr">
        <is>
          <t>2026-05-07</t>
        </is>
      </c>
      <c r="I178" s="7" t="n">
        <v>287.44</v>
      </c>
      <c r="J178" s="4">
        <f>(I178-I177)/I177</f>
        <v/>
      </c>
      <c r="K178" s="4" t="n">
        <v>0.005772422252687661</v>
      </c>
    </row>
    <row r="179">
      <c r="A179" s="3" t="inlineStr">
        <is>
          <t>2026-05-08</t>
        </is>
      </c>
      <c r="B179" s="7" t="n">
        <v>397.05</v>
      </c>
      <c r="C179" s="4">
        <f>(B179-B178)/B178</f>
        <v/>
      </c>
      <c r="D179" s="4" t="n">
        <v>0.00678631159140601</v>
      </c>
      <c r="H179" s="3" t="inlineStr">
        <is>
          <t>2026-05-08</t>
        </is>
      </c>
      <c r="I179" s="7" t="n">
        <v>293.32</v>
      </c>
      <c r="J179" s="4">
        <f>(I179-I178)/I178</f>
        <v/>
      </c>
      <c r="K179" s="4" t="n">
        <v>0.00604732028120048</v>
      </c>
    </row>
    <row r="180">
      <c r="A180" s="3" t="inlineStr">
        <is>
          <t>2026-05-11</t>
        </is>
      </c>
      <c r="B180" s="7" t="n">
        <v>386.77</v>
      </c>
      <c r="C180" s="4">
        <f>(B180-B179)/B179</f>
        <v/>
      </c>
      <c r="D180" s="4" t="n">
        <v>0.007077435470441455</v>
      </c>
      <c r="H180" s="3" t="inlineStr">
        <is>
          <t>2026-05-11</t>
        </is>
      </c>
      <c r="I180" s="7" t="n">
        <v>292.68</v>
      </c>
      <c r="J180" s="4">
        <f>(I180-I179)/I179</f>
        <v/>
      </c>
      <c r="K180" s="4" t="n">
        <v>0.006125897760878822</v>
      </c>
    </row>
    <row r="181">
      <c r="A181" s="3" t="inlineStr">
        <is>
          <t>2026-05-12</t>
        </is>
      </c>
      <c r="B181" s="7" t="n">
        <v>383.82</v>
      </c>
      <c r="C181" s="4">
        <f>(B181-B180)/B180</f>
        <v/>
      </c>
      <c r="D181" s="4" t="n">
        <v>0.007491321030513367</v>
      </c>
      <c r="H181" s="3" t="inlineStr">
        <is>
          <t>2026-05-12</t>
        </is>
      </c>
      <c r="I181" s="7" t="n">
        <v>294.8</v>
      </c>
      <c r="J181" s="4">
        <f>(I181-I180)/I180</f>
        <v/>
      </c>
      <c r="K181" s="4" t="n">
        <v>0.00614136732329097</v>
      </c>
    </row>
    <row r="182">
      <c r="A182" s="3" t="inlineStr">
        <is>
          <t>2026-05-13</t>
        </is>
      </c>
      <c r="B182" s="7" t="n">
        <v>399.04</v>
      </c>
      <c r="C182" s="4">
        <f>(B182-B181)/B181</f>
        <v/>
      </c>
      <c r="D182" s="4" t="n">
        <v>0.007582976020327126</v>
      </c>
      <c r="H182" s="3" t="inlineStr">
        <is>
          <t>2026-05-13</t>
        </is>
      </c>
      <c r="I182" s="7" t="n">
        <v>298.87</v>
      </c>
      <c r="J182" s="4">
        <f>(I182-I181)/I181</f>
        <v/>
      </c>
      <c r="K182" s="4" t="n">
        <v>0.006160324391765377</v>
      </c>
    </row>
    <row r="183">
      <c r="A183" t="inlineStr">
        <is>
          <t>2026-05-14</t>
        </is>
      </c>
      <c r="B183" s="7" t="n">
        <v>397.17</v>
      </c>
      <c r="C183" s="4">
        <f>(B183-B182)/B182</f>
        <v/>
      </c>
      <c r="D183" s="4" t="n">
        <v>0.007732166348967689</v>
      </c>
      <c r="H183" t="inlineStr">
        <is>
          <t>2026-05-14</t>
        </is>
      </c>
      <c r="I183" s="7" t="n">
        <v>298.21</v>
      </c>
      <c r="J183" s="4">
        <f>(I183-I182)/I182</f>
        <v/>
      </c>
      <c r="K183" s="4" t="n">
        <v>0.006303299962921723</v>
      </c>
    </row>
    <row r="184">
      <c r="A184" t="inlineStr">
        <is>
          <t>2026-05-15</t>
        </is>
      </c>
      <c r="B184" s="7" t="n">
        <v>393.32</v>
      </c>
      <c r="C184" s="4">
        <f>(B184-B183)/B183</f>
        <v/>
      </c>
      <c r="D184" s="4" t="n">
        <v>0.008161237669434432</v>
      </c>
      <c r="H184" t="inlineStr">
        <is>
          <t>2026-05-15</t>
        </is>
      </c>
      <c r="I184" s="7" t="n">
        <v>300.23</v>
      </c>
      <c r="J184" s="4">
        <f>(I184-I183)/I183</f>
        <v/>
      </c>
      <c r="K184" s="4" t="n">
        <v>0.006311049092984933</v>
      </c>
    </row>
    <row r="185">
      <c r="A185" t="inlineStr">
        <is>
          <t>2026-05-18</t>
        </is>
      </c>
      <c r="B185" s="7" t="n">
        <v>393.11</v>
      </c>
      <c r="C185" s="4">
        <f>(B185-B184)/B184</f>
        <v/>
      </c>
      <c r="D185" s="4" t="n">
        <v>0.008170806815848822</v>
      </c>
      <c r="H185" t="inlineStr">
        <is>
          <t>2026-05-18</t>
        </is>
      </c>
      <c r="I185" s="7" t="n">
        <v>297.84</v>
      </c>
      <c r="J185" s="4">
        <f>(I185-I184)/I184</f>
        <v/>
      </c>
      <c r="K185" s="4" t="n">
        <v>0.006336521774226069</v>
      </c>
    </row>
    <row r="186">
      <c r="A186" t="inlineStr">
        <is>
          <t>2026-05-19</t>
        </is>
      </c>
      <c r="B186" s="7" t="n">
        <v>384.9</v>
      </c>
      <c r="C186" s="4">
        <f>(B186-B185)/B185</f>
        <v/>
      </c>
      <c r="D186" s="4" t="n">
        <v>0.008310168251645867</v>
      </c>
      <c r="H186" t="inlineStr">
        <is>
          <t>2026-05-19</t>
        </is>
      </c>
      <c r="I186" s="7" t="n">
        <v>298.97</v>
      </c>
      <c r="J186" s="4">
        <f>(I186-I185)/I185</f>
        <v/>
      </c>
      <c r="K186" s="4" t="n">
        <v>0.006576629477392864</v>
      </c>
    </row>
    <row r="187">
      <c r="A187" t="inlineStr">
        <is>
          <t>2026-05-20</t>
        </is>
      </c>
      <c r="B187" s="7" t="n">
        <v>384.9</v>
      </c>
      <c r="C187" s="4">
        <f>(B187-B186)/B186</f>
        <v/>
      </c>
      <c r="D187" s="4" t="n">
        <v>0.008813713100677134</v>
      </c>
      <c r="H187" t="inlineStr">
        <is>
          <t>2026-05-20</t>
        </is>
      </c>
      <c r="I187" s="7" t="n">
        <v>302.25</v>
      </c>
      <c r="J187" s="4">
        <f>(I187-I186)/I186</f>
        <v/>
      </c>
      <c r="K187" s="4" t="n">
        <v>0.006650102309266271</v>
      </c>
    </row>
    <row r="188">
      <c r="A188" t="inlineStr">
        <is>
          <t>2026-05-21</t>
        </is>
      </c>
      <c r="B188" s="7" t="n">
        <v>383.47</v>
      </c>
      <c r="C188" s="4">
        <f>(B188-B187)/B187</f>
        <v/>
      </c>
      <c r="D188" s="4" t="n">
        <v>0.009170157364428872</v>
      </c>
      <c r="H188" t="inlineStr">
        <is>
          <t>2026-05-21</t>
        </is>
      </c>
      <c r="I188" s="7" t="n">
        <v>304.99</v>
      </c>
      <c r="J188" s="4">
        <f>(I188-I187)/I187</f>
        <v/>
      </c>
      <c r="K188" s="4" t="n">
        <v>0.0067737500419169</v>
      </c>
    </row>
    <row r="189">
      <c r="A189" t="inlineStr">
        <is>
          <t>2026-05-22</t>
        </is>
      </c>
      <c r="B189" s="7" t="n">
        <v>379.38</v>
      </c>
      <c r="C189" s="4">
        <f>(B189-B188)/B188</f>
        <v/>
      </c>
      <c r="D189" s="4" t="n">
        <v>0.009500901984365508</v>
      </c>
      <c r="H189" t="inlineStr">
        <is>
          <t>2026-05-22</t>
        </is>
      </c>
      <c r="I189" s="7" t="n">
        <v>308.82</v>
      </c>
      <c r="J189" s="4">
        <f>(I189-I188)/I188</f>
        <v/>
      </c>
      <c r="K189" s="4" t="n">
        <v>0.006960635242439609</v>
      </c>
    </row>
    <row r="190">
      <c r="A190" t="inlineStr">
        <is>
          <t>2026-05-26</t>
        </is>
      </c>
      <c r="B190" s="7" t="n">
        <v>384.84</v>
      </c>
      <c r="C190" s="4">
        <f>(B190-B189)/B189</f>
        <v/>
      </c>
      <c r="D190" s="4" t="n">
        <v>0.009600932486733523</v>
      </c>
      <c r="H190" t="inlineStr">
        <is>
          <t>2026-05-26</t>
        </is>
      </c>
      <c r="I190" s="7" t="n">
        <v>308.33</v>
      </c>
      <c r="J190" s="4">
        <f>(I190-I189)/I189</f>
        <v/>
      </c>
      <c r="K190" s="4" t="n">
        <v>0.007175167680548959</v>
      </c>
    </row>
    <row r="191">
      <c r="A191" t="inlineStr">
        <is>
          <t>2026-05-27</t>
        </is>
      </c>
      <c r="B191" s="7" t="n">
        <v>384.83</v>
      </c>
      <c r="C191" s="4">
        <f>(B191-B190)/B190</f>
        <v/>
      </c>
      <c r="D191" s="4" t="n">
        <v>0.009818881443641068</v>
      </c>
      <c r="H191" t="inlineStr">
        <is>
          <t>2026-05-27</t>
        </is>
      </c>
      <c r="I191" s="7" t="n">
        <v>310.85</v>
      </c>
      <c r="J191" s="4">
        <f>(I191-I190)/I190</f>
        <v/>
      </c>
      <c r="K191" s="4" t="n">
        <v>0.007243405767391023</v>
      </c>
    </row>
    <row r="192">
      <c r="A192" t="inlineStr">
        <is>
          <t>2026-05-28</t>
        </is>
      </c>
      <c r="B192" s="7" t="n">
        <v>386.12</v>
      </c>
      <c r="C192" s="4">
        <f>(B192-B191)/B191</f>
        <v/>
      </c>
      <c r="D192" s="4" t="n">
        <v>0.009925955573344079</v>
      </c>
      <c r="H192" t="inlineStr">
        <is>
          <t>2026-05-28</t>
        </is>
      </c>
      <c r="I192" s="7" t="n">
        <v>312.51</v>
      </c>
      <c r="J192" s="4">
        <f>(I192-I191)/I191</f>
        <v/>
      </c>
      <c r="K192" s="4" t="n">
        <v>0.007250088655975427</v>
      </c>
    </row>
    <row r="193">
      <c r="A193" t="inlineStr">
        <is>
          <t>2026-05-29</t>
        </is>
      </c>
      <c r="B193" s="7" t="n">
        <v>376.43</v>
      </c>
      <c r="C193" s="4">
        <f>(B193-B192)/B192</f>
        <v/>
      </c>
      <c r="D193" s="4" t="n">
        <v>0.01022816679779701</v>
      </c>
      <c r="H193" t="inlineStr">
        <is>
          <t>2026-05-29</t>
        </is>
      </c>
      <c r="I193" s="7" t="n">
        <v>312.06</v>
      </c>
      <c r="J193" s="4">
        <f>(I193-I192)/I192</f>
        <v/>
      </c>
      <c r="K193" s="4" t="n">
        <v>0.007679870654810142</v>
      </c>
    </row>
    <row r="194">
      <c r="A194" t="inlineStr">
        <is>
          <t>2026-06-01</t>
        </is>
      </c>
      <c r="B194" s="7" t="n">
        <v>372.58</v>
      </c>
      <c r="C194" s="4">
        <f>(B194-B193)/B193</f>
        <v/>
      </c>
      <c r="D194" s="4" t="n">
        <v>0.01049451423119736</v>
      </c>
      <c r="H194" t="inlineStr">
        <is>
          <t>2026-06-01</t>
        </is>
      </c>
      <c r="I194" s="7" t="n">
        <v>306.31</v>
      </c>
      <c r="J194" s="4">
        <f>(I194-I193)/I193</f>
        <v/>
      </c>
      <c r="K194" s="4" t="n">
        <v>0.008009858287122537</v>
      </c>
    </row>
    <row r="195">
      <c r="A195" s="3" t="inlineStr">
        <is>
          <t>2026-06-02</t>
        </is>
      </c>
      <c r="B195" s="7" t="n">
        <v>358.39</v>
      </c>
      <c r="C195" s="4">
        <f>(B195-B194)/B194</f>
        <v/>
      </c>
      <c r="D195" s="4" t="n">
        <v>0.0104967474866943</v>
      </c>
      <c r="H195" s="3" t="inlineStr">
        <is>
          <t>2026-06-02</t>
        </is>
      </c>
      <c r="I195" s="7" t="n">
        <v>315.2</v>
      </c>
      <c r="J195" s="4">
        <f>(I195-I194)/I194</f>
        <v/>
      </c>
      <c r="K195" s="4" t="n">
        <v>0.008173061330392887</v>
      </c>
    </row>
    <row r="196">
      <c r="A196" s="3" t="inlineStr">
        <is>
          <t>2026-06-03</t>
        </is>
      </c>
      <c r="B196" s="7" t="n">
        <v>355.68</v>
      </c>
      <c r="C196" s="4">
        <f>(B196-B195)/B195</f>
        <v/>
      </c>
      <c r="D196" s="4" t="n">
        <v>0.01086735040412975</v>
      </c>
      <c r="H196" s="3" t="inlineStr">
        <is>
          <t>2026-06-03</t>
        </is>
      </c>
      <c r="I196" s="7" t="n">
        <v>310.26</v>
      </c>
      <c r="J196" s="4">
        <f>(I196-I195)/I195</f>
        <v/>
      </c>
      <c r="K196" s="4" t="n">
        <v>0.008787742226227906</v>
      </c>
    </row>
    <row r="197">
      <c r="A197" s="3" t="inlineStr">
        <is>
          <t>2026-06-04</t>
        </is>
      </c>
      <c r="B197" s="7" t="n">
        <v>369.27</v>
      </c>
      <c r="C197" s="4">
        <f>(B197-B196)/B196</f>
        <v/>
      </c>
      <c r="D197" s="4" t="n">
        <v>0.01086867696330802</v>
      </c>
      <c r="H197" s="3" t="inlineStr">
        <is>
          <t>2026-06-04</t>
        </is>
      </c>
      <c r="I197" s="7" t="n">
        <v>311.23</v>
      </c>
      <c r="J197" s="4">
        <f>(I197-I196)/I196</f>
        <v/>
      </c>
      <c r="K197" s="4" t="n">
        <v>0.009030281757554616</v>
      </c>
    </row>
    <row r="198">
      <c r="A198" s="3" t="inlineStr">
        <is>
          <t>2026-06-05</t>
        </is>
      </c>
      <c r="B198" s="7" t="n">
        <v>365.76</v>
      </c>
      <c r="C198" s="4">
        <f>(B198-B197)/B197</f>
        <v/>
      </c>
      <c r="D198" s="4" t="n">
        <v>0.01090721273622177</v>
      </c>
      <c r="H198" s="3" t="inlineStr">
        <is>
          <t>2026-06-05</t>
        </is>
      </c>
      <c r="I198" s="7" t="n">
        <v>307.34</v>
      </c>
      <c r="J198" s="4">
        <f>(I198-I197)/I197</f>
        <v/>
      </c>
      <c r="K198" s="4" t="n">
        <v>0.009065343258891675</v>
      </c>
    </row>
    <row r="199">
      <c r="A199" s="3" t="inlineStr">
        <is>
          <t>2026-06-08</t>
        </is>
      </c>
      <c r="B199" s="7" t="n">
        <v>361.17</v>
      </c>
      <c r="C199" s="4">
        <f>(B199-B198)/B198</f>
        <v/>
      </c>
      <c r="D199" s="4" t="n">
        <v>0.01105409856835155</v>
      </c>
      <c r="H199" s="3" t="inlineStr">
        <is>
          <t>2026-06-08</t>
        </is>
      </c>
      <c r="I199" s="7" t="n">
        <v>301.54</v>
      </c>
      <c r="J199" s="4">
        <f>(I199-I198)/I198</f>
        <v/>
      </c>
      <c r="K199" s="4" t="n">
        <v>0.009399518371785971</v>
      </c>
    </row>
    <row r="200">
      <c r="A200" s="3" t="inlineStr">
        <is>
          <t>2026-06-09</t>
        </is>
      </c>
      <c r="B200" s="7" t="n">
        <v>362.29</v>
      </c>
      <c r="C200" s="4">
        <f>(B200-B199)/B199</f>
        <v/>
      </c>
      <c r="D200" s="4" t="n">
        <v>0.01110318518748251</v>
      </c>
      <c r="H200" s="3" t="inlineStr">
        <is>
          <t>2026-06-09</t>
        </is>
      </c>
      <c r="I200" s="7" t="n">
        <v>290.55</v>
      </c>
      <c r="J200" s="4">
        <f>(I200-I199)/I199</f>
        <v/>
      </c>
      <c r="K200" s="4" t="n">
        <v>0.009409040990175296</v>
      </c>
    </row>
    <row r="201">
      <c r="A201" s="3" t="inlineStr">
        <is>
          <t>2026-06-10</t>
        </is>
      </c>
      <c r="B201" s="7" t="n">
        <v>353.32</v>
      </c>
      <c r="C201" s="4">
        <f>(B201-B200)/B200</f>
        <v/>
      </c>
      <c r="D201" s="4" t="n">
        <v>0.01112012743064944</v>
      </c>
      <c r="H201" s="3" t="inlineStr">
        <is>
          <t>2026-06-10</t>
        </is>
      </c>
      <c r="I201" s="7" t="n">
        <v>291.58</v>
      </c>
      <c r="J201" s="4">
        <f>(I201-I200)/I200</f>
        <v/>
      </c>
      <c r="K201" s="4" t="n">
        <v>0.009513528102017384</v>
      </c>
    </row>
    <row r="202">
      <c r="A202" s="3" t="inlineStr">
        <is>
          <t>2026-06-11</t>
        </is>
      </c>
      <c r="B202" s="7" t="n">
        <v>356.56</v>
      </c>
      <c r="C202" s="4">
        <f>(B202-B201)/B201</f>
        <v/>
      </c>
      <c r="D202" s="4" t="n">
        <v>0.01153251694209962</v>
      </c>
      <c r="H202" s="3" t="inlineStr">
        <is>
          <t>2026-06-11</t>
        </is>
      </c>
      <c r="I202" s="7" t="n">
        <v>295.63</v>
      </c>
      <c r="J202" s="4">
        <f>(I202-I201)/I201</f>
        <v/>
      </c>
      <c r="K202" s="4" t="n">
        <v>0.009744363354670308</v>
      </c>
    </row>
    <row r="203">
      <c r="A203" s="3" t="inlineStr">
        <is>
          <t>2026-06-12</t>
        </is>
      </c>
      <c r="B203" s="7" t="n">
        <v>358.16</v>
      </c>
      <c r="C203" s="4">
        <f>(B203-B202)/B202</f>
        <v/>
      </c>
      <c r="D203" s="4" t="n">
        <v>0.01162096799522595</v>
      </c>
      <c r="H203" s="3" t="inlineStr">
        <is>
          <t>2026-06-12</t>
        </is>
      </c>
      <c r="I203" s="7" t="n">
        <v>291.13</v>
      </c>
      <c r="J203" s="4">
        <f>(I203-I202)/I202</f>
        <v/>
      </c>
      <c r="K203" s="4" t="n">
        <v>0.009958643507030573</v>
      </c>
    </row>
    <row r="204">
      <c r="A204" s="3" t="inlineStr">
        <is>
          <t>2026-06-15</t>
        </is>
      </c>
      <c r="B204" s="7" t="n">
        <v>367.11</v>
      </c>
      <c r="C204" s="4">
        <f>(B204-B203)/B203</f>
        <v/>
      </c>
      <c r="D204" s="4" t="n">
        <v>0.01176719704761342</v>
      </c>
      <c r="H204" s="3" t="inlineStr">
        <is>
          <t>2026-06-15</t>
        </is>
      </c>
      <c r="I204" s="7" t="n">
        <v>296.42</v>
      </c>
      <c r="J204" s="4">
        <f>(I204-I203)/I203</f>
        <v/>
      </c>
      <c r="K204" s="4" t="n">
        <v>0.0100012309207287</v>
      </c>
    </row>
    <row r="205">
      <c r="A205" t="inlineStr">
        <is>
          <t>2026-06-16</t>
        </is>
      </c>
      <c r="B205" s="7" t="n">
        <v>371.1</v>
      </c>
      <c r="C205" s="4">
        <f>(B205-B204)/B204</f>
        <v/>
      </c>
      <c r="D205" s="4" t="n">
        <v>0.01219576440838688</v>
      </c>
      <c r="H205" t="inlineStr">
        <is>
          <t>2026-06-16</t>
        </is>
      </c>
      <c r="I205" s="7" t="n">
        <v>299.24</v>
      </c>
      <c r="J205" s="4">
        <f>(I205-I204)/I204</f>
        <v/>
      </c>
      <c r="K205" s="4" t="n">
        <v>0.01043555489767973</v>
      </c>
    </row>
    <row r="206">
      <c r="A206" t="inlineStr">
        <is>
          <t>2026-06-17</t>
        </is>
      </c>
      <c r="B206" s="7" t="n">
        <v>362.1</v>
      </c>
      <c r="C206" s="4">
        <f>(B206-B205)/B205</f>
        <v/>
      </c>
      <c r="D206" s="4" t="n">
        <v>0.01272705780369593</v>
      </c>
      <c r="H206" t="inlineStr">
        <is>
          <t>2026-06-17</t>
        </is>
      </c>
      <c r="I206" s="7" t="n">
        <v>295.95</v>
      </c>
      <c r="J206" s="4">
        <f>(I206-I205)/I205</f>
        <v/>
      </c>
      <c r="K206" s="4" t="n">
        <v>0.01079481848712613</v>
      </c>
    </row>
    <row r="207">
      <c r="A207" t="inlineStr">
        <is>
          <t>2026-06-18</t>
        </is>
      </c>
      <c r="B207" s="7" t="n">
        <v>367.46</v>
      </c>
      <c r="C207" s="4">
        <f>(B207-B206)/B206</f>
        <v/>
      </c>
      <c r="D207" s="4" t="n">
        <v>0.0129057821300201</v>
      </c>
      <c r="H207" t="inlineStr">
        <is>
          <t>2026-06-18</t>
        </is>
      </c>
      <c r="I207" s="7" t="n">
        <v>298.01</v>
      </c>
      <c r="J207" s="4">
        <f>(I207-I206)/I206</f>
        <v/>
      </c>
      <c r="K207" s="4" t="n">
        <v>0.01091487107029309</v>
      </c>
    </row>
    <row r="208">
      <c r="A208" t="inlineStr">
        <is>
          <t>2026-06-22</t>
        </is>
      </c>
      <c r="B208" s="7" t="n">
        <v>348.78</v>
      </c>
      <c r="C208" s="4">
        <f>(B208-B207)/B207</f>
        <v/>
      </c>
      <c r="D208" s="4" t="n">
        <v>0.01353071798667652</v>
      </c>
      <c r="H208" t="inlineStr">
        <is>
          <t>2026-06-22</t>
        </is>
      </c>
      <c r="I208" s="7" t="n">
        <v>297.01</v>
      </c>
      <c r="J208" s="4">
        <f>(I208-I207)/I207</f>
        <v/>
      </c>
      <c r="K208" s="4" t="n">
        <v>0.01097100043482614</v>
      </c>
    </row>
    <row r="209">
      <c r="A209" t="inlineStr">
        <is>
          <t>2026-06-23</t>
        </is>
      </c>
      <c r="B209" s="7" t="n">
        <v>346.08</v>
      </c>
      <c r="C209" s="4">
        <f>(B209-B208)/B208</f>
        <v/>
      </c>
      <c r="D209" s="4" t="n">
        <v>0.01393455966140332</v>
      </c>
      <c r="H209" t="inlineStr">
        <is>
          <t>2026-06-23</t>
        </is>
      </c>
      <c r="I209" s="7" t="n">
        <v>294.3</v>
      </c>
      <c r="J209" s="4">
        <f>(I209-I208)/I208</f>
        <v/>
      </c>
      <c r="K209" s="4" t="n">
        <v>0.01119768215809869</v>
      </c>
    </row>
    <row r="210">
      <c r="A210" t="inlineStr">
        <is>
          <t>2026-06-24</t>
        </is>
      </c>
      <c r="B210" s="7" t="n">
        <v>345.04</v>
      </c>
      <c r="C210" s="4">
        <f>(B210-B209)/B209</f>
        <v/>
      </c>
      <c r="D210" s="4" t="n">
        <v>0.01397231233739127</v>
      </c>
      <c r="H210" t="inlineStr">
        <is>
          <t>2026-06-24</t>
        </is>
      </c>
      <c r="I210" s="7" t="n">
        <v>293.08</v>
      </c>
      <c r="J210" s="4">
        <f>(I210-I209)/I209</f>
        <v/>
      </c>
      <c r="K210" s="4" t="n">
        <v>0.01123595505617976</v>
      </c>
    </row>
    <row r="211">
      <c r="A211" t="inlineStr">
        <is>
          <t>2026-06-25</t>
        </is>
      </c>
      <c r="B211" s="7" t="n">
        <v>342.19</v>
      </c>
      <c r="C211" s="4">
        <f>(B211-B210)/B210</f>
        <v/>
      </c>
      <c r="D211" s="4" t="n">
        <v>0.01439190257789019</v>
      </c>
      <c r="H211" t="inlineStr">
        <is>
          <t>2026-06-25</t>
        </is>
      </c>
      <c r="I211" s="7" t="n">
        <v>275.15</v>
      </c>
      <c r="J211" s="4">
        <f>(I211-I210)/I210</f>
        <v/>
      </c>
      <c r="K211" s="4" t="n">
        <v>0.01145530816392388</v>
      </c>
    </row>
    <row r="212">
      <c r="A212" t="inlineStr">
        <is>
          <t>2026-06-26</t>
        </is>
      </c>
      <c r="B212" s="7" t="n">
        <v>334.69</v>
      </c>
      <c r="C212" s="4">
        <f>(B212-B211)/B211</f>
        <v/>
      </c>
      <c r="D212" s="4" t="n">
        <v>0.01455604075691419</v>
      </c>
      <c r="H212" t="inlineStr">
        <is>
          <t>2026-06-26</t>
        </is>
      </c>
      <c r="I212" s="7" t="n">
        <v>283.78</v>
      </c>
      <c r="J212" s="4">
        <f>(I212-I211)/I211</f>
        <v/>
      </c>
      <c r="K212" s="4" t="n">
        <v>0.01148796498905918</v>
      </c>
    </row>
    <row r="213">
      <c r="A213" t="inlineStr">
        <is>
          <t>2026-06-29</t>
        </is>
      </c>
      <c r="B213" s="7" t="n">
        <v>351.28</v>
      </c>
      <c r="C213" s="4">
        <f>(B213-B212)/B212</f>
        <v/>
      </c>
      <c r="D213" s="4" t="n">
        <v>0.01480254073460358</v>
      </c>
      <c r="H213" t="inlineStr">
        <is>
          <t>2026-06-29</t>
        </is>
      </c>
      <c r="I213" s="7" t="n">
        <v>281.74</v>
      </c>
      <c r="J213" s="4">
        <f>(I213-I212)/I212</f>
        <v/>
      </c>
      <c r="K213" s="4" t="n">
        <v>0.01158402152385922</v>
      </c>
    </row>
    <row r="214">
      <c r="A214" t="inlineStr">
        <is>
          <t>2026-06-30</t>
        </is>
      </c>
      <c r="B214" s="7" t="n">
        <v>353.33</v>
      </c>
      <c r="C214" s="4">
        <f>(B214-B213)/B213</f>
        <v/>
      </c>
      <c r="D214" s="4" t="n">
        <v>0.01516814977464463</v>
      </c>
      <c r="H214" t="inlineStr">
        <is>
          <t>2026-06-30</t>
        </is>
      </c>
      <c r="I214" s="7" t="n">
        <v>289.36</v>
      </c>
      <c r="J214" s="4">
        <f>(I214-I213)/I213</f>
        <v/>
      </c>
      <c r="K214" s="4" t="n">
        <v>0.01168098012131417</v>
      </c>
    </row>
    <row r="215">
      <c r="A215" t="inlineStr">
        <is>
          <t>2026-07-01</t>
        </is>
      </c>
      <c r="B215" s="7" t="n">
        <v>357.89</v>
      </c>
      <c r="C215" s="4">
        <f>(B215-B214)/B214</f>
        <v/>
      </c>
      <c r="D215" s="4" t="n">
        <v>0.01530899292292208</v>
      </c>
      <c r="H215" t="inlineStr">
        <is>
          <t>2026-07-01</t>
        </is>
      </c>
      <c r="I215" s="7" t="n">
        <v>294.38</v>
      </c>
      <c r="J215" s="4">
        <f>(I215-I214)/I214</f>
        <v/>
      </c>
      <c r="K215" s="4" t="n">
        <v>0.01171792525863883</v>
      </c>
    </row>
    <row r="216">
      <c r="A216" s="3" t="inlineStr">
        <is>
          <t>2026-07-02</t>
        </is>
      </c>
      <c r="B216" s="7" t="n">
        <v>356.18</v>
      </c>
      <c r="C216" s="4">
        <f>(B216-B215)/B215</f>
        <v/>
      </c>
      <c r="D216" s="4" t="n">
        <v>0.01571111043449127</v>
      </c>
      <c r="H216" s="3" t="inlineStr">
        <is>
          <t>2026-07-02</t>
        </is>
      </c>
      <c r="I216" s="7" t="n">
        <v>308.63</v>
      </c>
      <c r="J216" s="4">
        <f>(I216-I215)/I215</f>
        <v/>
      </c>
      <c r="K216" s="4" t="n">
        <v>0.01248170120964639</v>
      </c>
    </row>
    <row r="217">
      <c r="A217" s="3" t="inlineStr">
        <is>
          <t>2026-07-06</t>
        </is>
      </c>
      <c r="B217" s="7" t="n">
        <v>364.9</v>
      </c>
      <c r="C217" s="4">
        <f>(B217-B216)/B216</f>
        <v/>
      </c>
      <c r="D217" s="4" t="n">
        <v>0.01587872251183418</v>
      </c>
      <c r="H217" s="3" t="inlineStr">
        <is>
          <t>2026-07-06</t>
        </is>
      </c>
      <c r="I217" s="7" t="n">
        <v>312.66</v>
      </c>
      <c r="J217" s="4">
        <f>(I217-I216)/I216</f>
        <v/>
      </c>
      <c r="K217" s="4" t="n">
        <v>0.01255778877995995</v>
      </c>
    </row>
    <row r="218">
      <c r="A218" s="3" t="inlineStr">
        <is>
          <t>2026-07-07</t>
        </is>
      </c>
      <c r="B218" s="7" t="n">
        <v>363.62</v>
      </c>
      <c r="C218" s="4">
        <f>(B218-B217)/B217</f>
        <v/>
      </c>
      <c r="D218" s="4" t="n">
        <v>0.01600000000000005</v>
      </c>
      <c r="H218" s="3" t="inlineStr">
        <is>
          <t>2026-07-07</t>
        </is>
      </c>
      <c r="I218" s="7" t="n">
        <v>310.66</v>
      </c>
      <c r="J218" s="4">
        <f>(I218-I217)/I217</f>
        <v/>
      </c>
      <c r="K218" s="4" t="n">
        <v>0.01305770663901769</v>
      </c>
    </row>
    <row r="219">
      <c r="A219" s="3" t="inlineStr">
        <is>
          <t>2026-07-08</t>
        </is>
      </c>
      <c r="B219" s="7" t="n">
        <v>358.71</v>
      </c>
      <c r="C219" s="4">
        <f>(B219-B218)/B218</f>
        <v/>
      </c>
      <c r="D219" s="4" t="n">
        <v>0.01623386818224623</v>
      </c>
      <c r="H219" s="3" t="inlineStr">
        <is>
          <t>2026-07-08</t>
        </is>
      </c>
      <c r="I219" s="7" t="n">
        <v>313.39</v>
      </c>
      <c r="J219" s="4">
        <f>(I219-I218)/I218</f>
        <v/>
      </c>
      <c r="K219" s="4" t="n">
        <v>0.01380597014925371</v>
      </c>
    </row>
    <row r="220">
      <c r="A220" s="3" t="inlineStr">
        <is>
          <t>2026-07-09</t>
        </is>
      </c>
      <c r="B220" s="7" t="n">
        <v>356.24</v>
      </c>
      <c r="C220" s="4">
        <f>(B220-B219)/B219</f>
        <v/>
      </c>
      <c r="D220" s="4" t="n">
        <v>0.01639182708100653</v>
      </c>
      <c r="H220" s="3" t="inlineStr">
        <is>
          <t>2026-07-09</t>
        </is>
      </c>
      <c r="I220" s="7" t="n">
        <v>316.22</v>
      </c>
      <c r="J220" s="4">
        <f>(I220-I219)/I219</f>
        <v/>
      </c>
      <c r="K220" s="4" t="n">
        <v>0.01388984155291862</v>
      </c>
    </row>
    <row r="221">
      <c r="A221" s="3" t="inlineStr">
        <is>
          <t>2026-07-10</t>
        </is>
      </c>
      <c r="B221" s="7" t="n">
        <v>355.03</v>
      </c>
      <c r="C221" s="4">
        <f>(B221-B220)/B220</f>
        <v/>
      </c>
      <c r="D221" s="4" t="n">
        <v>0.01811170834307078</v>
      </c>
      <c r="H221" s="3" t="inlineStr">
        <is>
          <t>2026-07-10</t>
        </is>
      </c>
      <c r="I221" s="7" t="n">
        <v>315.32</v>
      </c>
      <c r="J221" s="4">
        <f>(I221-I220)/I220</f>
        <v/>
      </c>
      <c r="K221" s="4" t="n">
        <v>0.01411347231743215</v>
      </c>
    </row>
    <row r="222">
      <c r="A222" s="3" t="inlineStr">
        <is>
          <t>2026-07-13</t>
        </is>
      </c>
      <c r="B222" s="7" t="n">
        <v>350.67</v>
      </c>
      <c r="C222" s="4">
        <f>(B222-B221)/B221</f>
        <v/>
      </c>
      <c r="D222" s="4" t="n">
        <v>0.01846464770187105</v>
      </c>
      <c r="H222" s="3" t="inlineStr">
        <is>
          <t>2026-07-13</t>
        </is>
      </c>
      <c r="I222" s="7" t="n">
        <v>317.31</v>
      </c>
      <c r="J222" s="4">
        <f>(I222-I221)/I221</f>
        <v/>
      </c>
      <c r="K222" s="4" t="n">
        <v>0.01428634419507037</v>
      </c>
    </row>
    <row r="223">
      <c r="A223" s="3" t="inlineStr">
        <is>
          <t>2026-07-14</t>
        </is>
      </c>
      <c r="B223" s="7" t="n">
        <v>357.33</v>
      </c>
      <c r="C223" s="4">
        <f>(B223-B222)/B222</f>
        <v/>
      </c>
      <c r="D223" s="4" t="n">
        <v>0.01881664845065431</v>
      </c>
      <c r="H223" s="3" t="inlineStr">
        <is>
          <t>2026-07-14</t>
        </is>
      </c>
      <c r="I223" s="7" t="n">
        <v>314.86</v>
      </c>
      <c r="J223" s="4">
        <f>(I223-I222)/I222</f>
        <v/>
      </c>
      <c r="K223" s="4" t="n">
        <v>0.01452927124578683</v>
      </c>
    </row>
    <row r="224">
      <c r="A224" t="inlineStr">
        <is>
          <t>2026-07-15</t>
        </is>
      </c>
      <c r="B224" s="7" t="n">
        <v>370.21</v>
      </c>
      <c r="C224" s="4">
        <f>(B224-B223)/B223</f>
        <v/>
      </c>
      <c r="D224" s="4" t="n">
        <v>0.01899221490290007</v>
      </c>
      <c r="H224" t="inlineStr">
        <is>
          <t>2026-07-15</t>
        </is>
      </c>
      <c r="I224" s="7" t="n">
        <v>327.5</v>
      </c>
      <c r="J224" s="4">
        <f>(I224-I223)/I223</f>
        <v/>
      </c>
      <c r="K224" s="4" t="n">
        <v>0.01524116908732293</v>
      </c>
    </row>
    <row r="225">
      <c r="A225" t="inlineStr">
        <is>
          <t>2026-07-16</t>
        </is>
      </c>
      <c r="B225" s="7" t="n">
        <v>353.81</v>
      </c>
      <c r="C225" s="4">
        <f>(B225-B224)/B224</f>
        <v/>
      </c>
      <c r="D225" s="4" t="n">
        <v>0.01909011608400992</v>
      </c>
      <c r="H225" t="inlineStr">
        <is>
          <t>2026-07-16</t>
        </is>
      </c>
      <c r="I225" s="7" t="n">
        <v>333.26</v>
      </c>
      <c r="J225" s="4">
        <f>(I225-I224)/I224</f>
        <v/>
      </c>
      <c r="K225" s="4" t="n">
        <v>0.01535037224652698</v>
      </c>
    </row>
    <row r="226">
      <c r="A226" t="inlineStr">
        <is>
          <t>2026-07-17</t>
        </is>
      </c>
      <c r="B226" s="7" t="n">
        <v>346.12</v>
      </c>
      <c r="C226" s="4">
        <f>(B226-B225)/B225</f>
        <v/>
      </c>
      <c r="D226" s="4" t="n">
        <v>0.01930717655823184</v>
      </c>
      <c r="H226" t="inlineStr">
        <is>
          <t>2026-07-17</t>
        </is>
      </c>
      <c r="I226" s="7" t="n">
        <v>333.74</v>
      </c>
      <c r="J226" s="4">
        <f>(I226-I225)/I225</f>
        <v/>
      </c>
      <c r="K226" s="4" t="n">
        <v>0.01627566914616315</v>
      </c>
    </row>
    <row r="227">
      <c r="A227" t="inlineStr">
        <is>
          <t>2026-07-20</t>
        </is>
      </c>
      <c r="B227" s="7" t="n">
        <v>351.37</v>
      </c>
      <c r="C227" s="4">
        <f>(B227-B226)/B226</f>
        <v/>
      </c>
      <c r="D227" s="4" t="n">
        <v>0.01992367100399674</v>
      </c>
      <c r="H227" t="inlineStr">
        <is>
          <t>2026-07-20</t>
        </is>
      </c>
      <c r="I227" s="7" t="n">
        <v>326.59</v>
      </c>
      <c r="J227" s="4">
        <f>(I227-I226)/I226</f>
        <v/>
      </c>
      <c r="K227" s="4" t="n">
        <v>0.0163173597554238</v>
      </c>
    </row>
    <row r="228">
      <c r="A228" t="inlineStr">
        <is>
          <t>2026-07-21</t>
        </is>
      </c>
      <c r="B228" s="7" t="n">
        <v>346.19</v>
      </c>
      <c r="C228" s="4">
        <f>(B228-B227)/B227</f>
        <v/>
      </c>
      <c r="D228" s="4" t="n">
        <v>0.02053154798133497</v>
      </c>
      <c r="H228" t="inlineStr">
        <is>
          <t>2026-07-21</t>
        </is>
      </c>
      <c r="I228" s="7" t="n">
        <v>327.74</v>
      </c>
      <c r="J228" s="4">
        <f>(I228-I227)/I227</f>
        <v/>
      </c>
      <c r="K228" s="4" t="n">
        <v>0.01734863146253795</v>
      </c>
    </row>
    <row r="229">
      <c r="A229" t="inlineStr">
        <is>
          <t>2026-07-22</t>
        </is>
      </c>
      <c r="B229" s="7" t="n">
        <v>341.91</v>
      </c>
      <c r="C229" s="4">
        <f>(B229-B228)/B228</f>
        <v/>
      </c>
      <c r="D229" s="4" t="n">
        <v>0.02106430155210637</v>
      </c>
      <c r="H229" t="inlineStr">
        <is>
          <t>2026-07-22</t>
        </is>
      </c>
      <c r="I229" s="7" t="n">
        <v>325.89</v>
      </c>
      <c r="J229" s="4">
        <f>(I229-I228)/I228</f>
        <v/>
      </c>
      <c r="K229" s="4" t="n">
        <v>0.01756292657479456</v>
      </c>
    </row>
    <row r="230">
      <c r="A230" t="inlineStr">
        <is>
          <t>2026-07-23</t>
        </is>
      </c>
      <c r="B230" s="7" t="n">
        <v>318.34</v>
      </c>
      <c r="C230" s="4">
        <f>(B230-B229)/B229</f>
        <v/>
      </c>
      <c r="D230" s="4" t="n">
        <v>0.02196871122946104</v>
      </c>
      <c r="H230" t="inlineStr">
        <is>
          <t>2026-07-23</t>
        </is>
      </c>
      <c r="I230" s="7" t="n">
        <v>321.66</v>
      </c>
      <c r="J230" s="4">
        <f>(I230-I229)/I229</f>
        <v/>
      </c>
      <c r="K230" s="4" t="n">
        <v>0.01758778625954196</v>
      </c>
    </row>
    <row r="231">
      <c r="A231" t="inlineStr">
        <is>
          <t>2026-07-24</t>
        </is>
      </c>
      <c r="B231" s="7" t="n">
        <v>319.09</v>
      </c>
      <c r="C231" s="4">
        <f>(B231-B230)/B230</f>
        <v/>
      </c>
      <c r="D231" s="4" t="n">
        <v>0.02242170681181206</v>
      </c>
      <c r="H231" t="inlineStr">
        <is>
          <t>2026-07-24</t>
        </is>
      </c>
      <c r="I231" s="7" t="n">
        <v>333.02</v>
      </c>
      <c r="J231" s="4">
        <f>(I231-I230)/I230</f>
        <v/>
      </c>
      <c r="K231" s="4" t="n">
        <v>0.01807300542982839</v>
      </c>
    </row>
    <row r="232">
      <c r="A232" t="inlineStr">
        <is>
          <t>2026-07-27</t>
        </is>
      </c>
      <c r="B232" s="7" t="n">
        <v>326.57</v>
      </c>
      <c r="C232" s="4">
        <f>(B232-B231)/B231</f>
        <v/>
      </c>
      <c r="D232" s="4" t="n">
        <v>0.02344166222695797</v>
      </c>
      <c r="H232" t="inlineStr">
        <is>
          <t>2026-07-27</t>
        </is>
      </c>
      <c r="I232" s="7" t="n">
        <v>336.91</v>
      </c>
      <c r="J232" s="4">
        <f>(I232-I231)/I231</f>
        <v/>
      </c>
      <c r="K232" s="4" t="n">
        <v>0.01817057671830461</v>
      </c>
    </row>
    <row r="233">
      <c r="A233" t="inlineStr">
        <is>
          <t>2026-07-28</t>
        </is>
      </c>
      <c r="B233" s="7" t="n">
        <v>332.6</v>
      </c>
      <c r="C233" s="4">
        <f>(B233-B232)/B232</f>
        <v/>
      </c>
      <c r="D233" s="4" t="n">
        <v>0.0240595554916205</v>
      </c>
      <c r="H233" t="inlineStr">
        <is>
          <t>2026-07-28</t>
        </is>
      </c>
      <c r="I233" s="7" t="n">
        <v>340.08</v>
      </c>
      <c r="J233" s="4">
        <f>(I233-I232)/I232</f>
        <v/>
      </c>
      <c r="K233" s="4" t="n">
        <v>0.01955950697110529</v>
      </c>
    </row>
    <row r="234">
      <c r="A234" t="inlineStr">
        <is>
          <t>2026-07-29</t>
        </is>
      </c>
      <c r="B234" s="7" t="n">
        <v>335.76</v>
      </c>
      <c r="C234" s="4">
        <f>(B234-B233)/B233</f>
        <v/>
      </c>
      <c r="D234" s="4" t="n">
        <v>0.02445760802413039</v>
      </c>
      <c r="H234" t="inlineStr">
        <is>
          <t>2026-07-29</t>
        </is>
      </c>
      <c r="I234" s="7" t="n">
        <v>338.19</v>
      </c>
      <c r="J234" s="4">
        <f>(I234-I233)/I233</f>
        <v/>
      </c>
      <c r="K234" s="4" t="n">
        <v>0.01964273943708384</v>
      </c>
    </row>
    <row r="235">
      <c r="A235" t="inlineStr">
        <is>
          <t>2026-07-30</t>
        </is>
      </c>
      <c r="B235" s="7" t="n">
        <v>333.68</v>
      </c>
      <c r="C235" s="4">
        <f>(B235-B234)/B234</f>
        <v/>
      </c>
      <c r="D235" s="4" t="n">
        <v>0.02448200348138573</v>
      </c>
      <c r="H235" t="inlineStr">
        <is>
          <t>2026-07-30</t>
        </is>
      </c>
      <c r="I235" s="7" t="n">
        <v>333.43</v>
      </c>
      <c r="J235" s="4">
        <f>(I235-I234)/I234</f>
        <v/>
      </c>
      <c r="K235" s="4" t="n">
        <v>0.01968075117370895</v>
      </c>
    </row>
    <row r="236">
      <c r="A236" t="inlineStr">
        <is>
          <t>2026-07-31</t>
        </is>
      </c>
      <c r="B236" s="7" t="n">
        <v>356.65</v>
      </c>
      <c r="C236" s="4">
        <f>(B236-B235)/B235</f>
        <v/>
      </c>
      <c r="D236" s="4" t="n">
        <v>0.02498883180701359</v>
      </c>
      <c r="H236" t="inlineStr">
        <is>
          <t>2026-07-31</t>
        </is>
      </c>
      <c r="I236" s="7" t="n">
        <v>308.91</v>
      </c>
      <c r="J236" s="4">
        <f>(I236-I235)/I235</f>
        <v/>
      </c>
      <c r="K236" s="4" t="n">
        <v>0.02045644308377399</v>
      </c>
    </row>
    <row r="237">
      <c r="A237" t="inlineStr">
        <is>
          <t>2026-08-03</t>
        </is>
      </c>
      <c r="B237" s="7" t="n">
        <v>372.47</v>
      </c>
      <c r="C237" s="4">
        <f>(B237-B236)/B236</f>
        <v/>
      </c>
      <c r="D237" s="4" t="n">
        <v>0.02505166110316323</v>
      </c>
      <c r="H237" t="inlineStr">
        <is>
          <t>2026-08-03</t>
        </is>
      </c>
      <c r="I237" s="7" t="n">
        <v>303.42</v>
      </c>
      <c r="J237" s="4">
        <f>(I237-I236)/I236</f>
        <v/>
      </c>
      <c r="K237" s="4" t="n">
        <v>0.0213017751479289</v>
      </c>
    </row>
    <row r="238">
      <c r="A238" t="inlineStr">
        <is>
          <t>2026-08-04</t>
        </is>
      </c>
      <c r="B238" s="7" t="n">
        <v>375.35</v>
      </c>
      <c r="C238" s="4">
        <f>(B238-B237)/B237</f>
        <v/>
      </c>
      <c r="D238" s="4" t="n">
        <v>0.02510896695600346</v>
      </c>
      <c r="H238" t="inlineStr">
        <is>
          <t>2026-08-04</t>
        </is>
      </c>
      <c r="I238" s="7" t="n">
        <v>309.38</v>
      </c>
      <c r="J238" s="4">
        <f>(I238-I237)/I237</f>
        <v/>
      </c>
      <c r="K238" s="4" t="n">
        <v>0.02160115800022267</v>
      </c>
    </row>
    <row r="239">
      <c r="A239" s="3" t="inlineStr">
        <is>
          <t>2026-08-05</t>
        </is>
      </c>
      <c r="B239" s="7" t="n">
        <v>360.13</v>
      </c>
      <c r="C239" s="4">
        <f>(B239-B238)/B238</f>
        <v/>
      </c>
      <c r="D239" s="4" t="n">
        <v>0.02584646329198786</v>
      </c>
      <c r="H239" s="3" t="inlineStr">
        <is>
          <t>2026-08-05</t>
        </is>
      </c>
      <c r="I239" s="7" t="n">
        <v>311</v>
      </c>
      <c r="J239" s="4">
        <f>(I239-I238)/I238</f>
        <v/>
      </c>
      <c r="K239" s="4" t="n">
        <v>0.02193336128761737</v>
      </c>
    </row>
    <row r="240">
      <c r="A240" s="3" t="inlineStr">
        <is>
          <t>2026-08-06</t>
        </is>
      </c>
      <c r="B240" s="7" t="n">
        <v>356.62</v>
      </c>
      <c r="C240" s="4">
        <f>(B240-B239)/B239</f>
        <v/>
      </c>
      <c r="D240" s="4" t="n">
        <v>0.02672131793638908</v>
      </c>
      <c r="H240" s="3" t="inlineStr">
        <is>
          <t>2026-08-06</t>
        </is>
      </c>
      <c r="I240" s="7" t="n">
        <v>312.41</v>
      </c>
      <c r="J240" s="4">
        <f>(I240-I239)/I239</f>
        <v/>
      </c>
      <c r="K240" s="4" t="n">
        <v>0.02239086332556909</v>
      </c>
    </row>
    <row r="241">
      <c r="A241" s="3" t="inlineStr">
        <is>
          <t>2026-08-07</t>
        </is>
      </c>
      <c r="B241" s="7" t="n">
        <v>353.47</v>
      </c>
      <c r="C241" s="4">
        <f>(B241-B240)/B240</f>
        <v/>
      </c>
      <c r="D241" s="4" t="n">
        <v>0.02802760928675996</v>
      </c>
      <c r="H241" s="3" t="inlineStr">
        <is>
          <t>2026-08-07</t>
        </is>
      </c>
      <c r="I241" s="7" t="n">
        <v>313.33</v>
      </c>
      <c r="J241" s="4">
        <f>(I241-I240)/I240</f>
        <v/>
      </c>
      <c r="K241" s="4" t="n">
        <v>0.02279126398295415</v>
      </c>
    </row>
    <row r="242">
      <c r="A242" s="3" t="inlineStr">
        <is>
          <t>2026-08-10</t>
        </is>
      </c>
      <c r="B242" s="7" t="n">
        <v>355.84</v>
      </c>
      <c r="C242" s="4">
        <f>(B242-B241)/B241</f>
        <v/>
      </c>
      <c r="D242" s="4" t="n">
        <v>0.02817939359910173</v>
      </c>
      <c r="H242" s="3" t="inlineStr">
        <is>
          <t>2026-08-10</t>
        </is>
      </c>
      <c r="I242" s="7" t="n">
        <v>308.26</v>
      </c>
      <c r="J242" s="4">
        <f>(I242-I241)/I241</f>
        <v/>
      </c>
      <c r="K242" s="4" t="n">
        <v>0.02593014426727426</v>
      </c>
    </row>
    <row r="243">
      <c r="A243" s="3" t="inlineStr">
        <is>
          <t>2026-08-11</t>
        </is>
      </c>
      <c r="B243" s="7" t="n">
        <v>343</v>
      </c>
      <c r="C243" s="4">
        <f>(B243-B242)/B242</f>
        <v/>
      </c>
      <c r="D243" s="4" t="n">
        <v>0.02828740208707421</v>
      </c>
      <c r="H243" s="3" t="inlineStr">
        <is>
          <t>2026-08-11</t>
        </is>
      </c>
      <c r="I243" s="7" t="n">
        <v>304.91</v>
      </c>
      <c r="J243" s="4">
        <f>(I243-I242)/I242</f>
        <v/>
      </c>
      <c r="K243" s="4" t="n">
        <v>0.0260130621938548</v>
      </c>
    </row>
    <row r="244">
      <c r="A244" s="3" t="inlineStr">
        <is>
          <t>2026-08-12</t>
        </is>
      </c>
      <c r="B244" s="7" t="n">
        <v>342.37</v>
      </c>
      <c r="C244" s="4">
        <f>(B244-B243)/B243</f>
        <v/>
      </c>
      <c r="D244" s="4" t="n">
        <v>0.0301065308012968</v>
      </c>
      <c r="H244" s="3" t="inlineStr">
        <is>
          <t>2026-08-12</t>
        </is>
      </c>
      <c r="I244" s="7" t="n">
        <v>302.25</v>
      </c>
      <c r="J244" s="4">
        <f>(I244-I243)/I243</f>
        <v/>
      </c>
      <c r="K244" s="4" t="n">
        <v>0.02613223922991943</v>
      </c>
    </row>
    <row r="245">
      <c r="A245" s="3" t="inlineStr">
        <is>
          <t>2026-08-13</t>
        </is>
      </c>
      <c r="B245" s="7" t="n">
        <v>343.94</v>
      </c>
      <c r="C245" s="4">
        <f>(B245-B244)/B244</f>
        <v/>
      </c>
      <c r="D245" s="4" t="n">
        <v>0.03112138060509785</v>
      </c>
      <c r="H245" s="3" t="inlineStr">
        <is>
          <t>2026-08-13</t>
        </is>
      </c>
      <c r="I245" s="7" t="n">
        <v>305.26</v>
      </c>
      <c r="J245" s="4">
        <f>(I245-I244)/I244</f>
        <v/>
      </c>
      <c r="K245" s="4" t="n">
        <v>0.02629898185370252</v>
      </c>
    </row>
    <row r="246">
      <c r="A246" s="3" t="inlineStr">
        <is>
          <t>2026-08-14</t>
        </is>
      </c>
      <c r="B246" s="7" t="n">
        <v>343.54</v>
      </c>
      <c r="C246" s="4">
        <f>(B246-B245)/B245</f>
        <v/>
      </c>
      <c r="D246" s="4" t="n">
        <v>0.03334712738809559</v>
      </c>
      <c r="H246" s="3" t="inlineStr">
        <is>
          <t>2026-08-14</t>
        </is>
      </c>
      <c r="I246" s="7" t="n">
        <v>305.93</v>
      </c>
      <c r="J246" s="4">
        <f>(I246-I245)/I245</f>
        <v/>
      </c>
      <c r="K246" s="4" t="n">
        <v>0.02655059061517907</v>
      </c>
    </row>
    <row r="247">
      <c r="A247" t="inlineStr">
        <is>
          <t>2026-08-17</t>
        </is>
      </c>
      <c r="B247" s="7" t="n">
        <v>341.45</v>
      </c>
      <c r="C247" s="4">
        <f>(B247-B246)/B246</f>
        <v/>
      </c>
      <c r="D247" s="4" t="n">
        <v>0.0355674003882473</v>
      </c>
      <c r="H247" t="inlineStr">
        <is>
          <t>2026-08-17</t>
        </is>
      </c>
      <c r="I247" s="7" t="n">
        <v>305.59</v>
      </c>
      <c r="J247" s="4">
        <f>(I247-I246)/I246</f>
        <v/>
      </c>
      <c r="K247" s="4" t="n">
        <v>0.02704621282033082</v>
      </c>
    </row>
    <row r="248">
      <c r="A248" t="inlineStr">
        <is>
          <t>2026-08-18</t>
        </is>
      </c>
      <c r="B248" s="7" t="n">
        <v>341.28</v>
      </c>
      <c r="C248" s="4">
        <f>(B248-B247)/B247</f>
        <v/>
      </c>
      <c r="D248" s="4" t="n">
        <v>0.03561918486262963</v>
      </c>
      <c r="H248" t="inlineStr">
        <is>
          <t>2026-08-18</t>
        </is>
      </c>
      <c r="I248" s="7" t="n">
        <v>310.03</v>
      </c>
      <c r="J248" s="4">
        <f>(I248-I247)/I247</f>
        <v/>
      </c>
      <c r="K248" s="4" t="n">
        <v>0.02902288531226531</v>
      </c>
    </row>
    <row r="249">
      <c r="A249" t="inlineStr">
        <is>
          <t>2026-08-19</t>
        </is>
      </c>
      <c r="B249" s="7" t="n">
        <v>341.7</v>
      </c>
      <c r="C249" s="4">
        <f>(B249-B248)/B248</f>
        <v/>
      </c>
      <c r="D249" s="4" t="n">
        <v>0.03604511236112276</v>
      </c>
      <c r="H249" t="inlineStr">
        <is>
          <t>2026-08-19</t>
        </is>
      </c>
      <c r="I249" s="7" t="n">
        <v>316.83</v>
      </c>
      <c r="J249" s="4">
        <f>(I249-I248)/I248</f>
        <v/>
      </c>
      <c r="K249" s="4" t="n">
        <v>0.02903134249685763</v>
      </c>
    </row>
    <row r="250">
      <c r="A250" t="inlineStr">
        <is>
          <t>2026-08-20</t>
        </is>
      </c>
      <c r="B250" s="7" t="n">
        <v>338.2</v>
      </c>
      <c r="C250" s="4">
        <f>(B250-B249)/B249</f>
        <v/>
      </c>
      <c r="D250" s="4" t="n">
        <v>0.0361598403132318</v>
      </c>
      <c r="H250" t="inlineStr">
        <is>
          <t>2026-08-20</t>
        </is>
      </c>
      <c r="I250" s="7" t="n">
        <v>311.3</v>
      </c>
      <c r="J250" s="4">
        <f>(I250-I249)/I249</f>
        <v/>
      </c>
      <c r="K250" s="4" t="n">
        <v>0.02936290229107918</v>
      </c>
    </row>
    <row r="251">
      <c r="A251" t="inlineStr">
        <is>
          <t>2026-08-21</t>
        </is>
      </c>
      <c r="B251" s="7" t="n">
        <v>341.75</v>
      </c>
      <c r="C251" s="4">
        <f>(B251-B250)/B250</f>
        <v/>
      </c>
      <c r="D251" s="4" t="n">
        <v>0.03735670048754768</v>
      </c>
      <c r="H251" t="inlineStr">
        <is>
          <t>2026-08-21</t>
        </is>
      </c>
      <c r="I251" s="7" t="n">
        <v>309.35</v>
      </c>
      <c r="J251" s="4">
        <f>(I251-I250)/I250</f>
        <v/>
      </c>
      <c r="K251" s="4" t="n">
        <v>0.0297129495242703</v>
      </c>
    </row>
    <row r="252">
      <c r="A252" t="inlineStr">
        <is>
          <t>2026-08-24</t>
        </is>
      </c>
      <c r="B252" s="7" t="n">
        <v>344.59</v>
      </c>
      <c r="C252" s="4">
        <f>(B252-B251)/B251</f>
        <v/>
      </c>
      <c r="D252" s="4" t="n">
        <v>0.03820850202429143</v>
      </c>
      <c r="H252" t="inlineStr">
        <is>
          <t>2026-08-24</t>
        </is>
      </c>
      <c r="I252" s="7" t="n">
        <v>310.34</v>
      </c>
      <c r="J252" s="4">
        <f>(I252-I251)/I251</f>
        <v/>
      </c>
      <c r="K252" s="4" t="n">
        <v>0.03136471015809557</v>
      </c>
    </row>
    <row r="253">
      <c r="A253" t="inlineStr">
        <is>
          <t>2026-08-25</t>
        </is>
      </c>
      <c r="B253" s="7" t="n">
        <v>343.34</v>
      </c>
      <c r="C253" s="4">
        <f>(B253-B252)/B252</f>
        <v/>
      </c>
      <c r="D253" s="4" t="n">
        <v>0.0389345727565248</v>
      </c>
      <c r="H253" t="inlineStr">
        <is>
          <t>2026-08-25</t>
        </is>
      </c>
      <c r="I253" s="7" t="n">
        <v>309.9</v>
      </c>
      <c r="J253" s="4">
        <f>(I253-I252)/I252</f>
        <v/>
      </c>
      <c r="K253" s="4" t="n">
        <v>0.03166783954961293</v>
      </c>
    </row>
    <row r="254">
      <c r="A254" t="inlineStr">
        <is>
          <t>2026-08-26</t>
        </is>
      </c>
      <c r="B254" s="7" t="n">
        <v>339.1</v>
      </c>
      <c r="C254" s="4">
        <f>(B254-B253)/B253</f>
        <v/>
      </c>
      <c r="D254" s="4" t="n">
        <v>0.03965400448126733</v>
      </c>
      <c r="H254" t="inlineStr">
        <is>
          <t>2026-08-26</t>
        </is>
      </c>
      <c r="I254" s="7" t="n">
        <v>313.45</v>
      </c>
      <c r="J254" s="4">
        <f>(I254-I253)/I253</f>
        <v/>
      </c>
      <c r="K254" s="4" t="n">
        <v>0.03203295779384566</v>
      </c>
    </row>
    <row r="255">
      <c r="A255" t="inlineStr">
        <is>
          <t>2026-08-27</t>
        </is>
      </c>
      <c r="B255" s="7" t="n">
        <v>337.71</v>
      </c>
      <c r="C255" s="4">
        <f>(B255-B254)/B254</f>
        <v/>
      </c>
      <c r="D255" s="4" t="n">
        <v>0.04300273427790204</v>
      </c>
      <c r="H255" t="inlineStr">
        <is>
          <t>2026-08-27</t>
        </is>
      </c>
      <c r="I255" s="7" t="n">
        <v>314.58</v>
      </c>
      <c r="J255" s="4">
        <f>(I255-I254)/I254</f>
        <v/>
      </c>
      <c r="K255" s="4" t="n">
        <v>0.03239358761746808</v>
      </c>
    </row>
    <row r="256">
      <c r="A256" t="inlineStr">
        <is>
          <t>2026-08-28</t>
        </is>
      </c>
      <c r="B256" s="7" t="n">
        <v>342.88</v>
      </c>
      <c r="C256" s="4">
        <f>(B256-B255)/B255</f>
        <v/>
      </c>
      <c r="D256" s="4" t="n">
        <v>0.04435721295387649</v>
      </c>
      <c r="H256" t="inlineStr">
        <is>
          <t>2026-08-28</t>
        </is>
      </c>
      <c r="I256" s="7" t="n">
        <v>319.7</v>
      </c>
      <c r="J256" s="4">
        <f>(I256-I255)/I255</f>
        <v/>
      </c>
      <c r="K256" s="4" t="n">
        <v>0.03531679413044816</v>
      </c>
    </row>
    <row r="257">
      <c r="A257" t="inlineStr">
        <is>
          <t>2026-08-31</t>
        </is>
      </c>
      <c r="B257" s="7" t="n">
        <v>335.41</v>
      </c>
      <c r="C257" s="4">
        <f>(B257-B256)/B256</f>
        <v/>
      </c>
      <c r="D257" s="4" t="n">
        <v>0.0495682571932235</v>
      </c>
      <c r="H257" t="inlineStr">
        <is>
          <t>2026-08-31</t>
        </is>
      </c>
      <c r="I257" s="7" t="n">
        <v>316.85</v>
      </c>
      <c r="J257" s="4">
        <f>(I257-I256)/I256</f>
        <v/>
      </c>
      <c r="K257" s="4" t="n">
        <v>0.03943874113123793</v>
      </c>
    </row>
    <row r="258">
      <c r="A258" t="inlineStr">
        <is>
          <t>2026-09-01</t>
        </is>
      </c>
      <c r="B258" s="7" t="n">
        <v>332.03</v>
      </c>
      <c r="C258" s="4">
        <f>(B258-B257)/B257</f>
        <v/>
      </c>
      <c r="D258" s="4" t="n">
        <v>0.05023065094823178</v>
      </c>
      <c r="H258" t="inlineStr">
        <is>
          <t>2026-09-01</t>
        </is>
      </c>
      <c r="I258" s="7" t="n">
        <v>325.13</v>
      </c>
      <c r="J258" s="4">
        <f>(I258-I257)/I257</f>
        <v/>
      </c>
      <c r="K258" s="4" t="n">
        <v>0.04014482627199386</v>
      </c>
    </row>
    <row r="259">
      <c r="A259" s="3" t="inlineStr">
        <is>
          <t>2026-09-02</t>
        </is>
      </c>
      <c r="B259" s="7" t="n">
        <v>333.78</v>
      </c>
      <c r="C259" s="4">
        <f>(B259-B258)/B258</f>
        <v/>
      </c>
      <c r="D259" s="4" t="n">
        <v>0.062806607708994</v>
      </c>
      <c r="H259" s="3" t="inlineStr">
        <is>
          <t>2026-09-02</t>
        </is>
      </c>
      <c r="I259" s="7" t="n">
        <v>324.96</v>
      </c>
      <c r="J259" s="4">
        <f>(I259-I258)/I258</f>
        <v/>
      </c>
      <c r="K259" s="4" t="n">
        <v>0.04058116232464919</v>
      </c>
    </row>
    <row r="260">
      <c r="A260" s="3" t="inlineStr">
        <is>
          <t>2026-09-03</t>
        </is>
      </c>
      <c r="B260" s="7" t="n">
        <v>339.08</v>
      </c>
      <c r="C260" s="4">
        <f>(B260-B259)/B259</f>
        <v/>
      </c>
      <c r="D260" s="4" t="n">
        <v>0.06883840805562207</v>
      </c>
      <c r="H260" s="3" t="inlineStr">
        <is>
          <t>2026-09-03</t>
        </is>
      </c>
      <c r="I260" s="7" t="n">
        <v>328.21</v>
      </c>
      <c r="J260" s="4">
        <f>(I260-I259)/I259</f>
        <v/>
      </c>
      <c r="K260" s="4" t="n">
        <v>0.04309572301425656</v>
      </c>
    </row>
    <row r="261">
      <c r="A261" s="3" t="inlineStr">
        <is>
          <t>2026-09-04</t>
        </is>
      </c>
      <c r="B261" s="7" t="n">
        <v>335.31</v>
      </c>
      <c r="C261" s="4">
        <f>(B261-B260)/B260</f>
        <v/>
      </c>
      <c r="D261" s="4" t="n">
        <v>0.09970919351587917</v>
      </c>
      <c r="H261" s="3" t="inlineStr">
        <is>
          <t>2026-09-04</t>
        </is>
      </c>
      <c r="I261" s="7" t="n">
        <v>319.97</v>
      </c>
      <c r="J261" s="4">
        <f>(I261-I260)/I260</f>
        <v/>
      </c>
      <c r="K261" s="4" t="n">
        <v>0.04840682111556491</v>
      </c>
    </row>
  </sheetData>
  <mergeCells count="2">
    <mergeCell ref="H11:K11"/>
    <mergeCell ref="A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261"/>
  <sheetViews>
    <sheetView zoomScale="46" workbookViewId="0">
      <selection activeCell="J17" sqref="J17"/>
    </sheetView>
  </sheetViews>
  <sheetFormatPr baseColWidth="8" defaultRowHeight="15"/>
  <cols>
    <col width="12.7109375" bestFit="1" customWidth="1" style="32" min="1" max="1"/>
    <col width="10" bestFit="1" customWidth="1" style="32" min="2" max="2"/>
    <col width="11" customWidth="1" style="32" min="3" max="3"/>
    <col width="11.7109375" bestFit="1" customWidth="1" style="32" min="8" max="8"/>
    <col width="11.85546875" bestFit="1" customWidth="1" style="32" min="10" max="10"/>
    <col width="50" customWidth="1" style="32" min="13" max="13"/>
  </cols>
  <sheetData>
    <row r="2">
      <c r="A2" s="1" t="inlineStr">
        <is>
          <t>S0</t>
        </is>
      </c>
      <c r="B2" t="n">
        <v>1000</v>
      </c>
      <c r="H2" s="1" t="inlineStr">
        <is>
          <t>S0</t>
        </is>
      </c>
      <c r="I2" t="n">
        <v>1000</v>
      </c>
      <c r="M2" s="11" t="inlineStr">
        <is>
          <t>Kesimpulan:</t>
        </is>
      </c>
    </row>
    <row r="3">
      <c r="A3" s="1" t="inlineStr">
        <is>
          <t>Sd Return=</t>
        </is>
      </c>
      <c r="B3">
        <f>_xlfn.STDEV.S(C11:C260)</f>
        <v/>
      </c>
      <c r="H3" s="1" t="inlineStr">
        <is>
          <t>Sd return</t>
        </is>
      </c>
      <c r="I3">
        <f>_xlfn.STDEV.S(J11:J260)</f>
        <v/>
      </c>
      <c r="M3" s="11" t="inlineStr">
        <is>
          <t>1. Saham NVIDIA:</t>
        </is>
      </c>
    </row>
    <row r="4">
      <c r="A4" s="1" t="inlineStr">
        <is>
          <t>Horizon waktu=</t>
        </is>
      </c>
      <c r="B4" t="n">
        <v>1</v>
      </c>
      <c r="C4" s="10">
        <f>SQRT(B4)</f>
        <v/>
      </c>
      <c r="H4" s="1" t="inlineStr">
        <is>
          <t>Horizon waktu</t>
        </is>
      </c>
      <c r="I4" t="n">
        <v>1</v>
      </c>
      <c r="J4" s="10">
        <f>SQRT(I4)</f>
        <v/>
      </c>
      <c r="M4" s="12" t="inlineStr">
        <is>
          <t>Dengan modal $1.000 dan horizon waktu 1 hari pada tingkat kepercayaan 95%, estimasi kerugian maksimum (VaR) adalah sebesar $18,12 (1,81%). Artinya, terdapat keyakinan 95% bahwa kerugian harian tidak akan melebihi $18,12.</t>
        </is>
      </c>
    </row>
    <row r="5">
      <c r="A5" s="1" t="inlineStr">
        <is>
          <t>Alpha</t>
        </is>
      </c>
      <c r="B5" t="n">
        <v>0.05</v>
      </c>
      <c r="C5" s="4">
        <f>_xlfn.NORM.S.INV(B5)</f>
        <v/>
      </c>
      <c r="H5" s="1" t="inlineStr">
        <is>
          <t>Alpha</t>
        </is>
      </c>
      <c r="I5" t="n">
        <v>0.05</v>
      </c>
      <c r="J5" s="4">
        <f>_xlfn.NORM.S.INV(I5)</f>
        <v/>
      </c>
      <c r="M5" s="11" t="inlineStr">
        <is>
          <t>2. Saham AMD:</t>
        </is>
      </c>
    </row>
    <row r="6">
      <c r="A6" s="1" t="inlineStr">
        <is>
          <t>Var=</t>
        </is>
      </c>
      <c r="B6">
        <f>-C5*C4*B3*B2</f>
        <v/>
      </c>
      <c r="C6" s="5" t="n"/>
      <c r="H6" s="1" t="inlineStr">
        <is>
          <t>Var=</t>
        </is>
      </c>
      <c r="I6">
        <f>I2*I3*J4*-J5</f>
        <v/>
      </c>
      <c r="J6" s="5" t="n"/>
      <c r="M6" s="12" t="inlineStr">
        <is>
          <t>Dengan modal $1.000 dan horizon waktu 1 hari pada tingkat kepercayaan 95%, estimasi kerugian maksimum (VaR) adalah sebesar $34,02 (3,40%). Artinya, terdapat keyakinan 95% bahwa kerugian harian tidak akan melebihi $34,02.</t>
        </is>
      </c>
    </row>
    <row r="7">
      <c r="A7" s="1" t="n"/>
      <c r="H7" s="1" t="n"/>
      <c r="M7" s="11" t="inlineStr">
        <is>
          <t>3. Perbandingan Risiko:</t>
        </is>
      </c>
    </row>
    <row r="8">
      <c r="A8" s="8" t="n"/>
      <c r="M8" s="12" t="inlineStr">
        <is>
          <t>Berdasarkan pendekatan Distribusi Normal, saham AMD memiliki volatilitas (2,07% vs 1,10%) dan risiko kerugian (VaR $34,02 vs $18,12) yang jauh lebih tinggi dibandingkan saham NVIDIA.</t>
        </is>
      </c>
    </row>
    <row r="9">
      <c r="A9" s="34" t="inlineStr">
        <is>
          <t>NVIDIA</t>
        </is>
      </c>
      <c r="H9" s="33" t="inlineStr">
        <is>
          <t>AMD</t>
        </is>
      </c>
    </row>
    <row r="10">
      <c r="A10" t="inlineStr">
        <is>
          <t>Tanggal</t>
        </is>
      </c>
      <c r="B10" t="inlineStr">
        <is>
          <t>Penutupan</t>
        </is>
      </c>
      <c r="C10" t="inlineStr">
        <is>
          <t>Return</t>
        </is>
      </c>
      <c r="H10" t="inlineStr">
        <is>
          <t>Tanggal</t>
        </is>
      </c>
      <c r="I10" t="inlineStr">
        <is>
          <t>Closing</t>
        </is>
      </c>
      <c r="J10" t="inlineStr">
        <is>
          <t>Return</t>
        </is>
      </c>
    </row>
    <row r="11">
      <c r="A11" s="3" t="n">
        <v>46279</v>
      </c>
      <c r="B11" t="n">
        <v>210.96</v>
      </c>
      <c r="C11" s="4">
        <f>LOG(B11/B12)</f>
        <v/>
      </c>
      <c r="D11" s="4" t="n"/>
      <c r="H11" s="3" t="n">
        <v>46279</v>
      </c>
      <c r="I11" t="n">
        <v>493.41</v>
      </c>
      <c r="J11" s="4">
        <f>LOG(I11/I12)</f>
        <v/>
      </c>
      <c r="K11" s="4" t="n"/>
    </row>
    <row r="12">
      <c r="A12" s="3" t="n">
        <v>46276</v>
      </c>
      <c r="B12" t="n">
        <v>218.29</v>
      </c>
      <c r="C12" s="4">
        <f>LOG(B12/B13)</f>
        <v/>
      </c>
      <c r="D12" s="4" t="n"/>
      <c r="H12" s="3" t="n">
        <v>46276</v>
      </c>
      <c r="I12" t="n">
        <v>516.13</v>
      </c>
      <c r="J12" s="4">
        <f>LOG(I12/I13)</f>
        <v/>
      </c>
      <c r="K12" s="4" t="n"/>
    </row>
    <row r="13">
      <c r="A13" s="3" t="n">
        <v>46275</v>
      </c>
      <c r="B13" t="n">
        <v>218.36</v>
      </c>
      <c r="C13" s="4">
        <f>LOG(B13/B14)</f>
        <v/>
      </c>
      <c r="D13" s="4" t="n"/>
      <c r="H13" s="3" t="n">
        <v>46275</v>
      </c>
      <c r="I13" t="n">
        <v>503.6</v>
      </c>
      <c r="J13" s="4">
        <f>LOG(I13/I14)</f>
        <v/>
      </c>
      <c r="K13" s="4" t="n"/>
    </row>
    <row r="14">
      <c r="A14" s="3" t="n">
        <v>46274</v>
      </c>
      <c r="B14" t="n">
        <v>223.67</v>
      </c>
      <c r="C14" s="4">
        <f>LOG(B14/B15)</f>
        <v/>
      </c>
      <c r="D14" s="4" t="n"/>
      <c r="H14" s="3" t="n">
        <v>46274</v>
      </c>
      <c r="I14" t="n">
        <v>521.09</v>
      </c>
      <c r="J14" s="4">
        <f>LOG(I14/I15)</f>
        <v/>
      </c>
      <c r="K14" s="4" t="n"/>
    </row>
    <row r="15">
      <c r="A15" s="3" t="n">
        <v>46273</v>
      </c>
      <c r="B15" t="n">
        <v>225.73</v>
      </c>
      <c r="C15" s="4">
        <f>LOG(B15/B16)</f>
        <v/>
      </c>
      <c r="D15" s="4" t="n"/>
      <c r="H15" s="3" t="n">
        <v>46273</v>
      </c>
      <c r="I15" t="n">
        <v>505.74</v>
      </c>
      <c r="J15" s="4">
        <f>LOG(I15/I16)</f>
        <v/>
      </c>
      <c r="K15" s="4" t="n"/>
    </row>
    <row r="16">
      <c r="A16" s="3" t="n">
        <v>46269</v>
      </c>
      <c r="B16" t="n">
        <v>230.36</v>
      </c>
      <c r="C16" s="4">
        <f>LOG(B16/B17)</f>
        <v/>
      </c>
      <c r="D16" s="4" t="n"/>
      <c r="H16" s="3" t="n">
        <v>46269</v>
      </c>
      <c r="I16" t="n">
        <v>477.57</v>
      </c>
      <c r="J16" s="4">
        <f>LOG(I16/I17)</f>
        <v/>
      </c>
      <c r="K16" s="4" t="n"/>
    </row>
    <row r="17">
      <c r="A17" s="3" t="n">
        <v>46268</v>
      </c>
      <c r="B17" t="n">
        <v>228.45</v>
      </c>
      <c r="C17" s="4">
        <f>LOG(B17/B18)</f>
        <v/>
      </c>
      <c r="D17" s="4" t="n"/>
      <c r="H17" s="3" t="n">
        <v>46268</v>
      </c>
      <c r="I17" t="n">
        <v>456.16</v>
      </c>
      <c r="J17" s="4">
        <f>LOG(I17/I18)</f>
        <v/>
      </c>
      <c r="K17" s="4" t="n"/>
    </row>
    <row r="18">
      <c r="A18" s="3" t="n">
        <v>46267</v>
      </c>
      <c r="B18" t="n">
        <v>224.41</v>
      </c>
      <c r="C18" s="4">
        <f>LOG(B18/B19)</f>
        <v/>
      </c>
      <c r="D18" s="4" t="n"/>
      <c r="H18" s="3" t="n">
        <v>46267</v>
      </c>
      <c r="I18" t="n">
        <v>457.06</v>
      </c>
      <c r="J18" s="4">
        <f>LOG(I18/I19)</f>
        <v/>
      </c>
      <c r="K18" s="4" t="n"/>
    </row>
    <row r="19">
      <c r="A19" s="3" t="n">
        <v>46266</v>
      </c>
      <c r="B19" t="n">
        <v>217.44</v>
      </c>
      <c r="C19" s="4">
        <f>LOG(B19/B20)</f>
        <v/>
      </c>
      <c r="D19" s="4" t="n"/>
      <c r="H19" s="3" t="n">
        <v>46266</v>
      </c>
      <c r="I19" t="n">
        <v>459.61</v>
      </c>
      <c r="J19" s="4">
        <f>LOG(I19/I20)</f>
        <v/>
      </c>
      <c r="K19" s="4" t="n"/>
    </row>
    <row r="20">
      <c r="A20" s="3" t="n">
        <v>46265</v>
      </c>
      <c r="B20" t="n">
        <v>220.78</v>
      </c>
      <c r="C20" s="4">
        <f>LOG(B20/B21)</f>
        <v/>
      </c>
      <c r="D20" s="4" t="n"/>
      <c r="H20" s="3" t="n">
        <v>46265</v>
      </c>
      <c r="I20" t="n">
        <v>470.72</v>
      </c>
      <c r="J20" s="4">
        <f>LOG(I20/I21)</f>
        <v/>
      </c>
      <c r="K20" s="4" t="n"/>
    </row>
    <row r="21">
      <c r="A21" s="3" t="n">
        <v>46262</v>
      </c>
      <c r="B21" t="n">
        <v>217.55</v>
      </c>
      <c r="C21" s="4">
        <f>LOG(B21/B22)</f>
        <v/>
      </c>
      <c r="D21" s="4" t="n"/>
      <c r="H21" s="3" t="n">
        <v>46262</v>
      </c>
      <c r="I21" t="n">
        <v>465.58</v>
      </c>
      <c r="J21" s="4">
        <f>LOG(I21/I22)</f>
        <v/>
      </c>
      <c r="K21" s="4" t="n"/>
    </row>
    <row r="22">
      <c r="A22" s="3" t="n">
        <v>46261</v>
      </c>
      <c r="B22" t="n">
        <v>227.98</v>
      </c>
      <c r="C22" s="4">
        <f>LOG(B22/B23)</f>
        <v/>
      </c>
      <c r="D22" s="4" t="n"/>
      <c r="H22" s="3" t="n">
        <v>46261</v>
      </c>
      <c r="I22" t="n">
        <v>476.67</v>
      </c>
      <c r="J22" s="4">
        <f>LOG(I22/I23)</f>
        <v/>
      </c>
      <c r="K22" s="4" t="n"/>
    </row>
    <row r="23">
      <c r="A23" s="3" t="n">
        <v>46260</v>
      </c>
      <c r="B23" t="n">
        <v>209.66</v>
      </c>
      <c r="C23" s="4">
        <f>LOG(B23/B24)</f>
        <v/>
      </c>
      <c r="D23" s="4" t="n"/>
      <c r="H23" s="3" t="n">
        <v>46260</v>
      </c>
      <c r="I23" t="n">
        <v>480.93</v>
      </c>
      <c r="J23" s="4">
        <f>LOG(I23/I24)</f>
        <v/>
      </c>
      <c r="K23" s="4" t="n"/>
    </row>
    <row r="24">
      <c r="A24" s="3" t="n">
        <v>46259</v>
      </c>
      <c r="B24" t="n">
        <v>213.05</v>
      </c>
      <c r="C24" s="4">
        <f>LOG(B24/B25)</f>
        <v/>
      </c>
      <c r="D24" s="4" t="n"/>
      <c r="H24" s="3" t="n">
        <v>46259</v>
      </c>
      <c r="I24" t="n">
        <v>479.18</v>
      </c>
      <c r="J24" s="4">
        <f>LOG(I24/I25)</f>
        <v/>
      </c>
      <c r="K24" s="4" t="n"/>
    </row>
    <row r="25">
      <c r="A25" s="3" t="n">
        <v>46258</v>
      </c>
      <c r="B25" t="n">
        <v>208.48</v>
      </c>
      <c r="C25" s="4">
        <f>LOG(B25/B26)</f>
        <v/>
      </c>
      <c r="D25" s="4" t="n"/>
      <c r="H25" s="3" t="n">
        <v>46258</v>
      </c>
      <c r="I25" t="n">
        <v>456.74</v>
      </c>
      <c r="J25" s="4">
        <f>LOG(I25/I26)</f>
        <v/>
      </c>
      <c r="K25" s="4" t="n"/>
    </row>
    <row r="26">
      <c r="A26" s="3" t="n">
        <v>46255</v>
      </c>
      <c r="B26" t="n">
        <v>214.72</v>
      </c>
      <c r="C26" s="4">
        <f>LOG(B26/B27)</f>
        <v/>
      </c>
      <c r="D26" s="4" t="n"/>
      <c r="H26" s="3" t="n">
        <v>46255</v>
      </c>
      <c r="I26" t="n">
        <v>473.25</v>
      </c>
      <c r="J26" s="4">
        <f>LOG(I26/I27)</f>
        <v/>
      </c>
      <c r="K26" s="4" t="n"/>
    </row>
    <row r="27">
      <c r="A27" s="3" t="n">
        <v>46254</v>
      </c>
      <c r="B27" t="n">
        <v>216.85</v>
      </c>
      <c r="C27" s="4">
        <f>LOG(B27/B28)</f>
        <v/>
      </c>
      <c r="D27" s="4" t="n"/>
      <c r="H27" s="3" t="n">
        <v>46254</v>
      </c>
      <c r="I27" t="n">
        <v>469.45</v>
      </c>
      <c r="J27" s="4">
        <f>LOG(I27/I28)</f>
        <v/>
      </c>
      <c r="K27" s="4" t="n"/>
    </row>
    <row r="28">
      <c r="A28" s="3" t="n">
        <v>46253</v>
      </c>
      <c r="B28" t="n">
        <v>217.56</v>
      </c>
      <c r="C28" s="4">
        <f>LOG(B28/B29)</f>
        <v/>
      </c>
      <c r="D28" s="4" t="n"/>
      <c r="H28" s="3" t="n">
        <v>46253</v>
      </c>
      <c r="I28" t="n">
        <v>466.42</v>
      </c>
      <c r="J28" s="4">
        <f>LOG(I28/I29)</f>
        <v/>
      </c>
      <c r="K28" s="4" t="n"/>
    </row>
    <row r="29">
      <c r="A29" s="3" t="n">
        <v>46252</v>
      </c>
      <c r="B29" t="n">
        <v>219.74</v>
      </c>
      <c r="C29" s="4">
        <f>LOG(B29/B30)</f>
        <v/>
      </c>
      <c r="D29" s="4" t="n"/>
      <c r="H29" s="3" t="n">
        <v>46252</v>
      </c>
      <c r="I29" t="n">
        <v>484.39</v>
      </c>
      <c r="J29" s="4">
        <f>LOG(I29/I30)</f>
        <v/>
      </c>
      <c r="K29" s="4" t="n"/>
    </row>
    <row r="30">
      <c r="A30" s="3" t="n">
        <v>46251</v>
      </c>
      <c r="B30" t="n">
        <v>225.01</v>
      </c>
      <c r="C30" s="4">
        <f>LOG(B30/B31)</f>
        <v/>
      </c>
      <c r="D30" s="4" t="n"/>
      <c r="H30" s="3" t="n">
        <v>46251</v>
      </c>
      <c r="I30" t="n">
        <v>506</v>
      </c>
      <c r="J30" s="4">
        <f>LOG(I30/I31)</f>
        <v/>
      </c>
      <c r="K30" s="4" t="n"/>
    </row>
    <row r="31">
      <c r="A31" s="3" t="n">
        <v>46248</v>
      </c>
      <c r="B31" t="n">
        <v>225.16</v>
      </c>
      <c r="C31" s="4">
        <f>LOG(B31/B32)</f>
        <v/>
      </c>
      <c r="D31" s="4" t="n"/>
      <c r="H31" s="3" t="n">
        <v>46248</v>
      </c>
      <c r="I31" t="n">
        <v>514.39</v>
      </c>
      <c r="J31" s="4">
        <f>LOG(I31/I32)</f>
        <v/>
      </c>
      <c r="K31" s="4" t="n"/>
    </row>
    <row r="32">
      <c r="A32" s="3" t="n">
        <v>46247</v>
      </c>
      <c r="B32" t="n">
        <v>225.3</v>
      </c>
      <c r="C32" s="4">
        <f>LOG(B32/B33)</f>
        <v/>
      </c>
      <c r="D32" s="4" t="n"/>
      <c r="H32" s="3" t="n">
        <v>46247</v>
      </c>
      <c r="I32" t="n">
        <v>483.01</v>
      </c>
      <c r="J32" s="4">
        <f>LOG(I32/I33)</f>
        <v/>
      </c>
      <c r="K32" s="4" t="n"/>
    </row>
    <row r="33">
      <c r="A33" s="3" t="n">
        <v>46246</v>
      </c>
      <c r="B33" t="n">
        <v>224.09</v>
      </c>
      <c r="C33" s="4">
        <f>LOG(B33/B34)</f>
        <v/>
      </c>
      <c r="D33" s="4" t="n"/>
      <c r="H33" s="3" t="n">
        <v>46246</v>
      </c>
      <c r="I33" t="n">
        <v>482.93</v>
      </c>
      <c r="J33" s="4">
        <f>LOG(I33/I34)</f>
        <v/>
      </c>
      <c r="K33" s="4" t="n"/>
    </row>
    <row r="34">
      <c r="A34" s="3" t="n">
        <v>46245</v>
      </c>
      <c r="B34" t="n">
        <v>217.5</v>
      </c>
      <c r="C34" s="4">
        <f>LOG(B34/B35)</f>
        <v/>
      </c>
      <c r="D34" s="4" t="n"/>
      <c r="H34" s="3" t="n">
        <v>46245</v>
      </c>
      <c r="I34" t="n">
        <v>474.32</v>
      </c>
      <c r="J34" s="4">
        <f>LOG(I34/I35)</f>
        <v/>
      </c>
      <c r="K34" s="4" t="n"/>
    </row>
    <row r="35">
      <c r="A35" s="3" t="n">
        <v>46244</v>
      </c>
      <c r="B35" t="n">
        <v>217.55</v>
      </c>
      <c r="C35" s="4">
        <f>LOG(B35/B36)</f>
        <v/>
      </c>
      <c r="D35" s="4" t="n"/>
      <c r="H35" s="3" t="n">
        <v>46244</v>
      </c>
      <c r="I35" t="n">
        <v>469.56</v>
      </c>
      <c r="J35" s="4">
        <f>LOG(I35/I36)</f>
        <v/>
      </c>
      <c r="K35" s="4" t="n"/>
    </row>
    <row r="36">
      <c r="A36" s="3" t="n">
        <v>46241</v>
      </c>
      <c r="B36" t="n">
        <v>223.96</v>
      </c>
      <c r="C36" s="4">
        <f>LOG(B36/B37)</f>
        <v/>
      </c>
      <c r="D36" s="4" t="n"/>
      <c r="H36" s="3" t="n">
        <v>46241</v>
      </c>
      <c r="I36" t="n">
        <v>483.36</v>
      </c>
      <c r="J36" s="4">
        <f>LOG(I36/I37)</f>
        <v/>
      </c>
      <c r="K36" s="4" t="n"/>
    </row>
    <row r="37">
      <c r="A37" s="3" t="n">
        <v>46240</v>
      </c>
      <c r="B37" t="n">
        <v>218.99</v>
      </c>
      <c r="C37" s="4">
        <f>LOG(B37/B38)</f>
        <v/>
      </c>
      <c r="D37" s="4" t="n"/>
      <c r="H37" s="3" t="n">
        <v>46240</v>
      </c>
      <c r="I37" t="n">
        <v>489.28</v>
      </c>
      <c r="J37" s="4">
        <f>LOG(I37/I38)</f>
        <v/>
      </c>
      <c r="K37" s="4" t="n"/>
    </row>
    <row r="38">
      <c r="A38" s="3" t="n">
        <v>46239</v>
      </c>
      <c r="B38" t="n">
        <v>219.22</v>
      </c>
      <c r="C38" s="4">
        <f>LOG(B38/B39)</f>
        <v/>
      </c>
      <c r="D38" s="4" t="n"/>
      <c r="H38" s="3" t="n">
        <v>46239</v>
      </c>
      <c r="I38" t="n">
        <v>482.05</v>
      </c>
      <c r="J38" s="4">
        <f>LOG(I38/I39)</f>
        <v/>
      </c>
      <c r="K38" s="4" t="n"/>
    </row>
    <row r="39">
      <c r="A39" s="3" t="n">
        <v>46238</v>
      </c>
      <c r="B39" t="n">
        <v>211.94</v>
      </c>
      <c r="C39" s="4">
        <f>LOG(B39/B40)</f>
        <v/>
      </c>
      <c r="D39" s="4" t="n"/>
      <c r="H39" s="3" t="n">
        <v>46238</v>
      </c>
      <c r="I39" t="n">
        <v>518.58</v>
      </c>
      <c r="J39" s="4">
        <f>LOG(I39/I40)</f>
        <v/>
      </c>
      <c r="K39" s="4" t="n"/>
    </row>
    <row r="40">
      <c r="A40" s="3" t="n">
        <v>46237</v>
      </c>
      <c r="B40" t="n">
        <v>206.64</v>
      </c>
      <c r="C40" s="4">
        <f>LOG(B40/B41)</f>
        <v/>
      </c>
      <c r="D40" s="4" t="n"/>
      <c r="H40" s="3" t="n">
        <v>46237</v>
      </c>
      <c r="I40" t="n">
        <v>484.64</v>
      </c>
      <c r="J40" s="4">
        <f>LOG(I40/I41)</f>
        <v/>
      </c>
      <c r="K40" s="4" t="n"/>
    </row>
    <row r="41">
      <c r="A41" s="3" t="n">
        <v>46234</v>
      </c>
      <c r="B41" t="n">
        <v>200.75</v>
      </c>
      <c r="C41" s="4">
        <f>LOG(B41/B42)</f>
        <v/>
      </c>
      <c r="D41" s="4" t="n"/>
      <c r="H41" s="3" t="n">
        <v>46234</v>
      </c>
      <c r="I41" t="n">
        <v>476.15</v>
      </c>
      <c r="J41" s="4">
        <f>LOG(I41/I42)</f>
        <v/>
      </c>
      <c r="K41" s="4" t="n"/>
    </row>
    <row r="42">
      <c r="A42" s="3" t="n">
        <v>46233</v>
      </c>
      <c r="B42" t="n">
        <v>195.04</v>
      </c>
      <c r="C42" s="4">
        <f>LOG(B42/B43)</f>
        <v/>
      </c>
      <c r="D42" s="4" t="n"/>
      <c r="H42" s="3" t="n">
        <v>46233</v>
      </c>
      <c r="I42" t="n">
        <v>485.39</v>
      </c>
      <c r="J42" s="4">
        <f>LOG(I42/I43)</f>
        <v/>
      </c>
      <c r="K42" s="4" t="n"/>
    </row>
    <row r="43">
      <c r="A43" s="3" t="n">
        <v>46232</v>
      </c>
      <c r="B43" t="n">
        <v>190.01</v>
      </c>
      <c r="C43" s="4">
        <f>LOG(B43/B44)</f>
        <v/>
      </c>
      <c r="D43" s="4" t="n"/>
      <c r="H43" s="3" t="n">
        <v>46232</v>
      </c>
      <c r="I43" t="n">
        <v>429.56</v>
      </c>
      <c r="J43" s="4">
        <f>LOG(I43/I44)</f>
        <v/>
      </c>
      <c r="K43" s="4" t="n"/>
    </row>
    <row r="44">
      <c r="A44" s="3" t="n">
        <v>46231</v>
      </c>
      <c r="B44" t="n">
        <v>197.01</v>
      </c>
      <c r="C44" s="4">
        <f>LOG(B44/B45)</f>
        <v/>
      </c>
      <c r="D44" s="4" t="n"/>
      <c r="H44" s="3" t="n">
        <v>46231</v>
      </c>
      <c r="I44" t="n">
        <v>454.62</v>
      </c>
      <c r="J44" s="4">
        <f>LOG(I44/I45)</f>
        <v/>
      </c>
      <c r="K44" s="4" t="n"/>
    </row>
    <row r="45">
      <c r="A45" s="3" t="n">
        <v>46230</v>
      </c>
      <c r="B45" t="n">
        <v>196.51</v>
      </c>
      <c r="C45" s="4">
        <f>LOG(B45/B46)</f>
        <v/>
      </c>
      <c r="D45" s="4" t="n"/>
      <c r="H45" s="3" t="n">
        <v>46230</v>
      </c>
      <c r="I45" t="n">
        <v>494.95</v>
      </c>
      <c r="J45" s="4">
        <f>LOG(I45/I46)</f>
        <v/>
      </c>
      <c r="K45" s="4" t="n"/>
    </row>
    <row r="46">
      <c r="A46" s="3" t="n">
        <v>46227</v>
      </c>
      <c r="B46" t="n">
        <v>206.84</v>
      </c>
      <c r="C46" s="4">
        <f>LOG(B46/B47)</f>
        <v/>
      </c>
      <c r="D46" s="4" t="n"/>
      <c r="H46" s="3" t="n">
        <v>46227</v>
      </c>
      <c r="I46" t="n">
        <v>521.95</v>
      </c>
      <c r="J46" s="4">
        <f>LOG(I46/I47)</f>
        <v/>
      </c>
      <c r="K46" s="4" t="n"/>
    </row>
    <row r="47">
      <c r="A47" s="3" t="n">
        <v>46226</v>
      </c>
      <c r="B47" t="n">
        <v>208.76</v>
      </c>
      <c r="C47" s="4">
        <f>LOG(B47/B48)</f>
        <v/>
      </c>
      <c r="D47" s="4" t="n"/>
      <c r="H47" s="3" t="n">
        <v>46226</v>
      </c>
      <c r="I47" t="n">
        <v>539.6900000000001</v>
      </c>
      <c r="J47" s="4">
        <f>LOG(I47/I48)</f>
        <v/>
      </c>
      <c r="K47" s="4" t="n"/>
    </row>
    <row r="48">
      <c r="A48" s="3" t="n">
        <v>46225</v>
      </c>
      <c r="B48" t="n">
        <v>212.06</v>
      </c>
      <c r="C48" s="4">
        <f>LOG(B48/B49)</f>
        <v/>
      </c>
      <c r="D48" s="4" t="n"/>
      <c r="H48" s="3" t="n">
        <v>46225</v>
      </c>
      <c r="I48" t="n">
        <v>552.33</v>
      </c>
      <c r="J48" s="4">
        <f>LOG(I48/I49)</f>
        <v/>
      </c>
      <c r="K48" s="4" t="n"/>
    </row>
    <row r="49">
      <c r="A49" s="3" t="n">
        <v>46224</v>
      </c>
      <c r="B49" t="n">
        <v>207.29</v>
      </c>
      <c r="C49" s="4">
        <f>LOG(B49/B50)</f>
        <v/>
      </c>
      <c r="D49" s="4" t="n"/>
      <c r="H49" s="3" t="n">
        <v>46224</v>
      </c>
      <c r="I49" t="n">
        <v>544.4299999999999</v>
      </c>
      <c r="J49" s="4">
        <f>LOG(I49/I50)</f>
        <v/>
      </c>
      <c r="K49" s="4" t="n"/>
    </row>
    <row r="50">
      <c r="A50" s="3" t="n">
        <v>46223</v>
      </c>
      <c r="B50" t="n">
        <v>203.28</v>
      </c>
      <c r="C50" s="4">
        <f>LOG(B50/B51)</f>
        <v/>
      </c>
      <c r="D50" s="4" t="n"/>
      <c r="H50" s="3" t="n">
        <v>46223</v>
      </c>
      <c r="I50" t="n">
        <v>503.57</v>
      </c>
      <c r="J50" s="4">
        <f>LOG(I50/I51)</f>
        <v/>
      </c>
      <c r="K50" s="4" t="n"/>
    </row>
    <row r="51">
      <c r="A51" s="3" t="n">
        <v>46220</v>
      </c>
      <c r="B51" t="n">
        <v>202.81</v>
      </c>
      <c r="C51" s="4">
        <f>LOG(B51/B52)</f>
        <v/>
      </c>
      <c r="D51" s="4" t="n"/>
      <c r="H51" s="3" t="n">
        <v>46220</v>
      </c>
      <c r="I51" t="n">
        <v>495.76</v>
      </c>
      <c r="J51" s="4">
        <f>LOG(I51/I52)</f>
        <v/>
      </c>
      <c r="K51" s="4" t="n"/>
    </row>
    <row r="52">
      <c r="A52" s="3" t="n">
        <v>46219</v>
      </c>
      <c r="B52" t="n">
        <v>207.4</v>
      </c>
      <c r="C52" s="4">
        <f>LOG(B52/B53)</f>
        <v/>
      </c>
      <c r="D52" s="4" t="n"/>
      <c r="H52" s="3" t="n">
        <v>46219</v>
      </c>
      <c r="I52" t="n">
        <v>500.94</v>
      </c>
      <c r="J52" s="4">
        <f>LOG(I52/I53)</f>
        <v/>
      </c>
      <c r="K52" s="4" t="n"/>
    </row>
    <row r="53">
      <c r="A53" s="3" t="n">
        <v>46218</v>
      </c>
      <c r="B53" t="n">
        <v>212.5</v>
      </c>
      <c r="C53" s="4">
        <f>LOG(B53/B54)</f>
        <v/>
      </c>
      <c r="D53" s="4" t="n"/>
      <c r="H53" s="3" t="n">
        <v>46218</v>
      </c>
      <c r="I53" t="n">
        <v>529.14</v>
      </c>
      <c r="J53" s="4">
        <f>LOG(I53/I54)</f>
        <v/>
      </c>
      <c r="K53" s="4" t="n"/>
    </row>
    <row r="54">
      <c r="A54" s="3" t="n">
        <v>46217</v>
      </c>
      <c r="B54" t="n">
        <v>211.8</v>
      </c>
      <c r="C54" s="4">
        <f>LOG(B54/B55)</f>
        <v/>
      </c>
      <c r="D54" s="4" t="n"/>
      <c r="H54" s="3" t="n">
        <v>46217</v>
      </c>
      <c r="I54" t="n">
        <v>548.13</v>
      </c>
      <c r="J54" s="4">
        <f>LOG(I54/I55)</f>
        <v/>
      </c>
      <c r="K54" s="4" t="n"/>
    </row>
    <row r="55">
      <c r="A55" s="3" t="n">
        <v>46216</v>
      </c>
      <c r="B55" t="n">
        <v>203.53</v>
      </c>
      <c r="C55" s="4">
        <f>LOG(B55/B56)</f>
        <v/>
      </c>
      <c r="D55" s="4" t="n"/>
      <c r="H55" s="3" t="n">
        <v>46216</v>
      </c>
      <c r="I55" t="n">
        <v>534.39</v>
      </c>
      <c r="J55" s="4">
        <f>LOG(I55/I56)</f>
        <v/>
      </c>
      <c r="K55" s="4" t="n"/>
    </row>
    <row r="56">
      <c r="A56" s="3" t="n">
        <v>46213</v>
      </c>
      <c r="B56" t="n">
        <v>210.96</v>
      </c>
      <c r="C56" s="4">
        <f>LOG(B56/B57)</f>
        <v/>
      </c>
      <c r="D56" s="4" t="n"/>
      <c r="H56" s="3" t="n">
        <v>46213</v>
      </c>
      <c r="I56" t="n">
        <v>557.89</v>
      </c>
      <c r="J56" s="4">
        <f>LOG(I56/I57)</f>
        <v/>
      </c>
      <c r="K56" s="4" t="n"/>
    </row>
    <row r="57">
      <c r="A57" s="3" t="n">
        <v>46212</v>
      </c>
      <c r="B57" t="n">
        <v>202.78</v>
      </c>
      <c r="C57" s="4">
        <f>LOG(B57/B58)</f>
        <v/>
      </c>
      <c r="D57" s="4" t="n"/>
      <c r="H57" s="3" t="n">
        <v>46212</v>
      </c>
      <c r="I57" t="n">
        <v>546.72</v>
      </c>
      <c r="J57" s="4">
        <f>LOG(I57/I58)</f>
        <v/>
      </c>
      <c r="K57" s="4" t="n"/>
    </row>
    <row r="58">
      <c r="A58" s="3" t="n">
        <v>46211</v>
      </c>
      <c r="B58" t="n">
        <v>204.12</v>
      </c>
      <c r="C58" s="4">
        <f>LOG(B58/B59)</f>
        <v/>
      </c>
      <c r="D58" s="4" t="n"/>
      <c r="H58" s="3" t="n">
        <v>46211</v>
      </c>
      <c r="I58" t="n">
        <v>517.41</v>
      </c>
      <c r="J58" s="4">
        <f>LOG(I58/I59)</f>
        <v/>
      </c>
      <c r="K58" s="4" t="n"/>
    </row>
    <row r="59">
      <c r="A59" s="3" t="n">
        <v>46210</v>
      </c>
      <c r="B59" t="n">
        <v>196.93</v>
      </c>
      <c r="C59" s="4">
        <f>LOG(B59/B60)</f>
        <v/>
      </c>
      <c r="D59" s="4" t="n"/>
      <c r="H59" s="3" t="n">
        <v>46210</v>
      </c>
      <c r="I59" t="n">
        <v>516.11</v>
      </c>
      <c r="J59" s="4">
        <f>LOG(I59/I60)</f>
        <v/>
      </c>
      <c r="K59" s="4" t="n"/>
    </row>
    <row r="60">
      <c r="A60" s="3" t="n">
        <v>46209</v>
      </c>
      <c r="B60" t="n">
        <v>195.55</v>
      </c>
      <c r="C60" s="4">
        <f>LOG(B60/B61)</f>
        <v/>
      </c>
      <c r="D60" s="4" t="n"/>
      <c r="H60" s="3" t="n">
        <v>46209</v>
      </c>
      <c r="I60" t="n">
        <v>552.05</v>
      </c>
      <c r="J60" s="4">
        <f>LOG(I60/I61)</f>
        <v/>
      </c>
      <c r="K60" s="4" t="n"/>
    </row>
    <row r="61">
      <c r="A61" s="3" t="n">
        <v>46205</v>
      </c>
      <c r="B61" t="n">
        <v>194.83</v>
      </c>
      <c r="C61" s="4">
        <f>LOG(B61/B62)</f>
        <v/>
      </c>
      <c r="D61" s="4" t="n"/>
      <c r="H61" s="3" t="n">
        <v>46205</v>
      </c>
      <c r="I61" t="n">
        <v>517.8200000000001</v>
      </c>
      <c r="J61" s="4">
        <f>LOG(I61/I62)</f>
        <v/>
      </c>
      <c r="K61" s="4" t="n"/>
    </row>
    <row r="62">
      <c r="A62" s="3" t="n">
        <v>46204</v>
      </c>
      <c r="B62" t="n">
        <v>197.58</v>
      </c>
      <c r="C62" s="4">
        <f>LOG(B62/B63)</f>
        <v/>
      </c>
      <c r="D62" s="4" t="n"/>
      <c r="H62" s="3" t="n">
        <v>46204</v>
      </c>
      <c r="I62" t="n">
        <v>540.88</v>
      </c>
      <c r="J62" s="4">
        <f>LOG(I62/I63)</f>
        <v/>
      </c>
      <c r="K62" s="4" t="n"/>
    </row>
    <row r="63">
      <c r="A63" s="3" t="n">
        <v>46203</v>
      </c>
      <c r="B63" t="n">
        <v>200.09</v>
      </c>
      <c r="C63" s="4">
        <f>LOG(B63/B64)</f>
        <v/>
      </c>
      <c r="D63" s="4" t="n"/>
      <c r="H63" s="3" t="n">
        <v>46203</v>
      </c>
      <c r="I63" t="n">
        <v>580.91</v>
      </c>
      <c r="J63" s="4">
        <f>LOG(I63/I64)</f>
        <v/>
      </c>
      <c r="K63" s="4" t="n"/>
    </row>
    <row r="64">
      <c r="A64" s="3" t="n">
        <v>46202</v>
      </c>
      <c r="B64" t="n">
        <v>194.97</v>
      </c>
      <c r="C64" s="4">
        <f>LOG(B64/B65)</f>
        <v/>
      </c>
      <c r="D64" s="4" t="n"/>
      <c r="H64" s="3" t="n">
        <v>46202</v>
      </c>
      <c r="I64" t="n">
        <v>539.49</v>
      </c>
      <c r="J64" s="4">
        <f>LOG(I64/I65)</f>
        <v/>
      </c>
      <c r="K64" s="4" t="n"/>
    </row>
    <row r="65">
      <c r="A65" s="3" t="n">
        <v>46199</v>
      </c>
      <c r="B65" t="n">
        <v>192.53</v>
      </c>
      <c r="C65" s="4">
        <f>LOG(B65/B66)</f>
        <v/>
      </c>
      <c r="D65" s="4" t="n"/>
      <c r="H65" s="3" t="n">
        <v>46199</v>
      </c>
      <c r="I65" t="n">
        <v>521.58</v>
      </c>
      <c r="J65" s="4">
        <f>LOG(I65/I66)</f>
        <v/>
      </c>
      <c r="K65" s="4" t="n"/>
    </row>
    <row r="66">
      <c r="A66" s="3" t="n">
        <v>46198</v>
      </c>
      <c r="B66" t="n">
        <v>195.74</v>
      </c>
      <c r="C66" s="4">
        <f>LOG(B66/B67)</f>
        <v/>
      </c>
      <c r="D66" s="4" t="n"/>
      <c r="H66" s="3" t="n">
        <v>46198</v>
      </c>
      <c r="I66" t="n">
        <v>532.5700000000001</v>
      </c>
      <c r="J66" s="4">
        <f>LOG(I66/I67)</f>
        <v/>
      </c>
      <c r="K66" s="4" t="n"/>
    </row>
    <row r="67">
      <c r="A67" s="3" t="n">
        <v>46197</v>
      </c>
      <c r="B67" t="n">
        <v>199</v>
      </c>
      <c r="C67" s="4">
        <f>LOG(B67/B68)</f>
        <v/>
      </c>
      <c r="D67" s="4" t="n"/>
      <c r="H67" s="3" t="n">
        <v>46197</v>
      </c>
      <c r="I67" t="n">
        <v>519.74</v>
      </c>
      <c r="J67" s="4">
        <f>LOG(I67/I68)</f>
        <v/>
      </c>
      <c r="K67" s="4" t="n"/>
    </row>
    <row r="68">
      <c r="A68" s="3" t="n">
        <v>46196</v>
      </c>
      <c r="B68" t="n">
        <v>200.04</v>
      </c>
      <c r="C68" s="4">
        <f>LOG(B68/B69)</f>
        <v/>
      </c>
      <c r="D68" s="4" t="n"/>
      <c r="H68" s="3" t="n">
        <v>46196</v>
      </c>
      <c r="I68" t="n">
        <v>519.85</v>
      </c>
      <c r="J68" s="4">
        <f>LOG(I68/I69)</f>
        <v/>
      </c>
      <c r="K68" s="4" t="n"/>
    </row>
    <row r="69">
      <c r="A69" s="3" t="n">
        <v>46195</v>
      </c>
      <c r="B69" t="n">
        <v>208.65</v>
      </c>
      <c r="C69" s="4">
        <f>LOG(B69/B70)</f>
        <v/>
      </c>
      <c r="D69" s="4" t="n"/>
      <c r="H69" s="3" t="n">
        <v>46195</v>
      </c>
      <c r="I69" t="n">
        <v>551.63</v>
      </c>
      <c r="J69" s="4">
        <f>LOG(I69/I70)</f>
        <v/>
      </c>
      <c r="K69" s="4" t="n"/>
    </row>
    <row r="70">
      <c r="A70" s="3" t="n">
        <v>46191</v>
      </c>
      <c r="B70" t="n">
        <v>210.69</v>
      </c>
      <c r="C70" s="4">
        <f>LOG(B70/B71)</f>
        <v/>
      </c>
      <c r="D70" s="4" t="n"/>
      <c r="H70" s="3" t="n">
        <v>46191</v>
      </c>
      <c r="I70" t="n">
        <v>537.37</v>
      </c>
      <c r="J70" s="4">
        <f>LOG(I70/I71)</f>
        <v/>
      </c>
      <c r="K70" s="4" t="n"/>
    </row>
    <row r="71">
      <c r="A71" s="3" t="n">
        <v>46190</v>
      </c>
      <c r="B71" t="n">
        <v>204.65</v>
      </c>
      <c r="C71" s="4">
        <f>LOG(B71/B72)</f>
        <v/>
      </c>
      <c r="D71" s="4" t="n"/>
      <c r="H71" s="3" t="n">
        <v>46190</v>
      </c>
      <c r="I71" t="n">
        <v>512.48</v>
      </c>
      <c r="J71" s="4">
        <f>LOG(I71/I72)</f>
        <v/>
      </c>
      <c r="K71" s="4" t="n"/>
    </row>
    <row r="72">
      <c r="A72" s="3" t="n">
        <v>46189</v>
      </c>
      <c r="B72" t="n">
        <v>207.41</v>
      </c>
      <c r="C72" s="4">
        <f>LOG(B72/B73)</f>
        <v/>
      </c>
      <c r="D72" s="4" t="n"/>
      <c r="H72" s="3" t="n">
        <v>46189</v>
      </c>
      <c r="I72" t="n">
        <v>507.29</v>
      </c>
      <c r="J72" s="4">
        <f>LOG(I72/I73)</f>
        <v/>
      </c>
      <c r="K72" s="4" t="n"/>
    </row>
    <row r="73">
      <c r="A73" s="3" t="n">
        <v>46188</v>
      </c>
      <c r="B73" t="n">
        <v>212.45</v>
      </c>
      <c r="C73" s="4">
        <f>LOG(B73/B74)</f>
        <v/>
      </c>
      <c r="D73" s="4" t="n"/>
      <c r="H73" s="3" t="n">
        <v>46188</v>
      </c>
      <c r="I73" t="n">
        <v>547.26</v>
      </c>
      <c r="J73" s="4">
        <f>LOG(I73/I74)</f>
        <v/>
      </c>
      <c r="K73" s="4" t="n"/>
    </row>
    <row r="74">
      <c r="A74" s="3" t="n">
        <v>46185</v>
      </c>
      <c r="B74" t="n">
        <v>205.19</v>
      </c>
      <c r="C74" s="4">
        <f>LOG(B74/B75)</f>
        <v/>
      </c>
      <c r="D74" s="4" t="n"/>
      <c r="H74" s="3" t="n">
        <v>46185</v>
      </c>
      <c r="I74" t="n">
        <v>511.57</v>
      </c>
      <c r="J74" s="4">
        <f>LOG(I74/I75)</f>
        <v/>
      </c>
      <c r="K74" s="4" t="n"/>
    </row>
    <row r="75">
      <c r="A75" s="3" t="n">
        <v>46184</v>
      </c>
      <c r="B75" t="n">
        <v>204.87</v>
      </c>
      <c r="C75" s="4">
        <f>LOG(B75/B76)</f>
        <v/>
      </c>
      <c r="D75" s="4" t="n"/>
      <c r="H75" s="3" t="n">
        <v>46184</v>
      </c>
      <c r="I75" t="n">
        <v>488.45</v>
      </c>
      <c r="J75" s="4">
        <f>LOG(I75/I76)</f>
        <v/>
      </c>
      <c r="K75" s="4" t="n"/>
    </row>
    <row r="76">
      <c r="A76" s="3" t="n">
        <v>46183</v>
      </c>
      <c r="B76" t="n">
        <v>200.42</v>
      </c>
      <c r="C76" s="4">
        <f>LOG(B76/B77)</f>
        <v/>
      </c>
      <c r="D76" s="4" t="n"/>
      <c r="H76" s="3" t="n">
        <v>46183</v>
      </c>
      <c r="I76" t="n">
        <v>452.4</v>
      </c>
      <c r="J76" s="4">
        <f>LOG(I76/I77)</f>
        <v/>
      </c>
      <c r="K76" s="4" t="n"/>
    </row>
    <row r="77">
      <c r="A77" s="3" t="n">
        <v>46182</v>
      </c>
      <c r="B77" t="n">
        <v>208.19</v>
      </c>
      <c r="C77" s="4">
        <f>LOG(B77/B78)</f>
        <v/>
      </c>
      <c r="D77" s="4" t="n"/>
      <c r="H77" s="3" t="n">
        <v>46182</v>
      </c>
      <c r="I77" t="n">
        <v>475.51</v>
      </c>
      <c r="J77" s="4">
        <f>LOG(I77/I78)</f>
        <v/>
      </c>
      <c r="K77" s="4" t="n"/>
    </row>
    <row r="78">
      <c r="A78" s="3" t="n">
        <v>46181</v>
      </c>
      <c r="B78" t="n">
        <v>208.64</v>
      </c>
      <c r="C78" s="4">
        <f>LOG(B78/B79)</f>
        <v/>
      </c>
      <c r="D78" s="4" t="n"/>
      <c r="H78" s="3" t="n">
        <v>46181</v>
      </c>
      <c r="I78" t="n">
        <v>490.33</v>
      </c>
      <c r="J78" s="4">
        <f>LOG(I78/I79)</f>
        <v/>
      </c>
      <c r="K78" s="4" t="n"/>
    </row>
    <row r="79">
      <c r="A79" s="3" t="n">
        <v>46178</v>
      </c>
      <c r="B79" t="n">
        <v>205.1</v>
      </c>
      <c r="C79" s="4">
        <f>LOG(B79/B80)</f>
        <v/>
      </c>
      <c r="D79" s="4" t="n"/>
      <c r="H79" s="3" t="n">
        <v>46178</v>
      </c>
      <c r="I79" t="n">
        <v>466.38</v>
      </c>
      <c r="J79" s="4">
        <f>LOG(I79/I80)</f>
        <v/>
      </c>
      <c r="K79" s="4" t="n"/>
    </row>
    <row r="80">
      <c r="A80" s="3" t="n">
        <v>46177</v>
      </c>
      <c r="B80" t="n">
        <v>218.66</v>
      </c>
      <c r="C80" s="4">
        <f>LOG(B80/B81)</f>
        <v/>
      </c>
      <c r="D80" s="4" t="n"/>
      <c r="H80" s="3" t="n">
        <v>46177</v>
      </c>
      <c r="I80" t="n">
        <v>523.2</v>
      </c>
      <c r="J80" s="4">
        <f>LOG(I80/I81)</f>
        <v/>
      </c>
      <c r="K80" s="4" t="n"/>
    </row>
    <row r="81">
      <c r="A81" s="3" t="n">
        <v>46176</v>
      </c>
      <c r="B81" t="n">
        <v>214.75</v>
      </c>
      <c r="C81" s="4">
        <f>LOG(B81/B82)</f>
        <v/>
      </c>
      <c r="D81" s="4" t="n"/>
      <c r="H81" s="3" t="n">
        <v>46176</v>
      </c>
      <c r="I81" t="n">
        <v>542.52</v>
      </c>
      <c r="J81" s="4">
        <f>LOG(I81/I82)</f>
        <v/>
      </c>
      <c r="K81" s="4" t="n"/>
    </row>
    <row r="82">
      <c r="A82" s="3" t="n">
        <v>46175</v>
      </c>
      <c r="B82" t="n">
        <v>222.82</v>
      </c>
      <c r="C82" s="4">
        <f>LOG(B82/B83)</f>
        <v/>
      </c>
      <c r="D82" s="4" t="n"/>
      <c r="H82" s="3" t="n">
        <v>46175</v>
      </c>
      <c r="I82" t="n">
        <v>521.54</v>
      </c>
      <c r="J82" s="4">
        <f>LOG(I82/I83)</f>
        <v/>
      </c>
      <c r="K82" s="4" t="n"/>
    </row>
    <row r="83">
      <c r="A83" s="3" t="n">
        <v>46174</v>
      </c>
      <c r="B83" t="n">
        <v>224.36</v>
      </c>
      <c r="C83" s="4">
        <f>LOG(B83/B84)</f>
        <v/>
      </c>
      <c r="D83" s="4" t="n"/>
      <c r="H83" s="3" t="n">
        <v>46174</v>
      </c>
      <c r="I83" t="n">
        <v>510.13</v>
      </c>
      <c r="J83" s="4">
        <f>LOG(I83/I84)</f>
        <v/>
      </c>
      <c r="K83" s="4" t="n"/>
    </row>
    <row r="84">
      <c r="A84" s="3" t="n">
        <v>46171</v>
      </c>
      <c r="B84" t="n">
        <v>211.14</v>
      </c>
      <c r="C84" s="4">
        <f>LOG(B84/B85)</f>
        <v/>
      </c>
      <c r="D84" s="4" t="n"/>
      <c r="H84" s="3" t="n">
        <v>46171</v>
      </c>
      <c r="I84" t="n">
        <v>516.1</v>
      </c>
      <c r="J84" s="4">
        <f>LOG(I84/I85)</f>
        <v/>
      </c>
      <c r="K84" s="4" t="n"/>
    </row>
    <row r="85">
      <c r="A85" s="3" t="n">
        <v>46170</v>
      </c>
      <c r="B85" t="n">
        <v>214.25</v>
      </c>
      <c r="C85" s="4">
        <f>LOG(B85/B86)</f>
        <v/>
      </c>
      <c r="D85" s="4" t="n"/>
      <c r="H85" s="3" t="n">
        <v>46170</v>
      </c>
      <c r="I85" t="n">
        <v>518.09</v>
      </c>
      <c r="J85" s="4">
        <f>LOG(I85/I86)</f>
        <v/>
      </c>
      <c r="K85" s="4" t="n"/>
    </row>
    <row r="86">
      <c r="A86" s="3" t="n">
        <v>46169</v>
      </c>
      <c r="B86" t="n">
        <v>212.6</v>
      </c>
      <c r="C86" s="4">
        <f>LOG(B86/B87)</f>
        <v/>
      </c>
      <c r="D86" s="4" t="n"/>
      <c r="H86" s="3" t="n">
        <v>46169</v>
      </c>
      <c r="I86" t="n">
        <v>495.54</v>
      </c>
      <c r="J86" s="4">
        <f>LOG(I86/I87)</f>
        <v/>
      </c>
      <c r="K86" s="4" t="n"/>
    </row>
    <row r="87">
      <c r="A87" s="3" t="n">
        <v>46168</v>
      </c>
      <c r="B87" t="n">
        <v>214.86</v>
      </c>
      <c r="C87" s="4">
        <f>LOG(B87/B88)</f>
        <v/>
      </c>
      <c r="D87" s="4" t="n"/>
      <c r="H87" s="3" t="n">
        <v>46168</v>
      </c>
      <c r="I87" t="n">
        <v>503.89</v>
      </c>
      <c r="J87" s="4">
        <f>LOG(I87/I88)</f>
        <v/>
      </c>
      <c r="K87" s="4" t="n"/>
    </row>
    <row r="88">
      <c r="A88" s="3" t="n">
        <v>46164</v>
      </c>
      <c r="B88" t="n">
        <v>215.33</v>
      </c>
      <c r="C88" s="4">
        <f>LOG(B88/B89)</f>
        <v/>
      </c>
      <c r="D88" s="4" t="n"/>
      <c r="H88" s="3" t="n">
        <v>46164</v>
      </c>
      <c r="I88" t="n">
        <v>467.51</v>
      </c>
      <c r="J88" s="4">
        <f>LOG(I88/I89)</f>
        <v/>
      </c>
      <c r="K88" s="4" t="n"/>
    </row>
    <row r="89">
      <c r="A89" s="3" t="n">
        <v>46163</v>
      </c>
      <c r="B89" t="n">
        <v>219.51</v>
      </c>
      <c r="C89" s="4">
        <f>LOG(B89/B90)</f>
        <v/>
      </c>
      <c r="D89" s="4" t="n"/>
      <c r="H89" s="3" t="n">
        <v>46163</v>
      </c>
      <c r="I89" t="n">
        <v>449.59</v>
      </c>
      <c r="J89" s="4">
        <f>LOG(I89/I90)</f>
        <v/>
      </c>
      <c r="K89" s="4" t="n"/>
    </row>
    <row r="90">
      <c r="A90" s="3" t="n">
        <v>46162</v>
      </c>
      <c r="B90" t="n">
        <v>223.47</v>
      </c>
      <c r="C90" s="4">
        <f>LOG(B90/B91)</f>
        <v/>
      </c>
      <c r="D90" s="4" t="n"/>
      <c r="H90" s="3" t="n">
        <v>46162</v>
      </c>
      <c r="I90" t="n">
        <v>447.58</v>
      </c>
      <c r="J90" s="4">
        <f>LOG(I90/I91)</f>
        <v/>
      </c>
      <c r="K90" s="4" t="n"/>
    </row>
    <row r="91">
      <c r="A91" s="3" t="n">
        <v>46161</v>
      </c>
      <c r="B91" t="n">
        <v>220.61</v>
      </c>
      <c r="C91" s="4">
        <f>LOG(B91/B92)</f>
        <v/>
      </c>
      <c r="D91" s="4" t="n"/>
      <c r="H91" s="3" t="n">
        <v>46161</v>
      </c>
      <c r="I91" t="n">
        <v>414.05</v>
      </c>
      <c r="J91" s="4">
        <f>LOG(I91/I92)</f>
        <v/>
      </c>
      <c r="K91" s="4" t="n"/>
    </row>
    <row r="92">
      <c r="A92" s="3" t="n">
        <v>46160</v>
      </c>
      <c r="B92" t="n">
        <v>222.32</v>
      </c>
      <c r="C92" s="4">
        <f>LOG(B92/B93)</f>
        <v/>
      </c>
      <c r="D92" s="4" t="n"/>
      <c r="H92" s="3" t="n">
        <v>46160</v>
      </c>
      <c r="I92" t="n">
        <v>420.99</v>
      </c>
      <c r="J92" s="4">
        <f>LOG(I92/I93)</f>
        <v/>
      </c>
      <c r="K92" s="4" t="n"/>
    </row>
    <row r="93">
      <c r="A93" s="3" t="n">
        <v>46157</v>
      </c>
      <c r="B93" t="n">
        <v>225.32</v>
      </c>
      <c r="C93" s="4">
        <f>LOG(B93/B94)</f>
        <v/>
      </c>
      <c r="D93" s="4" t="n"/>
      <c r="H93" s="3" t="n">
        <v>46157</v>
      </c>
      <c r="I93" t="n">
        <v>424.1</v>
      </c>
      <c r="J93" s="4">
        <f>LOG(I93/I94)</f>
        <v/>
      </c>
      <c r="K93" s="4" t="n"/>
    </row>
    <row r="94">
      <c r="A94" s="3" t="n">
        <v>46156</v>
      </c>
      <c r="B94" t="n">
        <v>235.74</v>
      </c>
      <c r="C94" s="4">
        <f>LOG(B94/B95)</f>
        <v/>
      </c>
      <c r="D94" s="4" t="n"/>
      <c r="H94" s="3" t="n">
        <v>46156</v>
      </c>
      <c r="I94" t="n">
        <v>449.7</v>
      </c>
      <c r="J94" s="4">
        <f>LOG(I94/I95)</f>
        <v/>
      </c>
      <c r="K94" s="4" t="n"/>
    </row>
    <row r="95">
      <c r="A95" s="3" t="n">
        <v>46155</v>
      </c>
      <c r="B95" t="n">
        <v>225.83</v>
      </c>
      <c r="C95" s="4">
        <f>LOG(B95/B96)</f>
        <v/>
      </c>
      <c r="D95" s="4" t="n"/>
      <c r="H95" s="3" t="n">
        <v>46155</v>
      </c>
      <c r="I95" t="n">
        <v>445.5</v>
      </c>
      <c r="J95" s="4">
        <f>LOG(I95/I96)</f>
        <v/>
      </c>
      <c r="K95" s="4" t="n"/>
    </row>
    <row r="96">
      <c r="A96" s="3" t="n">
        <v>46154</v>
      </c>
      <c r="B96" t="n">
        <v>220.78</v>
      </c>
      <c r="C96" s="4">
        <f>LOG(B96/B97)</f>
        <v/>
      </c>
      <c r="D96" s="4" t="n"/>
      <c r="H96" s="3" t="n">
        <v>46154</v>
      </c>
      <c r="I96" t="n">
        <v>448.29</v>
      </c>
      <c r="J96" s="4">
        <f>LOG(I96/I97)</f>
        <v/>
      </c>
      <c r="K96" s="4" t="n"/>
    </row>
    <row r="97">
      <c r="A97" s="3" t="n">
        <v>46153</v>
      </c>
      <c r="B97" t="n">
        <v>219.44</v>
      </c>
      <c r="C97" s="4">
        <f>LOG(B97/B98)</f>
        <v/>
      </c>
      <c r="D97" s="4" t="n"/>
      <c r="H97" s="3" t="n">
        <v>46153</v>
      </c>
      <c r="I97" t="n">
        <v>458.79</v>
      </c>
      <c r="J97" s="4">
        <f>LOG(I97/I98)</f>
        <v/>
      </c>
      <c r="K97" s="4" t="n"/>
    </row>
    <row r="98">
      <c r="A98" s="3" t="n">
        <v>46150</v>
      </c>
      <c r="B98" t="n">
        <v>215.2</v>
      </c>
      <c r="C98" s="4">
        <f>LOG(B98/B99)</f>
        <v/>
      </c>
      <c r="D98" s="4" t="n"/>
      <c r="H98" s="3" t="n">
        <v>46150</v>
      </c>
      <c r="I98" t="n">
        <v>455.19</v>
      </c>
      <c r="J98" s="4">
        <f>LOG(I98/I99)</f>
        <v/>
      </c>
      <c r="K98" s="4" t="n"/>
    </row>
    <row r="99">
      <c r="A99" s="3" t="n">
        <v>46149</v>
      </c>
      <c r="B99" t="n">
        <v>211.5</v>
      </c>
      <c r="C99" s="4">
        <f>LOG(B99/B100)</f>
        <v/>
      </c>
      <c r="D99" s="4" t="n"/>
      <c r="H99" s="3" t="n">
        <v>46149</v>
      </c>
      <c r="I99" t="n">
        <v>408.46</v>
      </c>
      <c r="J99" s="4">
        <f>LOG(I99/I100)</f>
        <v/>
      </c>
      <c r="K99" s="4" t="n"/>
    </row>
    <row r="100">
      <c r="A100" s="3" t="n">
        <v>46148</v>
      </c>
      <c r="B100" t="n">
        <v>207.83</v>
      </c>
      <c r="C100" s="4">
        <f>LOG(B100/B101)</f>
        <v/>
      </c>
      <c r="D100" s="4" t="n"/>
      <c r="H100" s="3" t="n">
        <v>46148</v>
      </c>
      <c r="I100" t="n">
        <v>421.39</v>
      </c>
      <c r="J100" s="4">
        <f>LOG(I100/I101)</f>
        <v/>
      </c>
      <c r="K100" s="4" t="n"/>
    </row>
    <row r="101">
      <c r="A101" s="3" t="n">
        <v>46147</v>
      </c>
      <c r="B101" t="n">
        <v>196.5</v>
      </c>
      <c r="C101" s="4">
        <f>LOG(B101/B102)</f>
        <v/>
      </c>
      <c r="D101" s="4" t="n"/>
      <c r="H101" s="3" t="n">
        <v>46147</v>
      </c>
      <c r="I101" t="n">
        <v>355.26</v>
      </c>
      <c r="J101" s="4">
        <f>LOG(I101/I102)</f>
        <v/>
      </c>
      <c r="K101" s="4" t="n"/>
    </row>
    <row r="102">
      <c r="A102" s="3" t="n">
        <v>46146</v>
      </c>
      <c r="B102" t="n">
        <v>198.48</v>
      </c>
      <c r="C102" s="4">
        <f>LOG(B102/B103)</f>
        <v/>
      </c>
      <c r="D102" s="4" t="n"/>
      <c r="H102" s="3" t="n">
        <v>46146</v>
      </c>
      <c r="I102" t="n">
        <v>341.54</v>
      </c>
      <c r="J102" s="4">
        <f>LOG(I102/I103)</f>
        <v/>
      </c>
      <c r="K102" s="4" t="n"/>
    </row>
    <row r="103">
      <c r="A103" s="3" t="n">
        <v>46143</v>
      </c>
      <c r="B103" t="n">
        <v>198.45</v>
      </c>
      <c r="C103" s="4">
        <f>LOG(B103/B104)</f>
        <v/>
      </c>
      <c r="D103" s="4" t="n"/>
      <c r="H103" s="3" t="n">
        <v>46143</v>
      </c>
      <c r="I103" t="n">
        <v>360.54</v>
      </c>
      <c r="J103" s="4">
        <f>LOG(I103/I104)</f>
        <v/>
      </c>
      <c r="K103" s="4" t="n"/>
    </row>
    <row r="104">
      <c r="A104" s="3" t="n">
        <v>46142</v>
      </c>
      <c r="B104" t="n">
        <v>199.57</v>
      </c>
      <c r="C104" s="4">
        <f>LOG(B104/B105)</f>
        <v/>
      </c>
      <c r="D104" s="4" t="n"/>
      <c r="H104" s="3" t="n">
        <v>46142</v>
      </c>
      <c r="I104" t="n">
        <v>354.49</v>
      </c>
      <c r="J104" s="4">
        <f>LOG(I104/I105)</f>
        <v/>
      </c>
      <c r="K104" s="4" t="n"/>
    </row>
    <row r="105">
      <c r="A105" s="3" t="n">
        <v>46141</v>
      </c>
      <c r="B105" t="n">
        <v>209.25</v>
      </c>
      <c r="C105" s="4">
        <f>LOG(B105/B106)</f>
        <v/>
      </c>
      <c r="D105" s="4" t="n"/>
      <c r="H105" s="3" t="n">
        <v>46141</v>
      </c>
      <c r="I105" t="n">
        <v>337.11</v>
      </c>
      <c r="J105" s="4">
        <f>LOG(I105/I106)</f>
        <v/>
      </c>
      <c r="K105" s="4" t="n"/>
    </row>
    <row r="106">
      <c r="A106" s="3" t="n">
        <v>46140</v>
      </c>
      <c r="B106" t="n">
        <v>213.17</v>
      </c>
      <c r="C106" s="4">
        <f>LOG(B106/B107)</f>
        <v/>
      </c>
      <c r="D106" s="4" t="n"/>
      <c r="H106" s="3" t="n">
        <v>46140</v>
      </c>
      <c r="I106" t="n">
        <v>323.21</v>
      </c>
      <c r="J106" s="4">
        <f>LOG(I106/I107)</f>
        <v/>
      </c>
      <c r="K106" s="4" t="n"/>
    </row>
    <row r="107">
      <c r="A107" s="3" t="n">
        <v>46139</v>
      </c>
      <c r="B107" t="n">
        <v>216.61</v>
      </c>
      <c r="C107" s="4">
        <f>LOG(B107/B108)</f>
        <v/>
      </c>
      <c r="D107" s="4" t="n"/>
      <c r="H107" s="3" t="n">
        <v>46139</v>
      </c>
      <c r="I107" t="n">
        <v>334.63</v>
      </c>
      <c r="J107" s="4">
        <f>LOG(I107/I108)</f>
        <v/>
      </c>
      <c r="K107" s="4" t="n"/>
    </row>
    <row r="108">
      <c r="A108" s="3" t="n">
        <v>46136</v>
      </c>
      <c r="B108" t="n">
        <v>208.27</v>
      </c>
      <c r="C108" s="4">
        <f>LOG(B108/B109)</f>
        <v/>
      </c>
      <c r="D108" s="4" t="n"/>
      <c r="H108" s="3" t="n">
        <v>46136</v>
      </c>
      <c r="I108" t="n">
        <v>347.81</v>
      </c>
      <c r="J108" s="4">
        <f>LOG(I108/I109)</f>
        <v/>
      </c>
      <c r="K108" s="4" t="n"/>
    </row>
    <row r="109">
      <c r="A109" s="3" t="n">
        <v>46135</v>
      </c>
      <c r="B109" t="n">
        <v>199.64</v>
      </c>
      <c r="C109" s="4">
        <f>LOG(B109/B110)</f>
        <v/>
      </c>
      <c r="D109" s="4" t="n"/>
      <c r="H109" s="3" t="n">
        <v>46135</v>
      </c>
      <c r="I109" t="n">
        <v>305.33</v>
      </c>
      <c r="J109" s="4">
        <f>LOG(I109/I110)</f>
        <v/>
      </c>
      <c r="K109" s="4" t="n"/>
    </row>
    <row r="110">
      <c r="A110" s="3" t="n">
        <v>46134</v>
      </c>
      <c r="B110" t="n">
        <v>202.5</v>
      </c>
      <c r="C110" s="4">
        <f>LOG(B110/B111)</f>
        <v/>
      </c>
      <c r="D110" s="4" t="n"/>
      <c r="H110" s="3" t="n">
        <v>46134</v>
      </c>
      <c r="I110" t="n">
        <v>303.46</v>
      </c>
      <c r="J110" s="4">
        <f>LOG(I110/I111)</f>
        <v/>
      </c>
      <c r="K110" s="4" t="n"/>
    </row>
    <row r="111">
      <c r="A111" s="3" t="n">
        <v>46133</v>
      </c>
      <c r="B111" t="n">
        <v>199.88</v>
      </c>
      <c r="C111" s="4">
        <f>LOG(B111/B112)</f>
        <v/>
      </c>
      <c r="D111" s="4" t="n"/>
      <c r="H111" s="3" t="n">
        <v>46133</v>
      </c>
      <c r="I111" t="n">
        <v>284.49</v>
      </c>
      <c r="J111" s="4">
        <f>LOG(I111/I112)</f>
        <v/>
      </c>
      <c r="K111" s="4" t="n"/>
    </row>
    <row r="112">
      <c r="A112" s="3" t="n">
        <v>46132</v>
      </c>
      <c r="B112" t="n">
        <v>202.06</v>
      </c>
      <c r="C112" s="4">
        <f>LOG(B112/B113)</f>
        <v/>
      </c>
      <c r="D112" s="4" t="n"/>
      <c r="H112" s="3" t="n">
        <v>46132</v>
      </c>
      <c r="I112" t="n">
        <v>274.95</v>
      </c>
      <c r="J112" s="4">
        <f>LOG(I112/I113)</f>
        <v/>
      </c>
      <c r="K112" s="4" t="n"/>
    </row>
    <row r="113">
      <c r="A113" s="3" t="n">
        <v>46129</v>
      </c>
      <c r="B113" t="n">
        <v>201.68</v>
      </c>
      <c r="C113" s="4">
        <f>LOG(B113/B114)</f>
        <v/>
      </c>
      <c r="D113" s="4" t="n"/>
      <c r="H113" s="3" t="n">
        <v>46129</v>
      </c>
      <c r="I113" t="n">
        <v>278.39</v>
      </c>
      <c r="J113" s="4">
        <f>LOG(I113/I114)</f>
        <v/>
      </c>
      <c r="K113" s="4" t="n"/>
    </row>
    <row r="114">
      <c r="A114" s="3" t="n">
        <v>46128</v>
      </c>
      <c r="B114" t="n">
        <v>198.35</v>
      </c>
      <c r="C114" s="4">
        <f>LOG(B114/B115)</f>
        <v/>
      </c>
      <c r="D114" s="4" t="n"/>
      <c r="H114" s="3" t="n">
        <v>46128</v>
      </c>
      <c r="I114" t="n">
        <v>278.26</v>
      </c>
      <c r="J114" s="4">
        <f>LOG(I114/I115)</f>
        <v/>
      </c>
      <c r="K114" s="4" t="n"/>
    </row>
    <row r="115">
      <c r="A115" s="3" t="n">
        <v>46127</v>
      </c>
      <c r="B115" t="n">
        <v>198.87</v>
      </c>
      <c r="C115" s="4">
        <f>LOG(B115/B116)</f>
        <v/>
      </c>
      <c r="D115" s="4" t="n"/>
      <c r="H115" s="3" t="n">
        <v>46127</v>
      </c>
      <c r="I115" t="n">
        <v>258.12</v>
      </c>
      <c r="J115" s="4">
        <f>LOG(I115/I116)</f>
        <v/>
      </c>
      <c r="K115" s="4" t="n"/>
    </row>
    <row r="116">
      <c r="A116" s="3" t="n">
        <v>46126</v>
      </c>
      <c r="B116" t="n">
        <v>196.51</v>
      </c>
      <c r="C116" s="4">
        <f>LOG(B116/B117)</f>
        <v/>
      </c>
      <c r="D116" s="4" t="n"/>
      <c r="H116" s="3" t="n">
        <v>46126</v>
      </c>
      <c r="I116" t="n">
        <v>255.07</v>
      </c>
      <c r="J116" s="4">
        <f>LOG(I116/I117)</f>
        <v/>
      </c>
      <c r="K116" s="4" t="n"/>
    </row>
    <row r="117">
      <c r="A117" s="3" t="n">
        <v>46125</v>
      </c>
      <c r="B117" t="n">
        <v>189.31</v>
      </c>
      <c r="C117" s="4">
        <f>LOG(B117/B118)</f>
        <v/>
      </c>
      <c r="D117" s="4" t="n"/>
      <c r="H117" s="3" t="n">
        <v>46125</v>
      </c>
      <c r="I117" t="n">
        <v>246.83</v>
      </c>
      <c r="J117" s="4">
        <f>LOG(I117/I118)</f>
        <v/>
      </c>
      <c r="K117" s="4" t="n"/>
    </row>
    <row r="118">
      <c r="A118" s="3" t="n">
        <v>46122</v>
      </c>
      <c r="B118" t="n">
        <v>188.63</v>
      </c>
      <c r="C118" s="4">
        <f>LOG(B118/B119)</f>
        <v/>
      </c>
      <c r="D118" s="4" t="n"/>
      <c r="H118" s="3" t="n">
        <v>46122</v>
      </c>
      <c r="I118" t="n">
        <v>245.04</v>
      </c>
      <c r="J118" s="4">
        <f>LOG(I118/I119)</f>
        <v/>
      </c>
      <c r="K118" s="4" t="n"/>
    </row>
    <row r="119">
      <c r="A119" s="3" t="n">
        <v>46121</v>
      </c>
      <c r="B119" t="n">
        <v>183.91</v>
      </c>
      <c r="C119" s="4">
        <f>LOG(B119/B120)</f>
        <v/>
      </c>
      <c r="D119" s="4" t="n"/>
      <c r="H119" s="3" t="n">
        <v>46121</v>
      </c>
      <c r="I119" t="n">
        <v>236.64</v>
      </c>
      <c r="J119" s="4">
        <f>LOG(I119/I120)</f>
        <v/>
      </c>
      <c r="K119" s="4" t="n"/>
    </row>
    <row r="120">
      <c r="A120" s="3" t="n">
        <v>46120</v>
      </c>
      <c r="B120" t="n">
        <v>182.08</v>
      </c>
      <c r="C120" s="4">
        <f>LOG(B120/B121)</f>
        <v/>
      </c>
      <c r="D120" s="4" t="n"/>
      <c r="H120" s="3" t="n">
        <v>46120</v>
      </c>
      <c r="I120" t="n">
        <v>231.82</v>
      </c>
      <c r="J120" s="4">
        <f>LOG(I120/I121)</f>
        <v/>
      </c>
      <c r="K120" s="4" t="n"/>
    </row>
    <row r="121">
      <c r="A121" s="3" t="n">
        <v>46119</v>
      </c>
      <c r="B121" t="n">
        <v>178.1</v>
      </c>
      <c r="C121" s="4">
        <f>LOG(B121/B122)</f>
        <v/>
      </c>
      <c r="D121" s="4" t="n"/>
      <c r="H121" s="3" t="n">
        <v>46119</v>
      </c>
      <c r="I121" t="n">
        <v>221.53</v>
      </c>
      <c r="J121" s="4">
        <f>LOG(I121/I122)</f>
        <v/>
      </c>
      <c r="K121" s="4" t="n"/>
    </row>
    <row r="122">
      <c r="A122" s="3" t="n">
        <v>46118</v>
      </c>
      <c r="B122" t="n">
        <v>177.64</v>
      </c>
      <c r="C122" s="4">
        <f>LOG(B122/B123)</f>
        <v/>
      </c>
      <c r="D122" s="4" t="n"/>
      <c r="H122" s="3" t="n">
        <v>46118</v>
      </c>
      <c r="I122" t="n">
        <v>220.18</v>
      </c>
      <c r="J122" s="4">
        <f>LOG(I122/I123)</f>
        <v/>
      </c>
      <c r="K122" s="4" t="n"/>
    </row>
    <row r="123">
      <c r="A123" s="3" t="n">
        <v>46114</v>
      </c>
      <c r="B123" t="n">
        <v>177.39</v>
      </c>
      <c r="C123" s="4">
        <f>LOG(B123/B124)</f>
        <v/>
      </c>
      <c r="D123" s="4" t="n"/>
      <c r="H123" s="3" t="n">
        <v>46114</v>
      </c>
      <c r="I123" t="n">
        <v>217.5</v>
      </c>
      <c r="J123" s="4">
        <f>LOG(I123/I124)</f>
        <v/>
      </c>
      <c r="K123" s="4" t="n"/>
    </row>
    <row r="124">
      <c r="A124" s="3" t="n">
        <v>46113</v>
      </c>
      <c r="B124" t="n">
        <v>175.75</v>
      </c>
      <c r="C124" s="4" t="n"/>
      <c r="D124" s="4" t="n"/>
      <c r="H124" s="3" t="n">
        <v>46113</v>
      </c>
      <c r="I124" t="n">
        <v>210.21</v>
      </c>
      <c r="J124" s="4" t="n"/>
      <c r="K124" s="4" t="n"/>
    </row>
    <row r="125">
      <c r="A125" s="3" t="n"/>
      <c r="C125" s="4" t="n"/>
      <c r="D125" s="4" t="n"/>
      <c r="H125" s="3" t="n"/>
      <c r="J125" s="4" t="n"/>
      <c r="K125" s="4" t="n"/>
    </row>
    <row r="126">
      <c r="A126" s="3" t="n"/>
      <c r="C126" s="4" t="n"/>
      <c r="D126" s="4" t="n"/>
      <c r="H126" s="3" t="n"/>
      <c r="J126" s="4" t="n"/>
      <c r="K126" s="4" t="n"/>
    </row>
    <row r="127">
      <c r="A127" s="3" t="n"/>
      <c r="C127" s="4" t="n"/>
      <c r="D127" s="4" t="n"/>
      <c r="H127" s="3" t="n"/>
      <c r="J127" s="4" t="n"/>
      <c r="K127" s="4" t="n"/>
    </row>
    <row r="128">
      <c r="A128" s="3" t="n"/>
      <c r="C128" s="4" t="n"/>
      <c r="D128" s="4" t="n"/>
      <c r="H128" s="3" t="n"/>
      <c r="J128" s="4" t="n"/>
      <c r="K128" s="4" t="n"/>
    </row>
    <row r="129">
      <c r="A129" s="3" t="n"/>
      <c r="C129" s="4" t="n"/>
      <c r="D129" s="4" t="n"/>
      <c r="H129" s="3" t="n"/>
      <c r="J129" s="4" t="n"/>
      <c r="K129" s="4" t="n"/>
    </row>
    <row r="130">
      <c r="A130" s="3" t="n"/>
      <c r="C130" s="4" t="n"/>
      <c r="D130" s="4" t="n"/>
      <c r="H130" s="3" t="n"/>
      <c r="J130" s="4" t="n"/>
      <c r="K130" s="4" t="n"/>
    </row>
    <row r="131">
      <c r="A131" s="3" t="n"/>
      <c r="C131" s="4" t="n"/>
      <c r="D131" s="4" t="n"/>
      <c r="H131" s="3" t="n"/>
      <c r="J131" s="4" t="n"/>
      <c r="K131" s="4" t="n"/>
    </row>
    <row r="132">
      <c r="A132" s="3" t="n"/>
      <c r="C132" s="4" t="n"/>
      <c r="D132" s="4" t="n"/>
      <c r="H132" s="3" t="n"/>
      <c r="J132" s="4" t="n"/>
      <c r="K132" s="4" t="n"/>
    </row>
    <row r="133">
      <c r="A133" s="3" t="n"/>
      <c r="C133" s="4" t="n"/>
      <c r="D133" s="4" t="n"/>
      <c r="H133" s="3" t="n"/>
      <c r="J133" s="4" t="n"/>
      <c r="K133" s="4" t="n"/>
    </row>
    <row r="134">
      <c r="A134" s="3" t="n"/>
      <c r="C134" s="4" t="n"/>
      <c r="D134" s="4" t="n"/>
      <c r="H134" s="3" t="n"/>
      <c r="J134" s="4" t="n"/>
      <c r="K134" s="4" t="n"/>
    </row>
    <row r="135">
      <c r="A135" s="3" t="n"/>
      <c r="C135" s="4" t="n"/>
      <c r="D135" s="4" t="n"/>
      <c r="H135" s="3" t="n"/>
      <c r="J135" s="4" t="n"/>
      <c r="K135" s="4" t="n"/>
    </row>
    <row r="136">
      <c r="A136" s="3" t="n"/>
      <c r="C136" s="4" t="n"/>
      <c r="D136" s="4" t="n"/>
      <c r="H136" s="3" t="n"/>
      <c r="J136" s="4" t="n"/>
      <c r="K136" s="4" t="n"/>
    </row>
    <row r="137">
      <c r="A137" s="3" t="n"/>
      <c r="C137" s="4" t="n"/>
      <c r="D137" s="4" t="n"/>
      <c r="H137" s="3" t="n"/>
      <c r="J137" s="4" t="n"/>
      <c r="K137" s="4" t="n"/>
    </row>
    <row r="138">
      <c r="A138" s="3" t="n"/>
      <c r="C138" s="4" t="n"/>
      <c r="D138" s="4" t="n"/>
      <c r="H138" s="3" t="n"/>
      <c r="J138" s="4" t="n"/>
      <c r="K138" s="4" t="n"/>
    </row>
    <row r="139">
      <c r="A139" s="3" t="n"/>
      <c r="C139" s="4" t="n"/>
      <c r="D139" s="4" t="n"/>
      <c r="H139" s="3" t="n"/>
      <c r="J139" s="4" t="n"/>
      <c r="K139" s="4" t="n"/>
    </row>
    <row r="140">
      <c r="A140" s="3" t="n"/>
      <c r="C140" s="4" t="n"/>
      <c r="D140" s="4" t="n"/>
      <c r="H140" s="3" t="n"/>
      <c r="J140" s="4" t="n"/>
      <c r="K140" s="4" t="n"/>
    </row>
    <row r="141">
      <c r="A141" s="3" t="n"/>
      <c r="C141" s="4" t="n"/>
      <c r="D141" s="4" t="n"/>
      <c r="H141" s="3" t="n"/>
      <c r="J141" s="4" t="n"/>
      <c r="K141" s="4" t="n"/>
    </row>
    <row r="142">
      <c r="A142" s="3" t="n"/>
      <c r="C142" s="4" t="n"/>
      <c r="D142" s="4" t="n"/>
      <c r="H142" s="3" t="n"/>
      <c r="J142" s="4" t="n"/>
      <c r="K142" s="4" t="n"/>
    </row>
    <row r="143">
      <c r="A143" s="3" t="n"/>
      <c r="C143" s="4" t="n"/>
      <c r="D143" s="4" t="n"/>
      <c r="H143" s="3" t="n"/>
      <c r="J143" s="4" t="n"/>
      <c r="K143" s="4" t="n"/>
    </row>
    <row r="144">
      <c r="A144" s="3" t="n"/>
      <c r="C144" s="4" t="n"/>
      <c r="D144" s="4" t="n"/>
      <c r="H144" s="3" t="n"/>
      <c r="J144" s="4" t="n"/>
      <c r="K144" s="4" t="n"/>
    </row>
    <row r="145">
      <c r="A145" s="3" t="n"/>
      <c r="C145" s="4" t="n"/>
      <c r="D145" s="4" t="n"/>
      <c r="H145" s="3" t="n"/>
      <c r="J145" s="4" t="n"/>
      <c r="K145" s="4" t="n"/>
    </row>
    <row r="146">
      <c r="A146" s="3" t="n"/>
      <c r="C146" s="4" t="n"/>
      <c r="D146" s="4" t="n"/>
      <c r="H146" s="3" t="n"/>
      <c r="J146" s="4" t="n"/>
      <c r="K146" s="4" t="n"/>
    </row>
    <row r="147">
      <c r="A147" s="3" t="n"/>
      <c r="C147" s="4" t="n"/>
      <c r="D147" s="4" t="n"/>
      <c r="H147" s="3" t="n"/>
      <c r="J147" s="4" t="n"/>
      <c r="K147" s="4" t="n"/>
    </row>
    <row r="148">
      <c r="A148" s="3" t="n"/>
      <c r="C148" s="4" t="n"/>
      <c r="D148" s="4" t="n"/>
      <c r="H148" s="3" t="n"/>
      <c r="J148" s="4" t="n"/>
      <c r="K148" s="4" t="n"/>
    </row>
    <row r="149">
      <c r="A149" s="3" t="n"/>
      <c r="C149" s="4" t="n"/>
      <c r="D149" s="4" t="n"/>
      <c r="H149" s="3" t="n"/>
      <c r="J149" s="4" t="n"/>
      <c r="K149" s="4" t="n"/>
    </row>
    <row r="150">
      <c r="A150" s="3" t="n"/>
      <c r="C150" s="4" t="n"/>
      <c r="D150" s="4" t="n"/>
      <c r="H150" s="3" t="n"/>
      <c r="J150" s="4" t="n"/>
      <c r="K150" s="4" t="n"/>
    </row>
    <row r="151">
      <c r="A151" s="3" t="n"/>
      <c r="C151" s="4" t="n"/>
      <c r="D151" s="4" t="n"/>
      <c r="H151" s="3" t="n"/>
      <c r="J151" s="4" t="n"/>
      <c r="K151" s="4" t="n"/>
    </row>
    <row r="152">
      <c r="A152" s="3" t="n"/>
      <c r="C152" s="4" t="n"/>
      <c r="D152" s="4" t="n"/>
      <c r="H152" s="3" t="n"/>
      <c r="J152" s="4" t="n"/>
      <c r="K152" s="4" t="n"/>
    </row>
    <row r="153">
      <c r="A153" s="3" t="n"/>
      <c r="C153" s="4" t="n"/>
      <c r="D153" s="4" t="n"/>
      <c r="H153" s="3" t="n"/>
      <c r="J153" s="4" t="n"/>
      <c r="K153" s="4" t="n"/>
    </row>
    <row r="154">
      <c r="A154" s="3" t="n"/>
      <c r="C154" s="4" t="n"/>
      <c r="D154" s="4" t="n"/>
      <c r="H154" s="3" t="n"/>
      <c r="J154" s="4" t="n"/>
      <c r="K154" s="4" t="n"/>
    </row>
    <row r="155">
      <c r="A155" s="3" t="n"/>
      <c r="C155" s="4" t="n"/>
      <c r="D155" s="4" t="n"/>
      <c r="H155" s="3" t="n"/>
      <c r="J155" s="4" t="n"/>
      <c r="K155" s="4" t="n"/>
    </row>
    <row r="156">
      <c r="A156" s="3" t="n"/>
      <c r="C156" s="4" t="n"/>
      <c r="D156" s="4" t="n"/>
      <c r="H156" s="3" t="n"/>
      <c r="J156" s="4" t="n"/>
      <c r="K156" s="4" t="n"/>
    </row>
    <row r="157">
      <c r="A157" s="3" t="n"/>
      <c r="C157" s="4" t="n"/>
      <c r="D157" s="4" t="n"/>
      <c r="H157" s="3" t="n"/>
      <c r="J157" s="4" t="n"/>
      <c r="K157" s="4" t="n"/>
    </row>
    <row r="158">
      <c r="A158" s="3" t="n"/>
      <c r="C158" s="4" t="n"/>
      <c r="D158" s="4" t="n"/>
      <c r="H158" s="3" t="n"/>
      <c r="J158" s="4" t="n"/>
      <c r="K158" s="4" t="n"/>
    </row>
    <row r="159">
      <c r="A159" s="3" t="n"/>
      <c r="C159" s="4" t="n"/>
      <c r="D159" s="4" t="n"/>
      <c r="H159" s="3" t="n"/>
      <c r="J159" s="4" t="n"/>
      <c r="K159" s="4" t="n"/>
    </row>
    <row r="160">
      <c r="A160" s="3" t="n"/>
      <c r="C160" s="4" t="n"/>
      <c r="D160" s="4" t="n"/>
      <c r="H160" s="3" t="n"/>
      <c r="J160" s="4" t="n"/>
      <c r="K160" s="4" t="n"/>
    </row>
    <row r="161">
      <c r="A161" s="3" t="n"/>
      <c r="C161" s="4" t="n"/>
      <c r="D161" s="4" t="n"/>
      <c r="H161" s="3" t="n"/>
      <c r="J161" s="4" t="n"/>
      <c r="K161" s="4" t="n"/>
    </row>
    <row r="162">
      <c r="A162" s="3" t="n"/>
      <c r="C162" s="4" t="n"/>
      <c r="D162" s="4" t="n"/>
      <c r="H162" s="3" t="n"/>
      <c r="J162" s="4" t="n"/>
      <c r="K162" s="4" t="n"/>
    </row>
    <row r="163">
      <c r="A163" s="3" t="n"/>
      <c r="C163" s="4" t="n"/>
      <c r="D163" s="4" t="n"/>
      <c r="H163" s="3" t="n"/>
      <c r="J163" s="4" t="n"/>
      <c r="K163" s="4" t="n"/>
    </row>
    <row r="164">
      <c r="A164" s="3" t="n"/>
      <c r="C164" s="4" t="n"/>
      <c r="D164" s="4" t="n"/>
      <c r="H164" s="3" t="n"/>
      <c r="J164" s="4" t="n"/>
      <c r="K164" s="4" t="n"/>
    </row>
    <row r="165">
      <c r="A165" s="3" t="n"/>
      <c r="C165" s="4" t="n"/>
      <c r="D165" s="4" t="n"/>
      <c r="H165" s="3" t="n"/>
      <c r="J165" s="4" t="n"/>
      <c r="K165" s="4" t="n"/>
    </row>
    <row r="166">
      <c r="A166" s="3" t="n"/>
      <c r="C166" s="4" t="n"/>
      <c r="D166" s="4" t="n"/>
      <c r="H166" s="3" t="n"/>
      <c r="J166" s="4" t="n"/>
      <c r="K166" s="4" t="n"/>
    </row>
    <row r="167">
      <c r="A167" s="3" t="n"/>
      <c r="C167" s="4" t="n"/>
      <c r="D167" s="4" t="n"/>
      <c r="H167" s="3" t="n"/>
      <c r="J167" s="4" t="n"/>
      <c r="K167" s="4" t="n"/>
    </row>
    <row r="168">
      <c r="A168" s="3" t="n"/>
      <c r="C168" s="4" t="n"/>
      <c r="D168" s="4" t="n"/>
      <c r="H168" s="3" t="n"/>
      <c r="J168" s="4" t="n"/>
      <c r="K168" s="4" t="n"/>
    </row>
    <row r="169">
      <c r="A169" s="3" t="n"/>
      <c r="C169" s="4" t="n"/>
      <c r="D169" s="4" t="n"/>
      <c r="H169" s="3" t="n"/>
      <c r="J169" s="4" t="n"/>
      <c r="K169" s="4" t="n"/>
    </row>
    <row r="170">
      <c r="A170" s="3" t="n"/>
      <c r="C170" s="4" t="n"/>
      <c r="D170" s="4" t="n"/>
      <c r="H170" s="3" t="n"/>
      <c r="J170" s="4" t="n"/>
      <c r="K170" s="4" t="n"/>
    </row>
    <row r="171">
      <c r="A171" s="3" t="n"/>
      <c r="C171" s="4" t="n"/>
      <c r="D171" s="4" t="n"/>
      <c r="H171" s="3" t="n"/>
      <c r="J171" s="4" t="n"/>
      <c r="K171" s="4" t="n"/>
    </row>
    <row r="172">
      <c r="A172" s="3" t="n"/>
      <c r="C172" s="4" t="n"/>
      <c r="D172" s="4" t="n"/>
      <c r="H172" s="3" t="n"/>
      <c r="J172" s="4" t="n"/>
      <c r="K172" s="4" t="n"/>
    </row>
    <row r="173">
      <c r="A173" s="3" t="n"/>
      <c r="C173" s="4" t="n"/>
      <c r="D173" s="4" t="n"/>
      <c r="H173" s="3" t="n"/>
      <c r="J173" s="4" t="n"/>
      <c r="K173" s="4" t="n"/>
    </row>
    <row r="174">
      <c r="A174" s="3" t="n"/>
      <c r="C174" s="4" t="n"/>
      <c r="D174" s="4" t="n"/>
      <c r="H174" s="3" t="n"/>
      <c r="J174" s="4" t="n"/>
      <c r="K174" s="4" t="n"/>
    </row>
    <row r="175">
      <c r="A175" s="3" t="n"/>
      <c r="C175" s="4" t="n"/>
      <c r="D175" s="4" t="n"/>
      <c r="H175" s="3" t="n"/>
      <c r="J175" s="4" t="n"/>
      <c r="K175" s="4" t="n"/>
    </row>
    <row r="176">
      <c r="A176" s="3" t="n"/>
      <c r="C176" s="4" t="n"/>
      <c r="D176" s="4" t="n"/>
      <c r="H176" s="3" t="n"/>
      <c r="J176" s="4" t="n"/>
      <c r="K176" s="4" t="n"/>
    </row>
    <row r="177">
      <c r="A177" s="3" t="n"/>
      <c r="C177" s="4" t="n"/>
      <c r="D177" s="4" t="n"/>
      <c r="H177" s="3" t="n"/>
      <c r="J177" s="4" t="n"/>
      <c r="K177" s="4" t="n"/>
    </row>
    <row r="178">
      <c r="A178" s="3" t="n"/>
      <c r="C178" s="4" t="n"/>
      <c r="D178" s="4" t="n"/>
      <c r="H178" s="3" t="n"/>
      <c r="J178" s="4" t="n"/>
      <c r="K178" s="4" t="n"/>
    </row>
    <row r="179">
      <c r="A179" s="3" t="n"/>
      <c r="C179" s="4" t="n"/>
      <c r="D179" s="4" t="n"/>
      <c r="H179" s="3" t="n"/>
      <c r="J179" s="4" t="n"/>
      <c r="K179" s="4" t="n"/>
    </row>
    <row r="180">
      <c r="A180" s="3" t="n"/>
      <c r="C180" s="4" t="n"/>
      <c r="D180" s="4" t="n"/>
      <c r="H180" s="3" t="n"/>
      <c r="J180" s="4" t="n"/>
      <c r="K180" s="4" t="n"/>
    </row>
    <row r="181">
      <c r="A181" s="3" t="n"/>
      <c r="C181" s="4" t="n"/>
      <c r="D181" s="4" t="n"/>
      <c r="H181" s="3" t="n"/>
      <c r="J181" s="4" t="n"/>
      <c r="K181" s="4" t="n"/>
    </row>
    <row r="182">
      <c r="A182" s="3" t="n"/>
      <c r="C182" s="4" t="n"/>
      <c r="D182" s="4" t="n"/>
      <c r="H182" s="3" t="n"/>
      <c r="J182" s="4" t="n"/>
      <c r="K182" s="4" t="n"/>
    </row>
    <row r="183">
      <c r="A183" s="3" t="n"/>
      <c r="C183" s="4" t="n"/>
      <c r="D183" s="4" t="n"/>
      <c r="H183" s="3" t="n"/>
      <c r="J183" s="4" t="n"/>
      <c r="K183" s="4" t="n"/>
    </row>
    <row r="184">
      <c r="A184" s="3" t="n"/>
      <c r="C184" s="4" t="n"/>
      <c r="D184" s="4" t="n"/>
      <c r="H184" s="3" t="n"/>
      <c r="J184" s="4" t="n"/>
      <c r="K184" s="4" t="n"/>
    </row>
    <row r="185">
      <c r="A185" s="3" t="n"/>
      <c r="C185" s="4" t="n"/>
      <c r="D185" s="4" t="n"/>
      <c r="H185" s="3" t="n"/>
      <c r="J185" s="4" t="n"/>
      <c r="K185" s="4" t="n"/>
    </row>
    <row r="186">
      <c r="A186" s="3" t="n"/>
      <c r="C186" s="4" t="n"/>
      <c r="D186" s="4" t="n"/>
      <c r="H186" s="3" t="n"/>
      <c r="J186" s="4" t="n"/>
      <c r="K186" s="4" t="n"/>
    </row>
    <row r="187">
      <c r="A187" s="3" t="n"/>
      <c r="C187" s="4" t="n"/>
      <c r="D187" s="4" t="n"/>
      <c r="H187" s="3" t="n"/>
      <c r="J187" s="4" t="n"/>
      <c r="K187" s="4" t="n"/>
    </row>
    <row r="188">
      <c r="A188" s="3" t="n"/>
      <c r="C188" s="4" t="n"/>
      <c r="D188" s="4" t="n"/>
      <c r="H188" s="3" t="n"/>
      <c r="J188" s="4" t="n"/>
      <c r="K188" s="4" t="n"/>
    </row>
    <row r="189">
      <c r="A189" s="3" t="n"/>
      <c r="C189" s="4" t="n"/>
      <c r="D189" s="4" t="n"/>
      <c r="H189" s="3" t="n"/>
      <c r="J189" s="4" t="n"/>
      <c r="K189" s="4" t="n"/>
    </row>
    <row r="190">
      <c r="A190" s="3" t="n"/>
      <c r="C190" s="4" t="n"/>
      <c r="D190" s="4" t="n"/>
      <c r="H190" s="3" t="n"/>
      <c r="J190" s="4" t="n"/>
      <c r="K190" s="4" t="n"/>
    </row>
    <row r="191">
      <c r="A191" s="3" t="n"/>
      <c r="C191" s="4" t="n"/>
      <c r="D191" s="4" t="n"/>
      <c r="H191" s="3" t="n"/>
      <c r="J191" s="4" t="n"/>
      <c r="K191" s="4" t="n"/>
    </row>
    <row r="192">
      <c r="A192" s="3" t="n"/>
      <c r="C192" s="4" t="n"/>
      <c r="D192" s="4" t="n"/>
      <c r="H192" s="3" t="n"/>
      <c r="J192" s="4" t="n"/>
      <c r="K192" s="4" t="n"/>
    </row>
    <row r="193">
      <c r="A193" s="3" t="n"/>
      <c r="C193" s="4" t="n"/>
      <c r="D193" s="4" t="n"/>
      <c r="H193" s="3" t="n"/>
      <c r="J193" s="4" t="n"/>
      <c r="K193" s="4" t="n"/>
    </row>
    <row r="194">
      <c r="A194" s="3" t="n"/>
      <c r="C194" s="4" t="n"/>
      <c r="D194" s="4" t="n"/>
      <c r="H194" s="3" t="n"/>
      <c r="J194" s="4" t="n"/>
      <c r="K194" s="4" t="n"/>
    </row>
    <row r="195">
      <c r="A195" s="3" t="n"/>
      <c r="C195" s="4" t="n"/>
      <c r="D195" s="4" t="n"/>
      <c r="H195" s="3" t="n"/>
      <c r="J195" s="4" t="n"/>
      <c r="K195" s="4" t="n"/>
    </row>
    <row r="196">
      <c r="A196" s="3" t="n"/>
      <c r="C196" s="4" t="n"/>
      <c r="D196" s="4" t="n"/>
      <c r="H196" s="3" t="n"/>
      <c r="J196" s="4" t="n"/>
      <c r="K196" s="4" t="n"/>
    </row>
    <row r="197">
      <c r="A197" s="3" t="n"/>
      <c r="C197" s="4" t="n"/>
      <c r="D197" s="4" t="n"/>
      <c r="H197" s="3" t="n"/>
      <c r="J197" s="4" t="n"/>
      <c r="K197" s="4" t="n"/>
    </row>
    <row r="198">
      <c r="A198" s="3" t="n"/>
      <c r="C198" s="4" t="n"/>
      <c r="D198" s="4" t="n"/>
      <c r="H198" s="3" t="n"/>
      <c r="J198" s="4" t="n"/>
      <c r="K198" s="4" t="n"/>
    </row>
    <row r="199">
      <c r="A199" s="3" t="n"/>
      <c r="C199" s="4" t="n"/>
      <c r="D199" s="4" t="n"/>
      <c r="H199" s="3" t="n"/>
      <c r="J199" s="4" t="n"/>
      <c r="K199" s="4" t="n"/>
    </row>
    <row r="200">
      <c r="A200" s="3" t="n"/>
      <c r="C200" s="4" t="n"/>
      <c r="D200" s="4" t="n"/>
      <c r="H200" s="3" t="n"/>
      <c r="J200" s="4" t="n"/>
      <c r="K200" s="4" t="n"/>
    </row>
    <row r="201">
      <c r="A201" s="3" t="n"/>
      <c r="C201" s="4" t="n"/>
      <c r="D201" s="4" t="n"/>
      <c r="H201" s="3" t="n"/>
      <c r="J201" s="4" t="n"/>
      <c r="K201" s="4" t="n"/>
    </row>
    <row r="202">
      <c r="A202" s="3" t="n"/>
      <c r="C202" s="4" t="n"/>
      <c r="D202" s="4" t="n"/>
      <c r="H202" s="3" t="n"/>
      <c r="J202" s="4" t="n"/>
      <c r="K202" s="4" t="n"/>
    </row>
    <row r="203">
      <c r="A203" s="3" t="n"/>
      <c r="C203" s="4" t="n"/>
      <c r="D203" s="4" t="n"/>
      <c r="H203" s="3" t="n"/>
      <c r="J203" s="4" t="n"/>
      <c r="K203" s="4" t="n"/>
    </row>
    <row r="204">
      <c r="A204" s="3" t="n"/>
      <c r="C204" s="4" t="n"/>
      <c r="D204" s="4" t="n"/>
      <c r="H204" s="3" t="n"/>
      <c r="J204" s="4" t="n"/>
      <c r="K204" s="4" t="n"/>
    </row>
    <row r="205">
      <c r="A205" s="3" t="n"/>
      <c r="C205" s="4" t="n"/>
      <c r="D205" s="4" t="n"/>
      <c r="H205" s="3" t="n"/>
      <c r="J205" s="4" t="n"/>
      <c r="K205" s="4" t="n"/>
    </row>
    <row r="206">
      <c r="A206" s="3" t="n"/>
      <c r="C206" s="4" t="n"/>
      <c r="D206" s="4" t="n"/>
      <c r="H206" s="3" t="n"/>
      <c r="J206" s="4" t="n"/>
      <c r="K206" s="4" t="n"/>
    </row>
    <row r="207">
      <c r="A207" s="3" t="n"/>
      <c r="C207" s="4" t="n"/>
      <c r="D207" s="4" t="n"/>
      <c r="H207" s="3" t="n"/>
      <c r="J207" s="4" t="n"/>
      <c r="K207" s="4" t="n"/>
    </row>
    <row r="208">
      <c r="A208" s="3" t="n"/>
      <c r="C208" s="4" t="n"/>
      <c r="D208" s="4" t="n"/>
      <c r="H208" s="3" t="n"/>
      <c r="J208" s="4" t="n"/>
      <c r="K208" s="4" t="n"/>
    </row>
    <row r="209">
      <c r="A209" s="3" t="n"/>
      <c r="C209" s="4" t="n"/>
      <c r="D209" s="4" t="n"/>
      <c r="H209" s="3" t="n"/>
      <c r="J209" s="4" t="n"/>
      <c r="K209" s="4" t="n"/>
    </row>
    <row r="210">
      <c r="A210" s="3" t="n"/>
      <c r="C210" s="4" t="n"/>
      <c r="D210" s="4" t="n"/>
      <c r="H210" s="3" t="n"/>
      <c r="J210" s="4" t="n"/>
      <c r="K210" s="4" t="n"/>
    </row>
    <row r="211">
      <c r="A211" s="3" t="n"/>
      <c r="C211" s="4" t="n"/>
      <c r="D211" s="4" t="n"/>
      <c r="H211" s="3" t="n"/>
      <c r="J211" s="4" t="n"/>
      <c r="K211" s="4" t="n"/>
    </row>
    <row r="212">
      <c r="A212" s="3" t="n"/>
      <c r="C212" s="4" t="n"/>
      <c r="D212" s="4" t="n"/>
      <c r="H212" s="3" t="n"/>
      <c r="J212" s="4" t="n"/>
      <c r="K212" s="4" t="n"/>
    </row>
    <row r="213">
      <c r="A213" s="3" t="n"/>
      <c r="C213" s="4" t="n"/>
      <c r="D213" s="4" t="n"/>
      <c r="H213" s="3" t="n"/>
      <c r="J213" s="4" t="n"/>
      <c r="K213" s="4" t="n"/>
    </row>
    <row r="214">
      <c r="A214" s="3" t="n"/>
      <c r="C214" s="4" t="n"/>
      <c r="D214" s="4" t="n"/>
      <c r="H214" s="3" t="n"/>
      <c r="J214" s="4" t="n"/>
      <c r="K214" s="4" t="n"/>
    </row>
    <row r="215">
      <c r="A215" s="3" t="n"/>
      <c r="C215" s="4" t="n"/>
      <c r="D215" s="4" t="n"/>
      <c r="H215" s="3" t="n"/>
      <c r="J215" s="4" t="n"/>
      <c r="K215" s="4" t="n"/>
    </row>
    <row r="216">
      <c r="A216" s="3" t="n"/>
      <c r="C216" s="4" t="n"/>
      <c r="D216" s="4" t="n"/>
      <c r="H216" s="3" t="n"/>
      <c r="J216" s="4" t="n"/>
      <c r="K216" s="4" t="n"/>
    </row>
    <row r="217">
      <c r="A217" s="3" t="n"/>
      <c r="C217" s="4" t="n"/>
      <c r="D217" s="4" t="n"/>
      <c r="H217" s="3" t="n"/>
      <c r="J217" s="4" t="n"/>
      <c r="K217" s="4" t="n"/>
    </row>
    <row r="218">
      <c r="A218" s="3" t="n"/>
      <c r="C218" s="4" t="n"/>
      <c r="D218" s="4" t="n"/>
      <c r="H218" s="3" t="n"/>
      <c r="J218" s="4" t="n"/>
      <c r="K218" s="4" t="n"/>
    </row>
    <row r="219">
      <c r="A219" s="3" t="n"/>
      <c r="C219" s="4" t="n"/>
      <c r="D219" s="4" t="n"/>
      <c r="H219" s="3" t="n"/>
      <c r="J219" s="4" t="n"/>
      <c r="K219" s="4" t="n"/>
    </row>
    <row r="220">
      <c r="A220" s="3" t="n"/>
      <c r="C220" s="4" t="n"/>
      <c r="D220" s="4" t="n"/>
      <c r="H220" s="3" t="n"/>
      <c r="J220" s="4" t="n"/>
      <c r="K220" s="4" t="n"/>
    </row>
    <row r="221">
      <c r="A221" s="3" t="n"/>
      <c r="C221" s="4" t="n"/>
      <c r="D221" s="4" t="n"/>
      <c r="H221" s="3" t="n"/>
      <c r="J221" s="4" t="n"/>
      <c r="K221" s="4" t="n"/>
    </row>
    <row r="222">
      <c r="A222" s="3" t="n"/>
      <c r="C222" s="4" t="n"/>
      <c r="D222" s="4" t="n"/>
      <c r="H222" s="3" t="n"/>
      <c r="J222" s="4" t="n"/>
      <c r="K222" s="4" t="n"/>
    </row>
    <row r="223">
      <c r="A223" s="3" t="n"/>
      <c r="C223" s="4" t="n"/>
      <c r="D223" s="4" t="n"/>
      <c r="H223" s="3" t="n"/>
      <c r="J223" s="4" t="n"/>
      <c r="K223" s="4" t="n"/>
    </row>
    <row r="224">
      <c r="A224" s="3" t="n"/>
      <c r="C224" s="4" t="n"/>
      <c r="D224" s="4" t="n"/>
      <c r="H224" s="3" t="n"/>
      <c r="J224" s="4" t="n"/>
      <c r="K224" s="4" t="n"/>
    </row>
    <row r="225">
      <c r="A225" s="3" t="n"/>
      <c r="C225" s="4" t="n"/>
      <c r="D225" s="4" t="n"/>
      <c r="H225" s="3" t="n"/>
      <c r="J225" s="4" t="n"/>
      <c r="K225" s="4" t="n"/>
    </row>
    <row r="226">
      <c r="A226" s="3" t="n"/>
      <c r="C226" s="4" t="n"/>
      <c r="D226" s="4" t="n"/>
      <c r="H226" s="3" t="n"/>
      <c r="J226" s="4" t="n"/>
      <c r="K226" s="4" t="n"/>
    </row>
    <row r="227">
      <c r="A227" s="3" t="n"/>
      <c r="C227" s="4" t="n"/>
      <c r="D227" s="4" t="n"/>
      <c r="H227" s="3" t="n"/>
      <c r="J227" s="4" t="n"/>
      <c r="K227" s="4" t="n"/>
    </row>
    <row r="228">
      <c r="A228" s="3" t="n"/>
      <c r="C228" s="4" t="n"/>
      <c r="D228" s="4" t="n"/>
      <c r="H228" s="3" t="n"/>
      <c r="J228" s="4" t="n"/>
      <c r="K228" s="4" t="n"/>
    </row>
    <row r="229">
      <c r="A229" s="3" t="n"/>
      <c r="C229" s="4" t="n"/>
      <c r="D229" s="4" t="n"/>
      <c r="H229" s="3" t="n"/>
      <c r="J229" s="4" t="n"/>
      <c r="K229" s="4" t="n"/>
    </row>
    <row r="230">
      <c r="A230" s="3" t="n"/>
      <c r="C230" s="4" t="n"/>
      <c r="D230" s="4" t="n"/>
      <c r="H230" s="3" t="n"/>
      <c r="J230" s="4" t="n"/>
      <c r="K230" s="4" t="n"/>
    </row>
    <row r="231">
      <c r="A231" s="3" t="n"/>
      <c r="C231" s="4" t="n"/>
      <c r="D231" s="4" t="n"/>
      <c r="H231" s="3" t="n"/>
      <c r="J231" s="4" t="n"/>
      <c r="K231" s="4" t="n"/>
    </row>
    <row r="232">
      <c r="A232" s="3" t="n"/>
      <c r="C232" s="4" t="n"/>
      <c r="D232" s="4" t="n"/>
      <c r="H232" s="3" t="n"/>
      <c r="J232" s="4" t="n"/>
      <c r="K232" s="4" t="n"/>
    </row>
    <row r="233">
      <c r="A233" s="3" t="n"/>
      <c r="C233" s="4" t="n"/>
      <c r="D233" s="4" t="n"/>
      <c r="H233" s="3" t="n"/>
      <c r="J233" s="4" t="n"/>
      <c r="K233" s="4" t="n"/>
    </row>
    <row r="234">
      <c r="A234" s="3" t="n"/>
      <c r="C234" s="4" t="n"/>
      <c r="D234" s="4" t="n"/>
      <c r="H234" s="3" t="n"/>
      <c r="J234" s="4" t="n"/>
      <c r="K234" s="4" t="n"/>
    </row>
    <row r="235">
      <c r="A235" s="3" t="n"/>
      <c r="C235" s="4" t="n"/>
      <c r="D235" s="4" t="n"/>
      <c r="H235" s="3" t="n"/>
      <c r="J235" s="4" t="n"/>
      <c r="K235" s="4" t="n"/>
    </row>
    <row r="236">
      <c r="A236" s="3" t="n"/>
      <c r="C236" s="4" t="n"/>
      <c r="D236" s="4" t="n"/>
      <c r="H236" s="3" t="n"/>
      <c r="J236" s="4" t="n"/>
      <c r="K236" s="4" t="n"/>
    </row>
    <row r="237">
      <c r="A237" s="3" t="n"/>
      <c r="C237" s="4" t="n"/>
      <c r="D237" s="4" t="n"/>
      <c r="H237" s="3" t="n"/>
      <c r="J237" s="4" t="n"/>
      <c r="K237" s="4" t="n"/>
    </row>
    <row r="238">
      <c r="A238" s="3" t="n"/>
      <c r="C238" s="4" t="n"/>
      <c r="D238" s="4" t="n"/>
      <c r="H238" s="3" t="n"/>
      <c r="J238" s="4" t="n"/>
      <c r="K238" s="4" t="n"/>
    </row>
    <row r="239">
      <c r="A239" s="3" t="n"/>
      <c r="C239" s="4" t="n"/>
      <c r="D239" s="4" t="n"/>
      <c r="H239" s="3" t="n"/>
      <c r="J239" s="4" t="n"/>
      <c r="K239" s="4" t="n"/>
    </row>
    <row r="240">
      <c r="A240" s="3" t="n"/>
      <c r="C240" s="4" t="n"/>
      <c r="D240" s="4" t="n"/>
      <c r="H240" s="3" t="n"/>
      <c r="J240" s="4" t="n"/>
      <c r="K240" s="4" t="n"/>
    </row>
    <row r="241">
      <c r="A241" s="3" t="n"/>
      <c r="C241" s="4" t="n"/>
      <c r="D241" s="4" t="n"/>
      <c r="H241" s="3" t="n"/>
      <c r="J241" s="4" t="n"/>
      <c r="K241" s="4" t="n"/>
    </row>
    <row r="242">
      <c r="A242" s="3" t="n"/>
      <c r="C242" s="4" t="n"/>
      <c r="D242" s="4" t="n"/>
      <c r="H242" s="3" t="n"/>
      <c r="J242" s="4" t="n"/>
      <c r="K242" s="4" t="n"/>
    </row>
    <row r="243">
      <c r="A243" s="3" t="n"/>
      <c r="C243" s="4" t="n"/>
      <c r="D243" s="4" t="n"/>
      <c r="H243" s="3" t="n"/>
      <c r="J243" s="4" t="n"/>
      <c r="K243" s="4" t="n"/>
    </row>
    <row r="244">
      <c r="A244" s="3" t="n"/>
      <c r="C244" s="4" t="n"/>
      <c r="D244" s="4" t="n"/>
      <c r="H244" s="3" t="n"/>
      <c r="J244" s="4" t="n"/>
      <c r="K244" s="4" t="n"/>
    </row>
    <row r="245">
      <c r="A245" s="3" t="n"/>
      <c r="C245" s="4" t="n"/>
      <c r="D245" s="4" t="n"/>
      <c r="H245" s="3" t="n"/>
      <c r="J245" s="4" t="n"/>
      <c r="K245" s="4" t="n"/>
    </row>
    <row r="246">
      <c r="A246" s="3" t="n"/>
      <c r="C246" s="4" t="n"/>
      <c r="D246" s="4" t="n"/>
      <c r="H246" s="3" t="n"/>
      <c r="J246" s="4" t="n"/>
      <c r="K246" s="4" t="n"/>
    </row>
    <row r="247">
      <c r="A247" s="3" t="n"/>
      <c r="C247" s="4" t="n"/>
      <c r="D247" s="4" t="n"/>
      <c r="H247" s="3" t="n"/>
      <c r="J247" s="4" t="n"/>
      <c r="K247" s="4" t="n"/>
    </row>
    <row r="248">
      <c r="A248" s="3" t="n"/>
      <c r="C248" s="4" t="n"/>
      <c r="D248" s="4" t="n"/>
      <c r="H248" s="3" t="n"/>
      <c r="J248" s="4" t="n"/>
      <c r="K248" s="4" t="n"/>
    </row>
    <row r="249">
      <c r="A249" s="3" t="n"/>
      <c r="C249" s="4" t="n"/>
      <c r="D249" s="4" t="n"/>
      <c r="H249" s="3" t="n"/>
      <c r="J249" s="4" t="n"/>
      <c r="K249" s="4" t="n"/>
    </row>
    <row r="250">
      <c r="A250" s="3" t="n"/>
      <c r="C250" s="4" t="n"/>
      <c r="D250" s="4" t="n"/>
      <c r="H250" s="3" t="n"/>
      <c r="J250" s="4" t="n"/>
      <c r="K250" s="4" t="n"/>
    </row>
    <row r="251">
      <c r="A251" s="3" t="n"/>
      <c r="C251" s="4" t="n"/>
      <c r="D251" s="4" t="n"/>
      <c r="H251" s="3" t="n"/>
      <c r="J251" s="4" t="n"/>
      <c r="K251" s="4" t="n"/>
    </row>
    <row r="252">
      <c r="A252" s="3" t="n"/>
      <c r="C252" s="4" t="n"/>
      <c r="D252" s="4" t="n"/>
      <c r="H252" s="3" t="n"/>
      <c r="J252" s="4" t="n"/>
      <c r="K252" s="4" t="n"/>
    </row>
    <row r="253">
      <c r="A253" s="3" t="n"/>
      <c r="C253" s="4" t="n"/>
      <c r="D253" s="4" t="n"/>
      <c r="H253" s="3" t="n"/>
      <c r="J253" s="4" t="n"/>
      <c r="K253" s="4" t="n"/>
    </row>
    <row r="254">
      <c r="A254" s="3" t="n"/>
      <c r="C254" s="4" t="n"/>
      <c r="D254" s="4" t="n"/>
      <c r="H254" s="3" t="n"/>
      <c r="J254" s="4" t="n"/>
      <c r="K254" s="4" t="n"/>
    </row>
    <row r="255">
      <c r="A255" s="3" t="n"/>
      <c r="C255" s="4" t="n"/>
      <c r="D255" s="4" t="n"/>
      <c r="H255" s="3" t="n"/>
      <c r="J255" s="4" t="n"/>
      <c r="K255" s="4" t="n"/>
    </row>
    <row r="256">
      <c r="A256" s="3" t="n"/>
      <c r="C256" s="4" t="n"/>
      <c r="D256" s="4" t="n"/>
      <c r="H256" s="3" t="n"/>
      <c r="J256" s="4" t="n"/>
      <c r="K256" s="4" t="n"/>
    </row>
    <row r="257">
      <c r="A257" s="3" t="n"/>
      <c r="C257" s="4" t="n"/>
      <c r="D257" s="4" t="n"/>
      <c r="H257" s="3" t="n"/>
      <c r="J257" s="4" t="n"/>
      <c r="K257" s="4" t="n"/>
    </row>
    <row r="258">
      <c r="A258" s="3" t="n"/>
      <c r="C258" s="4" t="n"/>
      <c r="D258" s="4" t="n"/>
      <c r="H258" s="3" t="n"/>
      <c r="J258" s="4" t="n"/>
      <c r="K258" s="4" t="n"/>
    </row>
    <row r="259">
      <c r="A259" s="3" t="n"/>
      <c r="C259" s="4" t="n"/>
      <c r="D259" s="4" t="n"/>
      <c r="H259" s="3" t="n"/>
      <c r="J259" s="4" t="n"/>
      <c r="K259" s="4" t="n"/>
    </row>
    <row r="260">
      <c r="A260" s="3" t="n"/>
      <c r="C260" s="4" t="n"/>
      <c r="H260" s="3" t="n"/>
      <c r="J260" s="4" t="n"/>
    </row>
    <row r="261">
      <c r="A261" s="3" t="n"/>
      <c r="C261" s="4" t="n"/>
      <c r="H261" s="3" t="n"/>
      <c r="J261" s="4" t="n"/>
    </row>
  </sheetData>
  <mergeCells count="2">
    <mergeCell ref="A9:C9"/>
    <mergeCell ref="H9:J9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263"/>
  <sheetViews>
    <sheetView tabSelected="1" zoomScale="65" workbookViewId="0">
      <selection activeCell="C16" sqref="C16"/>
    </sheetView>
  </sheetViews>
  <sheetFormatPr baseColWidth="8" defaultRowHeight="15"/>
  <cols>
    <col width="13" customWidth="1" style="32" min="1" max="1"/>
    <col width="11" customWidth="1" style="32" min="2" max="2"/>
    <col width="12" customWidth="1" style="32" min="3" max="3"/>
    <col width="13" customWidth="1" style="32" min="4" max="8"/>
    <col width="4" customWidth="1" style="32" min="9" max="9"/>
    <col width="13" customWidth="1" style="32" min="10" max="10"/>
    <col width="11" customWidth="1" style="32" min="11" max="11"/>
    <col width="12" customWidth="1" style="32" min="12" max="12"/>
    <col width="13" customWidth="1" style="32" min="13" max="17"/>
    <col width="4" customWidth="1" style="32" min="18" max="18"/>
    <col width="50" customWidth="1" style="32" min="19" max="19"/>
  </cols>
  <sheetData>
    <row r="2">
      <c r="A2" s="12" t="inlineStr">
        <is>
          <t>Nilai Investasi (Vo)</t>
        </is>
      </c>
      <c r="C2" s="13" t="n">
        <v>100000</v>
      </c>
      <c r="J2" s="12" t="inlineStr">
        <is>
          <t>Nilai Investasi (Vo)</t>
        </is>
      </c>
      <c r="L2" s="13" t="n">
        <v>100000</v>
      </c>
      <c r="S2" s="11" t="inlineStr">
        <is>
          <t>Kesimpulan:</t>
        </is>
      </c>
    </row>
    <row r="3">
      <c r="A3" s="12" t="inlineStr">
        <is>
          <t>Holding Period (t)</t>
        </is>
      </c>
      <c r="C3" s="12" t="n">
        <v>1</v>
      </c>
      <c r="J3" s="12" t="inlineStr">
        <is>
          <t>Holding Period (t)</t>
        </is>
      </c>
      <c r="L3" s="12" t="n">
        <v>1</v>
      </c>
      <c r="S3" s="11" t="inlineStr">
        <is>
          <t>1. Saham Google:</t>
        </is>
      </c>
    </row>
    <row r="4">
      <c r="A4" s="12" t="inlineStr">
        <is>
          <t>Tingkat Signifikansi (alfa)</t>
        </is>
      </c>
      <c r="C4" s="14" t="n">
        <v>0.05</v>
      </c>
      <c r="J4" s="12" t="inlineStr">
        <is>
          <t>Tingkat Signifikansi (alfa)</t>
        </is>
      </c>
      <c r="L4" s="14" t="n">
        <v>0.05</v>
      </c>
      <c r="S4" s="12" t="inlineStr">
        <is>
          <t>Pada tingkat kepercayaan 95% dan holding period 1 hari dengan modal $100.000, estimasi rata-rata VaR saham Google dari 5 iterasi simulasi berada di kisaran 2,9% - 3,0% (sekitar $2.900 - $3.000). Artinya, ada keyakinan 95% bahwa kerugian harian saham Google tidak akan melampaui batas rata-rata simulasi tersebut.</t>
        </is>
      </c>
    </row>
    <row r="5">
      <c r="A5" s="12" t="inlineStr">
        <is>
          <t>Tingkat Kepercayaan (1-alfa)</t>
        </is>
      </c>
      <c r="C5" s="14">
        <f>1-C4</f>
        <v/>
      </c>
      <c r="J5" s="12" t="inlineStr">
        <is>
          <t>Tingkat Kepercayaan (1-alfa)</t>
        </is>
      </c>
      <c r="L5" s="14">
        <f>1-L4</f>
        <v/>
      </c>
      <c r="S5" s="11" t="inlineStr">
        <is>
          <t>2. Saham Apple:</t>
        </is>
      </c>
    </row>
    <row r="6">
      <c r="A6" s="12" t="inlineStr">
        <is>
          <t>Mean Return (μ)</t>
        </is>
      </c>
      <c r="C6" s="15">
        <f>AVERAGE(C16:C263)</f>
        <v/>
      </c>
      <c r="J6" s="12" t="inlineStr">
        <is>
          <t>Mean Return (μ)</t>
        </is>
      </c>
      <c r="L6" s="15">
        <f>AVERAGE(L16:L263)</f>
        <v/>
      </c>
      <c r="S6" s="12" t="inlineStr">
        <is>
          <t>Pada tingkat kepercayaan 95% dan holding period 1 hari dengan modal $100.000, estimasi rata-rata VaR saham Apple dari 5 iterasi simulasi berada di kisaran 2,5% (sekitar $2.500). Artinya, ada keyakinan 95% bahwa kerugian harian saham Apple tidak akan melampaui batas rata-rata simulasi tersebut.</t>
        </is>
      </c>
    </row>
    <row r="7">
      <c r="A7" s="12" t="inlineStr">
        <is>
          <t>Standar Deviasi (σ)</t>
        </is>
      </c>
      <c r="C7" s="15">
        <f>_xlfn.STDEV.S(C16:C263)</f>
        <v/>
      </c>
      <c r="J7" s="12" t="inlineStr">
        <is>
          <t>Standar Deviasi (σ)</t>
        </is>
      </c>
      <c r="L7" s="15">
        <f>_xlfn.STDEV.S(L16:L263)</f>
        <v/>
      </c>
      <c r="S7" s="11" t="inlineStr">
        <is>
          <t>3. Perbandingan Risiko:</t>
        </is>
      </c>
    </row>
    <row r="8">
      <c r="A8" s="12" t="inlineStr">
        <is>
          <t>Faktor Waktu (√t)</t>
        </is>
      </c>
      <c r="C8" s="12">
        <f>SQRT(C3)</f>
        <v/>
      </c>
      <c r="D8" s="31" t="inlineStr">
        <is>
          <t>Simulasi 1</t>
        </is>
      </c>
      <c r="E8" s="31" t="inlineStr">
        <is>
          <t>Simulasi 2</t>
        </is>
      </c>
      <c r="F8" s="31" t="inlineStr">
        <is>
          <t>Simulasi 3</t>
        </is>
      </c>
      <c r="G8" s="31" t="inlineStr">
        <is>
          <t>Simulasi 4</t>
        </is>
      </c>
      <c r="H8" s="31" t="inlineStr">
        <is>
          <t>Simulasi 5</t>
        </is>
      </c>
      <c r="J8" s="12" t="inlineStr">
        <is>
          <t>Faktor Waktu (√t)</t>
        </is>
      </c>
      <c r="L8" s="12">
        <f>SQRT(L3)</f>
        <v/>
      </c>
      <c r="M8" s="31" t="inlineStr">
        <is>
          <t>Simulasi 1</t>
        </is>
      </c>
      <c r="N8" s="31" t="inlineStr">
        <is>
          <t>Simulasi 2</t>
        </is>
      </c>
      <c r="O8" s="31" t="inlineStr">
        <is>
          <t>Simulasi 3</t>
        </is>
      </c>
      <c r="P8" s="31" t="inlineStr">
        <is>
          <t>Simulasi 4</t>
        </is>
      </c>
      <c r="Q8" s="31" t="inlineStr">
        <is>
          <t>Simulasi 5</t>
        </is>
      </c>
      <c r="S8" s="12" t="inlineStr">
        <is>
          <t>Berdasarkan simulasi Monte Carlo, potensi risiko kerugian saham Google lebih tinggi dibandingkan saham Apple, sejalan dengan tingkat volatilitasnya yang lebih besar (1,96% vs 1,57%). Hasil perbandingan ini konsisten dengan temuan pada metode Historical Simulation di lembar Tugas 1.</t>
        </is>
      </c>
    </row>
    <row r="9">
      <c r="A9" s="12" t="inlineStr">
        <is>
          <t>Nilai Persentil-alfa (Rata-rata)</t>
        </is>
      </c>
      <c r="C9" s="15">
        <f>AVERAGE(D9:H9)</f>
        <v/>
      </c>
      <c r="D9" s="15">
        <f>ABS(PERCENTILE(D16:D263, $C$4))</f>
        <v/>
      </c>
      <c r="E9" s="15">
        <f>ABS(PERCENTILE(E16:E263, $C$4))</f>
        <v/>
      </c>
      <c r="F9" s="15">
        <f>ABS(PERCENTILE(F16:F263, $C$4))</f>
        <v/>
      </c>
      <c r="G9" s="15">
        <f>ABS(PERCENTILE(G16:G263, $C$4))</f>
        <v/>
      </c>
      <c r="H9" s="15">
        <f>ABS(PERCENTILE(H16:H263, $C$4))</f>
        <v/>
      </c>
      <c r="J9" s="12" t="inlineStr">
        <is>
          <t>Nilai Persentil-alfa (Rata-rata)</t>
        </is>
      </c>
      <c r="L9" s="15">
        <f>AVERAGE(M9:Q9)</f>
        <v/>
      </c>
      <c r="M9" s="15">
        <f>ABS(PERCENTILE(M16:M263, $L$4))</f>
        <v/>
      </c>
      <c r="N9" s="15">
        <f>ABS(PERCENTILE(N16:N263, $L$4))</f>
        <v/>
      </c>
      <c r="O9" s="15">
        <f>ABS(PERCENTILE(O16:O263, $L$4))</f>
        <v/>
      </c>
      <c r="P9" s="15">
        <f>ABS(PERCENTILE(P16:P263, $L$4))</f>
        <v/>
      </c>
      <c r="Q9" s="15">
        <f>ABS(PERCENTILE(Q16:Q263, $L$4))</f>
        <v/>
      </c>
    </row>
    <row r="10">
      <c r="A10" s="11" t="inlineStr">
        <is>
          <t>Nilai VaR ($)</t>
        </is>
      </c>
      <c r="C10" s="17">
        <f>$C$2*C9*$C$8</f>
        <v/>
      </c>
      <c r="D10" s="13">
        <f>$C$2*D9*$C$8</f>
        <v/>
      </c>
      <c r="E10" s="13">
        <f>$C$2*E9*$C$8</f>
        <v/>
      </c>
      <c r="F10" s="13">
        <f>$C$2*F9*$C$8</f>
        <v/>
      </c>
      <c r="G10" s="13">
        <f>$C$2*G9*$C$8</f>
        <v/>
      </c>
      <c r="H10" s="13">
        <f>$C$2*H9*$C$8</f>
        <v/>
      </c>
      <c r="J10" s="11" t="inlineStr">
        <is>
          <t>Nilai VaR ($)</t>
        </is>
      </c>
      <c r="L10" s="17">
        <f>$L$2*L9*$L$8</f>
        <v/>
      </c>
      <c r="M10" s="13">
        <f>$L$2*M9*$L$8</f>
        <v/>
      </c>
      <c r="N10" s="13">
        <f>$L$2*N9*$L$8</f>
        <v/>
      </c>
      <c r="O10" s="13">
        <f>$L$2*O9*$L$8</f>
        <v/>
      </c>
      <c r="P10" s="13">
        <f>$L$2*P9*$L$8</f>
        <v/>
      </c>
      <c r="Q10" s="13">
        <f>$L$2*Q9*$L$8</f>
        <v/>
      </c>
    </row>
    <row r="11">
      <c r="A11" s="11" t="inlineStr">
        <is>
          <t>Nilai VaR (%)</t>
        </is>
      </c>
      <c r="C11" s="18">
        <f>$C$8*C9</f>
        <v/>
      </c>
      <c r="D11" s="14">
        <f>$C$8*D9</f>
        <v/>
      </c>
      <c r="E11" s="14">
        <f>$C$8*E9</f>
        <v/>
      </c>
      <c r="F11" s="14">
        <f>$C$8*F9</f>
        <v/>
      </c>
      <c r="G11" s="14">
        <f>$C$8*G9</f>
        <v/>
      </c>
      <c r="H11" s="14">
        <f>$C$8*H9</f>
        <v/>
      </c>
      <c r="J11" s="11" t="inlineStr">
        <is>
          <t>Nilai VaR (%)</t>
        </is>
      </c>
      <c r="L11" s="18">
        <f>$L$8*L9</f>
        <v/>
      </c>
      <c r="M11" s="14">
        <f>$L$8*M9</f>
        <v/>
      </c>
      <c r="N11" s="14">
        <f>$L$8*N9</f>
        <v/>
      </c>
      <c r="O11" s="14">
        <f>$L$8*O9</f>
        <v/>
      </c>
      <c r="P11" s="14">
        <f>$L$8*P9</f>
        <v/>
      </c>
      <c r="Q11" s="14">
        <f>$L$8*Q9</f>
        <v/>
      </c>
    </row>
    <row r="13">
      <c r="A13" s="31" t="inlineStr">
        <is>
          <t>GOOGLE</t>
        </is>
      </c>
      <c r="J13" s="31" t="inlineStr">
        <is>
          <t>APPLE</t>
        </is>
      </c>
    </row>
    <row r="14">
      <c r="A14" s="31" t="inlineStr">
        <is>
          <t>Tanggal</t>
        </is>
      </c>
      <c r="B14" s="31" t="inlineStr">
        <is>
          <t>Penutupan</t>
        </is>
      </c>
      <c r="C14" s="31" t="inlineStr">
        <is>
          <t>Return</t>
        </is>
      </c>
      <c r="D14" s="31" t="inlineStr">
        <is>
          <t>Simulasi 1</t>
        </is>
      </c>
      <c r="E14" s="31" t="inlineStr">
        <is>
          <t>Simulasi 2</t>
        </is>
      </c>
      <c r="F14" s="31" t="inlineStr">
        <is>
          <t>Simulasi 3</t>
        </is>
      </c>
      <c r="G14" s="31" t="inlineStr">
        <is>
          <t>Simulasi 4</t>
        </is>
      </c>
      <c r="H14" s="31" t="inlineStr">
        <is>
          <t>Simulasi 5</t>
        </is>
      </c>
      <c r="J14" s="31" t="inlineStr">
        <is>
          <t>Tanggal</t>
        </is>
      </c>
      <c r="K14" s="31" t="inlineStr">
        <is>
          <t>Closing</t>
        </is>
      </c>
      <c r="L14" s="31" t="inlineStr">
        <is>
          <t>Return</t>
        </is>
      </c>
      <c r="M14" s="31" t="inlineStr">
        <is>
          <t>Simulasi 1</t>
        </is>
      </c>
      <c r="N14" s="31" t="inlineStr">
        <is>
          <t>Simulasi 2</t>
        </is>
      </c>
      <c r="O14" s="31" t="inlineStr">
        <is>
          <t>Simulasi 3</t>
        </is>
      </c>
      <c r="P14" s="31" t="inlineStr">
        <is>
          <t>Simulasi 4</t>
        </is>
      </c>
      <c r="Q14" s="31" t="inlineStr">
        <is>
          <t>Simulasi 5</t>
        </is>
      </c>
    </row>
    <row r="15">
      <c r="A15" t="inlineStr">
        <is>
          <t>2025-09-10</t>
        </is>
      </c>
      <c r="B15" s="7" t="n">
        <v>239.56</v>
      </c>
      <c r="C15" s="19" t="inlineStr">
        <is>
          <t>-</t>
        </is>
      </c>
      <c r="D15" s="19" t="inlineStr">
        <is>
          <t>-</t>
        </is>
      </c>
      <c r="E15" s="19" t="inlineStr">
        <is>
          <t>-</t>
        </is>
      </c>
      <c r="F15" s="19" t="inlineStr">
        <is>
          <t>-</t>
        </is>
      </c>
      <c r="G15" s="19" t="inlineStr">
        <is>
          <t>-</t>
        </is>
      </c>
      <c r="H15" s="19" t="inlineStr">
        <is>
          <t>-</t>
        </is>
      </c>
      <c r="J15" t="inlineStr">
        <is>
          <t>2025-09-10</t>
        </is>
      </c>
      <c r="K15" s="7" t="n">
        <v>226.79</v>
      </c>
      <c r="L15" s="19" t="inlineStr">
        <is>
          <t>-</t>
        </is>
      </c>
      <c r="M15" s="19" t="inlineStr">
        <is>
          <t>-</t>
        </is>
      </c>
      <c r="N15" s="19" t="inlineStr">
        <is>
          <t>-</t>
        </is>
      </c>
      <c r="O15" s="19" t="inlineStr">
        <is>
          <t>-</t>
        </is>
      </c>
      <c r="P15" s="19" t="inlineStr">
        <is>
          <t>-</t>
        </is>
      </c>
      <c r="Q15" s="19" t="inlineStr">
        <is>
          <t>-</t>
        </is>
      </c>
    </row>
    <row r="16">
      <c r="A16" t="inlineStr">
        <is>
          <t>2025-09-11</t>
        </is>
      </c>
      <c r="B16" s="7" t="n">
        <v>240.78</v>
      </c>
      <c r="C16" s="5">
        <f>(B16-B15)/B15</f>
        <v/>
      </c>
      <c r="D16" s="5">
        <f>NORMINV(RAND(), $C$6, $C$7)</f>
        <v/>
      </c>
      <c r="E16" s="5">
        <f>NORMINV(RAND(), $C$6, $C$7)</f>
        <v/>
      </c>
      <c r="F16" s="5">
        <f>NORMINV(RAND(), $C$6, $C$7)</f>
        <v/>
      </c>
      <c r="G16" s="5">
        <f>NORMINV(RAND(), $C$6, $C$7)</f>
        <v/>
      </c>
      <c r="H16" s="5">
        <f>NORMINV(RAND(), $C$6, $C$7)</f>
        <v/>
      </c>
      <c r="J16" t="inlineStr">
        <is>
          <t>2025-09-11</t>
        </is>
      </c>
      <c r="K16" s="7" t="n">
        <v>230.03</v>
      </c>
      <c r="L16" s="5">
        <f>(K16-K15)/K15</f>
        <v/>
      </c>
      <c r="M16" s="5">
        <f>NORMINV(RAND(), $L$6, $L$7)</f>
        <v/>
      </c>
      <c r="N16" s="5">
        <f>NORMINV(RAND(), $L$6, $L$7)</f>
        <v/>
      </c>
      <c r="O16" s="5">
        <f>NORMINV(RAND(), $L$6, $L$7)</f>
        <v/>
      </c>
      <c r="P16" s="5">
        <f>NORMINV(RAND(), $L$6, $L$7)</f>
        <v/>
      </c>
      <c r="Q16" s="5">
        <f>NORMINV(RAND(), $L$6, $L$7)</f>
        <v/>
      </c>
    </row>
    <row r="17">
      <c r="A17" t="inlineStr">
        <is>
          <t>2025-09-12</t>
        </is>
      </c>
      <c r="B17" s="7" t="n">
        <v>241.38</v>
      </c>
      <c r="C17" s="5">
        <f>(B17-B16)/B16</f>
        <v/>
      </c>
      <c r="D17" s="5">
        <f>NORMINV(RAND(), $C$6, $C$7)</f>
        <v/>
      </c>
      <c r="E17" s="5">
        <f>NORMINV(RAND(), $C$6, $C$7)</f>
        <v/>
      </c>
      <c r="F17" s="5">
        <f>NORMINV(RAND(), $C$6, $C$7)</f>
        <v/>
      </c>
      <c r="G17" s="5">
        <f>NORMINV(RAND(), $C$6, $C$7)</f>
        <v/>
      </c>
      <c r="H17" s="5">
        <f>NORMINV(RAND(), $C$6, $C$7)</f>
        <v/>
      </c>
      <c r="J17" t="inlineStr">
        <is>
          <t>2025-09-12</t>
        </is>
      </c>
      <c r="K17" s="7" t="n">
        <v>234.07</v>
      </c>
      <c r="L17" s="5">
        <f>(K17-K16)/K16</f>
        <v/>
      </c>
      <c r="M17" s="5">
        <f>NORMINV(RAND(), $L$6, $L$7)</f>
        <v/>
      </c>
      <c r="N17" s="5">
        <f>NORMINV(RAND(), $L$6, $L$7)</f>
        <v/>
      </c>
      <c r="O17" s="5">
        <f>NORMINV(RAND(), $L$6, $L$7)</f>
        <v/>
      </c>
      <c r="P17" s="5">
        <f>NORMINV(RAND(), $L$6, $L$7)</f>
        <v/>
      </c>
      <c r="Q17" s="5">
        <f>NORMINV(RAND(), $L$6, $L$7)</f>
        <v/>
      </c>
    </row>
    <row r="18">
      <c r="A18" t="inlineStr">
        <is>
          <t>2025-09-15</t>
        </is>
      </c>
      <c r="B18" s="7" t="n">
        <v>251.76</v>
      </c>
      <c r="C18" s="5">
        <f>(B18-B17)/B17</f>
        <v/>
      </c>
      <c r="D18" s="5">
        <f>NORMINV(RAND(), $C$6, $C$7)</f>
        <v/>
      </c>
      <c r="E18" s="5">
        <f>NORMINV(RAND(), $C$6, $C$7)</f>
        <v/>
      </c>
      <c r="F18" s="5">
        <f>NORMINV(RAND(), $C$6, $C$7)</f>
        <v/>
      </c>
      <c r="G18" s="5">
        <f>NORMINV(RAND(), $C$6, $C$7)</f>
        <v/>
      </c>
      <c r="H18" s="5">
        <f>NORMINV(RAND(), $C$6, $C$7)</f>
        <v/>
      </c>
      <c r="J18" t="inlineStr">
        <is>
          <t>2025-09-15</t>
        </is>
      </c>
      <c r="K18" s="7" t="n">
        <v>236.7</v>
      </c>
      <c r="L18" s="5">
        <f>(K18-K17)/K17</f>
        <v/>
      </c>
      <c r="M18" s="5">
        <f>NORMINV(RAND(), $L$6, $L$7)</f>
        <v/>
      </c>
      <c r="N18" s="5">
        <f>NORMINV(RAND(), $L$6, $L$7)</f>
        <v/>
      </c>
      <c r="O18" s="5">
        <f>NORMINV(RAND(), $L$6, $L$7)</f>
        <v/>
      </c>
      <c r="P18" s="5">
        <f>NORMINV(RAND(), $L$6, $L$7)</f>
        <v/>
      </c>
      <c r="Q18" s="5">
        <f>NORMINV(RAND(), $L$6, $L$7)</f>
        <v/>
      </c>
    </row>
    <row r="19">
      <c r="A19" t="inlineStr">
        <is>
          <t>2025-09-16</t>
        </is>
      </c>
      <c r="B19" s="7" t="n">
        <v>251.42</v>
      </c>
      <c r="C19" s="5">
        <f>(B19-B18)/B18</f>
        <v/>
      </c>
      <c r="D19" s="5">
        <f>NORMINV(RAND(), $C$6, $C$7)</f>
        <v/>
      </c>
      <c r="E19" s="5">
        <f>NORMINV(RAND(), $C$6, $C$7)</f>
        <v/>
      </c>
      <c r="F19" s="5">
        <f>NORMINV(RAND(), $C$6, $C$7)</f>
        <v/>
      </c>
      <c r="G19" s="5">
        <f>NORMINV(RAND(), $C$6, $C$7)</f>
        <v/>
      </c>
      <c r="H19" s="5">
        <f>NORMINV(RAND(), $C$6, $C$7)</f>
        <v/>
      </c>
      <c r="J19" t="inlineStr">
        <is>
          <t>2025-09-16</t>
        </is>
      </c>
      <c r="K19" s="7" t="n">
        <v>238.15</v>
      </c>
      <c r="L19" s="5">
        <f>(K19-K18)/K18</f>
        <v/>
      </c>
      <c r="M19" s="5">
        <f>NORMINV(RAND(), $L$6, $L$7)</f>
        <v/>
      </c>
      <c r="N19" s="5">
        <f>NORMINV(RAND(), $L$6, $L$7)</f>
        <v/>
      </c>
      <c r="O19" s="5">
        <f>NORMINV(RAND(), $L$6, $L$7)</f>
        <v/>
      </c>
      <c r="P19" s="5">
        <f>NORMINV(RAND(), $L$6, $L$7)</f>
        <v/>
      </c>
      <c r="Q19" s="5">
        <f>NORMINV(RAND(), $L$6, $L$7)</f>
        <v/>
      </c>
    </row>
    <row r="20">
      <c r="A20" t="inlineStr">
        <is>
          <t>2025-09-17</t>
        </is>
      </c>
      <c r="B20" s="7" t="n">
        <v>249.85</v>
      </c>
      <c r="C20" s="5">
        <f>(B20-B19)/B19</f>
        <v/>
      </c>
      <c r="D20" s="5">
        <f>NORMINV(RAND(), $C$6, $C$7)</f>
        <v/>
      </c>
      <c r="E20" s="5">
        <f>NORMINV(RAND(), $C$6, $C$7)</f>
        <v/>
      </c>
      <c r="F20" s="5">
        <f>NORMINV(RAND(), $C$6, $C$7)</f>
        <v/>
      </c>
      <c r="G20" s="5">
        <f>NORMINV(RAND(), $C$6, $C$7)</f>
        <v/>
      </c>
      <c r="H20" s="5">
        <f>NORMINV(RAND(), $C$6, $C$7)</f>
        <v/>
      </c>
      <c r="J20" t="inlineStr">
        <is>
          <t>2025-09-17</t>
        </is>
      </c>
      <c r="K20" s="7" t="n">
        <v>238.99</v>
      </c>
      <c r="L20" s="5">
        <f>(K20-K19)/K19</f>
        <v/>
      </c>
      <c r="M20" s="5">
        <f>NORMINV(RAND(), $L$6, $L$7)</f>
        <v/>
      </c>
      <c r="N20" s="5">
        <f>NORMINV(RAND(), $L$6, $L$7)</f>
        <v/>
      </c>
      <c r="O20" s="5">
        <f>NORMINV(RAND(), $L$6, $L$7)</f>
        <v/>
      </c>
      <c r="P20" s="5">
        <f>NORMINV(RAND(), $L$6, $L$7)</f>
        <v/>
      </c>
      <c r="Q20" s="5">
        <f>NORMINV(RAND(), $L$6, $L$7)</f>
        <v/>
      </c>
    </row>
    <row r="21">
      <c r="A21" t="inlineStr">
        <is>
          <t>2025-09-18</t>
        </is>
      </c>
      <c r="B21" s="7" t="n">
        <v>252.33</v>
      </c>
      <c r="C21" s="5">
        <f>(B21-B20)/B20</f>
        <v/>
      </c>
      <c r="D21" s="5">
        <f>NORMINV(RAND(), $C$6, $C$7)</f>
        <v/>
      </c>
      <c r="E21" s="5">
        <f>NORMINV(RAND(), $C$6, $C$7)</f>
        <v/>
      </c>
      <c r="F21" s="5">
        <f>NORMINV(RAND(), $C$6, $C$7)</f>
        <v/>
      </c>
      <c r="G21" s="5">
        <f>NORMINV(RAND(), $C$6, $C$7)</f>
        <v/>
      </c>
      <c r="H21" s="5">
        <f>NORMINV(RAND(), $C$6, $C$7)</f>
        <v/>
      </c>
      <c r="J21" t="inlineStr">
        <is>
          <t>2025-09-18</t>
        </is>
      </c>
      <c r="K21" s="7" t="n">
        <v>237.88</v>
      </c>
      <c r="L21" s="5">
        <f>(K21-K20)/K20</f>
        <v/>
      </c>
      <c r="M21" s="5">
        <f>NORMINV(RAND(), $L$6, $L$7)</f>
        <v/>
      </c>
      <c r="N21" s="5">
        <f>NORMINV(RAND(), $L$6, $L$7)</f>
        <v/>
      </c>
      <c r="O21" s="5">
        <f>NORMINV(RAND(), $L$6, $L$7)</f>
        <v/>
      </c>
      <c r="P21" s="5">
        <f>NORMINV(RAND(), $L$6, $L$7)</f>
        <v/>
      </c>
      <c r="Q21" s="5">
        <f>NORMINV(RAND(), $L$6, $L$7)</f>
        <v/>
      </c>
    </row>
    <row r="22">
      <c r="A22" t="inlineStr">
        <is>
          <t>2025-09-19</t>
        </is>
      </c>
      <c r="B22" s="7" t="n">
        <v>255.24</v>
      </c>
      <c r="C22" s="5">
        <f>(B22-B21)/B21</f>
        <v/>
      </c>
      <c r="D22" s="5">
        <f>NORMINV(RAND(), $C$6, $C$7)</f>
        <v/>
      </c>
      <c r="E22" s="5">
        <f>NORMINV(RAND(), $C$6, $C$7)</f>
        <v/>
      </c>
      <c r="F22" s="5">
        <f>NORMINV(RAND(), $C$6, $C$7)</f>
        <v/>
      </c>
      <c r="G22" s="5">
        <f>NORMINV(RAND(), $C$6, $C$7)</f>
        <v/>
      </c>
      <c r="H22" s="5">
        <f>NORMINV(RAND(), $C$6, $C$7)</f>
        <v/>
      </c>
      <c r="J22" t="inlineStr">
        <is>
          <t>2025-09-19</t>
        </is>
      </c>
      <c r="K22" s="7" t="n">
        <v>245.5</v>
      </c>
      <c r="L22" s="5">
        <f>(K22-K21)/K21</f>
        <v/>
      </c>
      <c r="M22" s="5">
        <f>NORMINV(RAND(), $L$6, $L$7)</f>
        <v/>
      </c>
      <c r="N22" s="5">
        <f>NORMINV(RAND(), $L$6, $L$7)</f>
        <v/>
      </c>
      <c r="O22" s="5">
        <f>NORMINV(RAND(), $L$6, $L$7)</f>
        <v/>
      </c>
      <c r="P22" s="5">
        <f>NORMINV(RAND(), $L$6, $L$7)</f>
        <v/>
      </c>
      <c r="Q22" s="5">
        <f>NORMINV(RAND(), $L$6, $L$7)</f>
        <v/>
      </c>
    </row>
    <row r="23">
      <c r="A23" t="inlineStr">
        <is>
          <t>2025-09-22</t>
        </is>
      </c>
      <c r="B23" s="7" t="n">
        <v>252.88</v>
      </c>
      <c r="C23" s="5">
        <f>(B23-B22)/B22</f>
        <v/>
      </c>
      <c r="D23" s="5">
        <f>NORMINV(RAND(), $C$6, $C$7)</f>
        <v/>
      </c>
      <c r="E23" s="5">
        <f>NORMINV(RAND(), $C$6, $C$7)</f>
        <v/>
      </c>
      <c r="F23" s="5">
        <f>NORMINV(RAND(), $C$6, $C$7)</f>
        <v/>
      </c>
      <c r="G23" s="5">
        <f>NORMINV(RAND(), $C$6, $C$7)</f>
        <v/>
      </c>
      <c r="H23" s="5">
        <f>NORMINV(RAND(), $C$6, $C$7)</f>
        <v/>
      </c>
      <c r="J23" t="inlineStr">
        <is>
          <t>2025-09-22</t>
        </is>
      </c>
      <c r="K23" s="7" t="n">
        <v>256.08</v>
      </c>
      <c r="L23" s="5">
        <f>(K23-K22)/K22</f>
        <v/>
      </c>
      <c r="M23" s="5">
        <f>NORMINV(RAND(), $L$6, $L$7)</f>
        <v/>
      </c>
      <c r="N23" s="5">
        <f>NORMINV(RAND(), $L$6, $L$7)</f>
        <v/>
      </c>
      <c r="O23" s="5">
        <f>NORMINV(RAND(), $L$6, $L$7)</f>
        <v/>
      </c>
      <c r="P23" s="5">
        <f>NORMINV(RAND(), $L$6, $L$7)</f>
        <v/>
      </c>
      <c r="Q23" s="5">
        <f>NORMINV(RAND(), $L$6, $L$7)</f>
        <v/>
      </c>
    </row>
    <row r="24">
      <c r="A24" t="inlineStr">
        <is>
          <t>2025-09-23</t>
        </is>
      </c>
      <c r="B24" s="7" t="n">
        <v>252.34</v>
      </c>
      <c r="C24" s="5">
        <f>(B24-B23)/B23</f>
        <v/>
      </c>
      <c r="D24" s="5">
        <f>NORMINV(RAND(), $C$6, $C$7)</f>
        <v/>
      </c>
      <c r="E24" s="5">
        <f>NORMINV(RAND(), $C$6, $C$7)</f>
        <v/>
      </c>
      <c r="F24" s="5">
        <f>NORMINV(RAND(), $C$6, $C$7)</f>
        <v/>
      </c>
      <c r="G24" s="5">
        <f>NORMINV(RAND(), $C$6, $C$7)</f>
        <v/>
      </c>
      <c r="H24" s="5">
        <f>NORMINV(RAND(), $C$6, $C$7)</f>
        <v/>
      </c>
      <c r="J24" t="inlineStr">
        <is>
          <t>2025-09-23</t>
        </is>
      </c>
      <c r="K24" s="7" t="n">
        <v>254.43</v>
      </c>
      <c r="L24" s="5">
        <f>(K24-K23)/K23</f>
        <v/>
      </c>
      <c r="M24" s="5">
        <f>NORMINV(RAND(), $L$6, $L$7)</f>
        <v/>
      </c>
      <c r="N24" s="5">
        <f>NORMINV(RAND(), $L$6, $L$7)</f>
        <v/>
      </c>
      <c r="O24" s="5">
        <f>NORMINV(RAND(), $L$6, $L$7)</f>
        <v/>
      </c>
      <c r="P24" s="5">
        <f>NORMINV(RAND(), $L$6, $L$7)</f>
        <v/>
      </c>
      <c r="Q24" s="5">
        <f>NORMINV(RAND(), $L$6, $L$7)</f>
        <v/>
      </c>
    </row>
    <row r="25">
      <c r="A25" t="inlineStr">
        <is>
          <t>2025-09-24</t>
        </is>
      </c>
      <c r="B25" s="7" t="n">
        <v>247.83</v>
      </c>
      <c r="C25" s="5">
        <f>(B25-B24)/B24</f>
        <v/>
      </c>
      <c r="D25" s="5">
        <f>NORMINV(RAND(), $C$6, $C$7)</f>
        <v/>
      </c>
      <c r="E25" s="5">
        <f>NORMINV(RAND(), $C$6, $C$7)</f>
        <v/>
      </c>
      <c r="F25" s="5">
        <f>NORMINV(RAND(), $C$6, $C$7)</f>
        <v/>
      </c>
      <c r="G25" s="5">
        <f>NORMINV(RAND(), $C$6, $C$7)</f>
        <v/>
      </c>
      <c r="H25" s="5">
        <f>NORMINV(RAND(), $C$6, $C$7)</f>
        <v/>
      </c>
      <c r="J25" t="inlineStr">
        <is>
          <t>2025-09-24</t>
        </is>
      </c>
      <c r="K25" s="7" t="n">
        <v>252.31</v>
      </c>
      <c r="L25" s="5">
        <f>(K25-K24)/K24</f>
        <v/>
      </c>
      <c r="M25" s="5">
        <f>NORMINV(RAND(), $L$6, $L$7)</f>
        <v/>
      </c>
      <c r="N25" s="5">
        <f>NORMINV(RAND(), $L$6, $L$7)</f>
        <v/>
      </c>
      <c r="O25" s="5">
        <f>NORMINV(RAND(), $L$6, $L$7)</f>
        <v/>
      </c>
      <c r="P25" s="5">
        <f>NORMINV(RAND(), $L$6, $L$7)</f>
        <v/>
      </c>
      <c r="Q25" s="5">
        <f>NORMINV(RAND(), $L$6, $L$7)</f>
        <v/>
      </c>
    </row>
    <row r="26">
      <c r="A26" t="inlineStr">
        <is>
          <t>2025-09-25</t>
        </is>
      </c>
      <c r="B26" s="7" t="n">
        <v>246.57</v>
      </c>
      <c r="C26" s="5">
        <f>(B26-B25)/B25</f>
        <v/>
      </c>
      <c r="D26" s="5">
        <f>NORMINV(RAND(), $C$6, $C$7)</f>
        <v/>
      </c>
      <c r="E26" s="5">
        <f>NORMINV(RAND(), $C$6, $C$7)</f>
        <v/>
      </c>
      <c r="F26" s="5">
        <f>NORMINV(RAND(), $C$6, $C$7)</f>
        <v/>
      </c>
      <c r="G26" s="5">
        <f>NORMINV(RAND(), $C$6, $C$7)</f>
        <v/>
      </c>
      <c r="H26" s="5">
        <f>NORMINV(RAND(), $C$6, $C$7)</f>
        <v/>
      </c>
      <c r="J26" t="inlineStr">
        <is>
          <t>2025-09-25</t>
        </is>
      </c>
      <c r="K26" s="7" t="n">
        <v>256.87</v>
      </c>
      <c r="L26" s="5">
        <f>(K26-K25)/K25</f>
        <v/>
      </c>
      <c r="M26" s="5">
        <f>NORMINV(RAND(), $L$6, $L$7)</f>
        <v/>
      </c>
      <c r="N26" s="5">
        <f>NORMINV(RAND(), $L$6, $L$7)</f>
        <v/>
      </c>
      <c r="O26" s="5">
        <f>NORMINV(RAND(), $L$6, $L$7)</f>
        <v/>
      </c>
      <c r="P26" s="5">
        <f>NORMINV(RAND(), $L$6, $L$7)</f>
        <v/>
      </c>
      <c r="Q26" s="5">
        <f>NORMINV(RAND(), $L$6, $L$7)</f>
        <v/>
      </c>
    </row>
    <row r="27">
      <c r="A27" t="inlineStr">
        <is>
          <t>2025-09-26</t>
        </is>
      </c>
      <c r="B27" s="7" t="n">
        <v>247.18</v>
      </c>
      <c r="C27" s="5">
        <f>(B27-B26)/B26</f>
        <v/>
      </c>
      <c r="D27" s="5">
        <f>NORMINV(RAND(), $C$6, $C$7)</f>
        <v/>
      </c>
      <c r="E27" s="5">
        <f>NORMINV(RAND(), $C$6, $C$7)</f>
        <v/>
      </c>
      <c r="F27" s="5">
        <f>NORMINV(RAND(), $C$6, $C$7)</f>
        <v/>
      </c>
      <c r="G27" s="5">
        <f>NORMINV(RAND(), $C$6, $C$7)</f>
        <v/>
      </c>
      <c r="H27" s="5">
        <f>NORMINV(RAND(), $C$6, $C$7)</f>
        <v/>
      </c>
      <c r="J27" t="inlineStr">
        <is>
          <t>2025-09-26</t>
        </is>
      </c>
      <c r="K27" s="7" t="n">
        <v>255.46</v>
      </c>
      <c r="L27" s="5">
        <f>(K27-K26)/K26</f>
        <v/>
      </c>
      <c r="M27" s="5">
        <f>NORMINV(RAND(), $L$6, $L$7)</f>
        <v/>
      </c>
      <c r="N27" s="5">
        <f>NORMINV(RAND(), $L$6, $L$7)</f>
        <v/>
      </c>
      <c r="O27" s="5">
        <f>NORMINV(RAND(), $L$6, $L$7)</f>
        <v/>
      </c>
      <c r="P27" s="5">
        <f>NORMINV(RAND(), $L$6, $L$7)</f>
        <v/>
      </c>
      <c r="Q27" s="5">
        <f>NORMINV(RAND(), $L$6, $L$7)</f>
        <v/>
      </c>
    </row>
    <row r="28">
      <c r="A28" t="inlineStr">
        <is>
          <t>2025-09-29</t>
        </is>
      </c>
      <c r="B28" s="7" t="n">
        <v>244.36</v>
      </c>
      <c r="C28" s="5">
        <f>(B28-B27)/B27</f>
        <v/>
      </c>
      <c r="D28" s="5">
        <f>NORMINV(RAND(), $C$6, $C$7)</f>
        <v/>
      </c>
      <c r="E28" s="5">
        <f>NORMINV(RAND(), $C$6, $C$7)</f>
        <v/>
      </c>
      <c r="F28" s="5">
        <f>NORMINV(RAND(), $C$6, $C$7)</f>
        <v/>
      </c>
      <c r="G28" s="5">
        <f>NORMINV(RAND(), $C$6, $C$7)</f>
        <v/>
      </c>
      <c r="H28" s="5">
        <f>NORMINV(RAND(), $C$6, $C$7)</f>
        <v/>
      </c>
      <c r="J28" t="inlineStr">
        <is>
          <t>2025-09-29</t>
        </is>
      </c>
      <c r="K28" s="7" t="n">
        <v>254.43</v>
      </c>
      <c r="L28" s="5">
        <f>(K28-K27)/K27</f>
        <v/>
      </c>
      <c r="M28" s="5">
        <f>NORMINV(RAND(), $L$6, $L$7)</f>
        <v/>
      </c>
      <c r="N28" s="5">
        <f>NORMINV(RAND(), $L$6, $L$7)</f>
        <v/>
      </c>
      <c r="O28" s="5">
        <f>NORMINV(RAND(), $L$6, $L$7)</f>
        <v/>
      </c>
      <c r="P28" s="5">
        <f>NORMINV(RAND(), $L$6, $L$7)</f>
        <v/>
      </c>
      <c r="Q28" s="5">
        <f>NORMINV(RAND(), $L$6, $L$7)</f>
        <v/>
      </c>
    </row>
    <row r="29">
      <c r="A29" t="inlineStr">
        <is>
          <t>2025-09-30</t>
        </is>
      </c>
      <c r="B29" s="7" t="n">
        <v>243.55</v>
      </c>
      <c r="C29" s="5">
        <f>(B29-B28)/B28</f>
        <v/>
      </c>
      <c r="D29" s="5">
        <f>NORMINV(RAND(), $C$6, $C$7)</f>
        <v/>
      </c>
      <c r="E29" s="5">
        <f>NORMINV(RAND(), $C$6, $C$7)</f>
        <v/>
      </c>
      <c r="F29" s="5">
        <f>NORMINV(RAND(), $C$6, $C$7)</f>
        <v/>
      </c>
      <c r="G29" s="5">
        <f>NORMINV(RAND(), $C$6, $C$7)</f>
        <v/>
      </c>
      <c r="H29" s="5">
        <f>NORMINV(RAND(), $C$6, $C$7)</f>
        <v/>
      </c>
      <c r="J29" t="inlineStr">
        <is>
          <t>2025-09-30</t>
        </is>
      </c>
      <c r="K29" s="7" t="n">
        <v>254.63</v>
      </c>
      <c r="L29" s="5">
        <f>(K29-K28)/K28</f>
        <v/>
      </c>
      <c r="M29" s="5">
        <f>NORMINV(RAND(), $L$6, $L$7)</f>
        <v/>
      </c>
      <c r="N29" s="5">
        <f>NORMINV(RAND(), $L$6, $L$7)</f>
        <v/>
      </c>
      <c r="O29" s="5">
        <f>NORMINV(RAND(), $L$6, $L$7)</f>
        <v/>
      </c>
      <c r="P29" s="5">
        <f>NORMINV(RAND(), $L$6, $L$7)</f>
        <v/>
      </c>
      <c r="Q29" s="5">
        <f>NORMINV(RAND(), $L$6, $L$7)</f>
        <v/>
      </c>
    </row>
    <row r="30">
      <c r="A30" t="inlineStr">
        <is>
          <t>2025-10-01</t>
        </is>
      </c>
      <c r="B30" s="7" t="n">
        <v>245.54</v>
      </c>
      <c r="C30" s="5">
        <f>(B30-B29)/B29</f>
        <v/>
      </c>
      <c r="D30" s="5">
        <f>NORMINV(RAND(), $C$6, $C$7)</f>
        <v/>
      </c>
      <c r="E30" s="5">
        <f>NORMINV(RAND(), $C$6, $C$7)</f>
        <v/>
      </c>
      <c r="F30" s="5">
        <f>NORMINV(RAND(), $C$6, $C$7)</f>
        <v/>
      </c>
      <c r="G30" s="5">
        <f>NORMINV(RAND(), $C$6, $C$7)</f>
        <v/>
      </c>
      <c r="H30" s="5">
        <f>NORMINV(RAND(), $C$6, $C$7)</f>
        <v/>
      </c>
      <c r="J30" t="inlineStr">
        <is>
          <t>2025-10-01</t>
        </is>
      </c>
      <c r="K30" s="7" t="n">
        <v>255.45</v>
      </c>
      <c r="L30" s="5">
        <f>(K30-K29)/K29</f>
        <v/>
      </c>
      <c r="M30" s="5">
        <f>NORMINV(RAND(), $L$6, $L$7)</f>
        <v/>
      </c>
      <c r="N30" s="5">
        <f>NORMINV(RAND(), $L$6, $L$7)</f>
        <v/>
      </c>
      <c r="O30" s="5">
        <f>NORMINV(RAND(), $L$6, $L$7)</f>
        <v/>
      </c>
      <c r="P30" s="5">
        <f>NORMINV(RAND(), $L$6, $L$7)</f>
        <v/>
      </c>
      <c r="Q30" s="5">
        <f>NORMINV(RAND(), $L$6, $L$7)</f>
        <v/>
      </c>
    </row>
    <row r="31">
      <c r="A31" t="inlineStr">
        <is>
          <t>2025-10-02</t>
        </is>
      </c>
      <c r="B31" s="7" t="n">
        <v>246.43</v>
      </c>
      <c r="C31" s="5">
        <f>(B31-B30)/B30</f>
        <v/>
      </c>
      <c r="D31" s="5">
        <f>NORMINV(RAND(), $C$6, $C$7)</f>
        <v/>
      </c>
      <c r="E31" s="5">
        <f>NORMINV(RAND(), $C$6, $C$7)</f>
        <v/>
      </c>
      <c r="F31" s="5">
        <f>NORMINV(RAND(), $C$6, $C$7)</f>
        <v/>
      </c>
      <c r="G31" s="5">
        <f>NORMINV(RAND(), $C$6, $C$7)</f>
        <v/>
      </c>
      <c r="H31" s="5">
        <f>NORMINV(RAND(), $C$6, $C$7)</f>
        <v/>
      </c>
      <c r="J31" t="inlineStr">
        <is>
          <t>2025-10-02</t>
        </is>
      </c>
      <c r="K31" s="7" t="n">
        <v>257.13</v>
      </c>
      <c r="L31" s="5">
        <f>(K31-K30)/K30</f>
        <v/>
      </c>
      <c r="M31" s="5">
        <f>NORMINV(RAND(), $L$6, $L$7)</f>
        <v/>
      </c>
      <c r="N31" s="5">
        <f>NORMINV(RAND(), $L$6, $L$7)</f>
        <v/>
      </c>
      <c r="O31" s="5">
        <f>NORMINV(RAND(), $L$6, $L$7)</f>
        <v/>
      </c>
      <c r="P31" s="5">
        <f>NORMINV(RAND(), $L$6, $L$7)</f>
        <v/>
      </c>
      <c r="Q31" s="5">
        <f>NORMINV(RAND(), $L$6, $L$7)</f>
        <v/>
      </c>
    </row>
    <row r="32">
      <c r="A32" t="inlineStr">
        <is>
          <t>2025-10-03</t>
        </is>
      </c>
      <c r="B32" s="7" t="n">
        <v>246.45</v>
      </c>
      <c r="C32" s="5">
        <f>(B32-B31)/B31</f>
        <v/>
      </c>
      <c r="D32" s="5">
        <f>NORMINV(RAND(), $C$6, $C$7)</f>
        <v/>
      </c>
      <c r="E32" s="5">
        <f>NORMINV(RAND(), $C$6, $C$7)</f>
        <v/>
      </c>
      <c r="F32" s="5">
        <f>NORMINV(RAND(), $C$6, $C$7)</f>
        <v/>
      </c>
      <c r="G32" s="5">
        <f>NORMINV(RAND(), $C$6, $C$7)</f>
        <v/>
      </c>
      <c r="H32" s="5">
        <f>NORMINV(RAND(), $C$6, $C$7)</f>
        <v/>
      </c>
      <c r="J32" t="inlineStr">
        <is>
          <t>2025-10-03</t>
        </is>
      </c>
      <c r="K32" s="7" t="n">
        <v>258.02</v>
      </c>
      <c r="L32" s="5">
        <f>(K32-K31)/K31</f>
        <v/>
      </c>
      <c r="M32" s="5">
        <f>NORMINV(RAND(), $L$6, $L$7)</f>
        <v/>
      </c>
      <c r="N32" s="5">
        <f>NORMINV(RAND(), $L$6, $L$7)</f>
        <v/>
      </c>
      <c r="O32" s="5">
        <f>NORMINV(RAND(), $L$6, $L$7)</f>
        <v/>
      </c>
      <c r="P32" s="5">
        <f>NORMINV(RAND(), $L$6, $L$7)</f>
        <v/>
      </c>
      <c r="Q32" s="5">
        <f>NORMINV(RAND(), $L$6, $L$7)</f>
        <v/>
      </c>
    </row>
    <row r="33">
      <c r="A33" t="inlineStr">
        <is>
          <t>2025-10-06</t>
        </is>
      </c>
      <c r="B33" s="7" t="n">
        <v>251.51</v>
      </c>
      <c r="C33" s="5">
        <f>(B33-B32)/B32</f>
        <v/>
      </c>
      <c r="D33" s="5">
        <f>NORMINV(RAND(), $C$6, $C$7)</f>
        <v/>
      </c>
      <c r="E33" s="5">
        <f>NORMINV(RAND(), $C$6, $C$7)</f>
        <v/>
      </c>
      <c r="F33" s="5">
        <f>NORMINV(RAND(), $C$6, $C$7)</f>
        <v/>
      </c>
      <c r="G33" s="5">
        <f>NORMINV(RAND(), $C$6, $C$7)</f>
        <v/>
      </c>
      <c r="H33" s="5">
        <f>NORMINV(RAND(), $C$6, $C$7)</f>
        <v/>
      </c>
      <c r="J33" t="inlineStr">
        <is>
          <t>2025-10-06</t>
        </is>
      </c>
      <c r="K33" s="7" t="n">
        <v>256.69</v>
      </c>
      <c r="L33" s="5">
        <f>(K33-K32)/K32</f>
        <v/>
      </c>
      <c r="M33" s="5">
        <f>NORMINV(RAND(), $L$6, $L$7)</f>
        <v/>
      </c>
      <c r="N33" s="5">
        <f>NORMINV(RAND(), $L$6, $L$7)</f>
        <v/>
      </c>
      <c r="O33" s="5">
        <f>NORMINV(RAND(), $L$6, $L$7)</f>
        <v/>
      </c>
      <c r="P33" s="5">
        <f>NORMINV(RAND(), $L$6, $L$7)</f>
        <v/>
      </c>
      <c r="Q33" s="5">
        <f>NORMINV(RAND(), $L$6, $L$7)</f>
        <v/>
      </c>
    </row>
    <row r="34">
      <c r="A34" t="inlineStr">
        <is>
          <t>2025-10-07</t>
        </is>
      </c>
      <c r="B34" s="7" t="n">
        <v>247.13</v>
      </c>
      <c r="C34" s="5">
        <f>(B34-B33)/B33</f>
        <v/>
      </c>
      <c r="D34" s="5">
        <f>NORMINV(RAND(), $C$6, $C$7)</f>
        <v/>
      </c>
      <c r="E34" s="5">
        <f>NORMINV(RAND(), $C$6, $C$7)</f>
        <v/>
      </c>
      <c r="F34" s="5">
        <f>NORMINV(RAND(), $C$6, $C$7)</f>
        <v/>
      </c>
      <c r="G34" s="5">
        <f>NORMINV(RAND(), $C$6, $C$7)</f>
        <v/>
      </c>
      <c r="H34" s="5">
        <f>NORMINV(RAND(), $C$6, $C$7)</f>
        <v/>
      </c>
      <c r="J34" t="inlineStr">
        <is>
          <t>2025-10-07</t>
        </is>
      </c>
      <c r="K34" s="7" t="n">
        <v>256.48</v>
      </c>
      <c r="L34" s="5">
        <f>(K34-K33)/K33</f>
        <v/>
      </c>
      <c r="M34" s="5">
        <f>NORMINV(RAND(), $L$6, $L$7)</f>
        <v/>
      </c>
      <c r="N34" s="5">
        <f>NORMINV(RAND(), $L$6, $L$7)</f>
        <v/>
      </c>
      <c r="O34" s="5">
        <f>NORMINV(RAND(), $L$6, $L$7)</f>
        <v/>
      </c>
      <c r="P34" s="5">
        <f>NORMINV(RAND(), $L$6, $L$7)</f>
        <v/>
      </c>
      <c r="Q34" s="5">
        <f>NORMINV(RAND(), $L$6, $L$7)</f>
        <v/>
      </c>
    </row>
    <row r="35">
      <c r="A35" t="inlineStr">
        <is>
          <t>2025-10-08</t>
        </is>
      </c>
      <c r="B35" s="7" t="n">
        <v>245.46</v>
      </c>
      <c r="C35" s="5">
        <f>(B35-B34)/B34</f>
        <v/>
      </c>
      <c r="D35" s="5">
        <f>NORMINV(RAND(), $C$6, $C$7)</f>
        <v/>
      </c>
      <c r="E35" s="5">
        <f>NORMINV(RAND(), $C$6, $C$7)</f>
        <v/>
      </c>
      <c r="F35" s="5">
        <f>NORMINV(RAND(), $C$6, $C$7)</f>
        <v/>
      </c>
      <c r="G35" s="5">
        <f>NORMINV(RAND(), $C$6, $C$7)</f>
        <v/>
      </c>
      <c r="H35" s="5">
        <f>NORMINV(RAND(), $C$6, $C$7)</f>
        <v/>
      </c>
      <c r="J35" t="inlineStr">
        <is>
          <t>2025-10-08</t>
        </is>
      </c>
      <c r="K35" s="7" t="n">
        <v>258.06</v>
      </c>
      <c r="L35" s="5">
        <f>(K35-K34)/K34</f>
        <v/>
      </c>
      <c r="M35" s="5">
        <f>NORMINV(RAND(), $L$6, $L$7)</f>
        <v/>
      </c>
      <c r="N35" s="5">
        <f>NORMINV(RAND(), $L$6, $L$7)</f>
        <v/>
      </c>
      <c r="O35" s="5">
        <f>NORMINV(RAND(), $L$6, $L$7)</f>
        <v/>
      </c>
      <c r="P35" s="5">
        <f>NORMINV(RAND(), $L$6, $L$7)</f>
        <v/>
      </c>
      <c r="Q35" s="5">
        <f>NORMINV(RAND(), $L$6, $L$7)</f>
        <v/>
      </c>
    </row>
    <row r="36">
      <c r="A36" t="inlineStr">
        <is>
          <t>2025-10-09</t>
        </is>
      </c>
      <c r="B36" s="7" t="n">
        <v>242.21</v>
      </c>
      <c r="C36" s="5">
        <f>(B36-B35)/B35</f>
        <v/>
      </c>
      <c r="D36" s="5">
        <f>NORMINV(RAND(), $C$6, $C$7)</f>
        <v/>
      </c>
      <c r="E36" s="5">
        <f>NORMINV(RAND(), $C$6, $C$7)</f>
        <v/>
      </c>
      <c r="F36" s="5">
        <f>NORMINV(RAND(), $C$6, $C$7)</f>
        <v/>
      </c>
      <c r="G36" s="5">
        <f>NORMINV(RAND(), $C$6, $C$7)</f>
        <v/>
      </c>
      <c r="H36" s="5">
        <f>NORMINV(RAND(), $C$6, $C$7)</f>
        <v/>
      </c>
      <c r="J36" t="inlineStr">
        <is>
          <t>2025-10-09</t>
        </is>
      </c>
      <c r="K36" s="7" t="n">
        <v>254.04</v>
      </c>
      <c r="L36" s="5">
        <f>(K36-K35)/K35</f>
        <v/>
      </c>
      <c r="M36" s="5">
        <f>NORMINV(RAND(), $L$6, $L$7)</f>
        <v/>
      </c>
      <c r="N36" s="5">
        <f>NORMINV(RAND(), $L$6, $L$7)</f>
        <v/>
      </c>
      <c r="O36" s="5">
        <f>NORMINV(RAND(), $L$6, $L$7)</f>
        <v/>
      </c>
      <c r="P36" s="5">
        <f>NORMINV(RAND(), $L$6, $L$7)</f>
        <v/>
      </c>
      <c r="Q36" s="5">
        <f>NORMINV(RAND(), $L$6, $L$7)</f>
        <v/>
      </c>
    </row>
    <row r="37">
      <c r="A37" t="inlineStr">
        <is>
          <t>2025-10-10</t>
        </is>
      </c>
      <c r="B37" s="7" t="n">
        <v>237.49</v>
      </c>
      <c r="C37" s="5">
        <f>(B37-B36)/B36</f>
        <v/>
      </c>
      <c r="D37" s="5">
        <f>NORMINV(RAND(), $C$6, $C$7)</f>
        <v/>
      </c>
      <c r="E37" s="5">
        <f>NORMINV(RAND(), $C$6, $C$7)</f>
        <v/>
      </c>
      <c r="F37" s="5">
        <f>NORMINV(RAND(), $C$6, $C$7)</f>
        <v/>
      </c>
      <c r="G37" s="5">
        <f>NORMINV(RAND(), $C$6, $C$7)</f>
        <v/>
      </c>
      <c r="H37" s="5">
        <f>NORMINV(RAND(), $C$6, $C$7)</f>
        <v/>
      </c>
      <c r="J37" t="inlineStr">
        <is>
          <t>2025-10-10</t>
        </is>
      </c>
      <c r="K37" s="7" t="n">
        <v>245.27</v>
      </c>
      <c r="L37" s="5">
        <f>(K37-K36)/K36</f>
        <v/>
      </c>
      <c r="M37" s="5">
        <f>NORMINV(RAND(), $L$6, $L$7)</f>
        <v/>
      </c>
      <c r="N37" s="5">
        <f>NORMINV(RAND(), $L$6, $L$7)</f>
        <v/>
      </c>
      <c r="O37" s="5">
        <f>NORMINV(RAND(), $L$6, $L$7)</f>
        <v/>
      </c>
      <c r="P37" s="5">
        <f>NORMINV(RAND(), $L$6, $L$7)</f>
        <v/>
      </c>
      <c r="Q37" s="5">
        <f>NORMINV(RAND(), $L$6, $L$7)</f>
        <v/>
      </c>
    </row>
    <row r="38">
      <c r="A38" t="inlineStr">
        <is>
          <t>2025-10-13</t>
        </is>
      </c>
      <c r="B38" s="7" t="n">
        <v>244.64</v>
      </c>
      <c r="C38" s="5">
        <f>(B38-B37)/B37</f>
        <v/>
      </c>
      <c r="D38" s="5">
        <f>NORMINV(RAND(), $C$6, $C$7)</f>
        <v/>
      </c>
      <c r="E38" s="5">
        <f>NORMINV(RAND(), $C$6, $C$7)</f>
        <v/>
      </c>
      <c r="F38" s="5">
        <f>NORMINV(RAND(), $C$6, $C$7)</f>
        <v/>
      </c>
      <c r="G38" s="5">
        <f>NORMINV(RAND(), $C$6, $C$7)</f>
        <v/>
      </c>
      <c r="H38" s="5">
        <f>NORMINV(RAND(), $C$6, $C$7)</f>
        <v/>
      </c>
      <c r="J38" t="inlineStr">
        <is>
          <t>2025-10-13</t>
        </is>
      </c>
      <c r="K38" s="7" t="n">
        <v>247.66</v>
      </c>
      <c r="L38" s="5">
        <f>(K38-K37)/K37</f>
        <v/>
      </c>
      <c r="M38" s="5">
        <f>NORMINV(RAND(), $L$6, $L$7)</f>
        <v/>
      </c>
      <c r="N38" s="5">
        <f>NORMINV(RAND(), $L$6, $L$7)</f>
        <v/>
      </c>
      <c r="O38" s="5">
        <f>NORMINV(RAND(), $L$6, $L$7)</f>
        <v/>
      </c>
      <c r="P38" s="5">
        <f>NORMINV(RAND(), $L$6, $L$7)</f>
        <v/>
      </c>
      <c r="Q38" s="5">
        <f>NORMINV(RAND(), $L$6, $L$7)</f>
        <v/>
      </c>
    </row>
    <row r="39">
      <c r="A39" t="inlineStr">
        <is>
          <t>2025-10-14</t>
        </is>
      </c>
      <c r="B39" s="7" t="n">
        <v>246.19</v>
      </c>
      <c r="C39" s="5">
        <f>(B39-B38)/B38</f>
        <v/>
      </c>
      <c r="D39" s="5">
        <f>NORMINV(RAND(), $C$6, $C$7)</f>
        <v/>
      </c>
      <c r="E39" s="5">
        <f>NORMINV(RAND(), $C$6, $C$7)</f>
        <v/>
      </c>
      <c r="F39" s="5">
        <f>NORMINV(RAND(), $C$6, $C$7)</f>
        <v/>
      </c>
      <c r="G39" s="5">
        <f>NORMINV(RAND(), $C$6, $C$7)</f>
        <v/>
      </c>
      <c r="H39" s="5">
        <f>NORMINV(RAND(), $C$6, $C$7)</f>
        <v/>
      </c>
      <c r="J39" t="inlineStr">
        <is>
          <t>2025-10-14</t>
        </is>
      </c>
      <c r="K39" s="7" t="n">
        <v>247.77</v>
      </c>
      <c r="L39" s="5">
        <f>(K39-K38)/K38</f>
        <v/>
      </c>
      <c r="M39" s="5">
        <f>NORMINV(RAND(), $L$6, $L$7)</f>
        <v/>
      </c>
      <c r="N39" s="5">
        <f>NORMINV(RAND(), $L$6, $L$7)</f>
        <v/>
      </c>
      <c r="O39" s="5">
        <f>NORMINV(RAND(), $L$6, $L$7)</f>
        <v/>
      </c>
      <c r="P39" s="5">
        <f>NORMINV(RAND(), $L$6, $L$7)</f>
        <v/>
      </c>
      <c r="Q39" s="5">
        <f>NORMINV(RAND(), $L$6, $L$7)</f>
        <v/>
      </c>
    </row>
    <row r="40">
      <c r="A40" t="inlineStr">
        <is>
          <t>2025-10-15</t>
        </is>
      </c>
      <c r="B40" s="7" t="n">
        <v>251.71</v>
      </c>
      <c r="C40" s="5">
        <f>(B40-B39)/B39</f>
        <v/>
      </c>
      <c r="D40" s="5">
        <f>NORMINV(RAND(), $C$6, $C$7)</f>
        <v/>
      </c>
      <c r="E40" s="5">
        <f>NORMINV(RAND(), $C$6, $C$7)</f>
        <v/>
      </c>
      <c r="F40" s="5">
        <f>NORMINV(RAND(), $C$6, $C$7)</f>
        <v/>
      </c>
      <c r="G40" s="5">
        <f>NORMINV(RAND(), $C$6, $C$7)</f>
        <v/>
      </c>
      <c r="H40" s="5">
        <f>NORMINV(RAND(), $C$6, $C$7)</f>
        <v/>
      </c>
      <c r="J40" t="inlineStr">
        <is>
          <t>2025-10-15</t>
        </is>
      </c>
      <c r="K40" s="7" t="n">
        <v>249.34</v>
      </c>
      <c r="L40" s="5">
        <f>(K40-K39)/K39</f>
        <v/>
      </c>
      <c r="M40" s="5">
        <f>NORMINV(RAND(), $L$6, $L$7)</f>
        <v/>
      </c>
      <c r="N40" s="5">
        <f>NORMINV(RAND(), $L$6, $L$7)</f>
        <v/>
      </c>
      <c r="O40" s="5">
        <f>NORMINV(RAND(), $L$6, $L$7)</f>
        <v/>
      </c>
      <c r="P40" s="5">
        <f>NORMINV(RAND(), $L$6, $L$7)</f>
        <v/>
      </c>
      <c r="Q40" s="5">
        <f>NORMINV(RAND(), $L$6, $L$7)</f>
        <v/>
      </c>
    </row>
    <row r="41">
      <c r="A41" t="inlineStr">
        <is>
          <t>2025-10-16</t>
        </is>
      </c>
      <c r="B41" s="7" t="n">
        <v>251.88</v>
      </c>
      <c r="C41" s="5">
        <f>(B41-B40)/B40</f>
        <v/>
      </c>
      <c r="D41" s="5">
        <f>NORMINV(RAND(), $C$6, $C$7)</f>
        <v/>
      </c>
      <c r="E41" s="5">
        <f>NORMINV(RAND(), $C$6, $C$7)</f>
        <v/>
      </c>
      <c r="F41" s="5">
        <f>NORMINV(RAND(), $C$6, $C$7)</f>
        <v/>
      </c>
      <c r="G41" s="5">
        <f>NORMINV(RAND(), $C$6, $C$7)</f>
        <v/>
      </c>
      <c r="H41" s="5">
        <f>NORMINV(RAND(), $C$6, $C$7)</f>
        <v/>
      </c>
      <c r="J41" t="inlineStr">
        <is>
          <t>2025-10-16</t>
        </is>
      </c>
      <c r="K41" s="7" t="n">
        <v>247.45</v>
      </c>
      <c r="L41" s="5">
        <f>(K41-K40)/K40</f>
        <v/>
      </c>
      <c r="M41" s="5">
        <f>NORMINV(RAND(), $L$6, $L$7)</f>
        <v/>
      </c>
      <c r="N41" s="5">
        <f>NORMINV(RAND(), $L$6, $L$7)</f>
        <v/>
      </c>
      <c r="O41" s="5">
        <f>NORMINV(RAND(), $L$6, $L$7)</f>
        <v/>
      </c>
      <c r="P41" s="5">
        <f>NORMINV(RAND(), $L$6, $L$7)</f>
        <v/>
      </c>
      <c r="Q41" s="5">
        <f>NORMINV(RAND(), $L$6, $L$7)</f>
        <v/>
      </c>
    </row>
    <row r="42">
      <c r="A42" t="inlineStr">
        <is>
          <t>2025-10-17</t>
        </is>
      </c>
      <c r="B42" s="7" t="n">
        <v>253.79</v>
      </c>
      <c r="C42" s="5">
        <f>(B42-B41)/B41</f>
        <v/>
      </c>
      <c r="D42" s="5">
        <f>NORMINV(RAND(), $C$6, $C$7)</f>
        <v/>
      </c>
      <c r="E42" s="5">
        <f>NORMINV(RAND(), $C$6, $C$7)</f>
        <v/>
      </c>
      <c r="F42" s="5">
        <f>NORMINV(RAND(), $C$6, $C$7)</f>
        <v/>
      </c>
      <c r="G42" s="5">
        <f>NORMINV(RAND(), $C$6, $C$7)</f>
        <v/>
      </c>
      <c r="H42" s="5">
        <f>NORMINV(RAND(), $C$6, $C$7)</f>
        <v/>
      </c>
      <c r="J42" t="inlineStr">
        <is>
          <t>2025-10-17</t>
        </is>
      </c>
      <c r="K42" s="7" t="n">
        <v>252.29</v>
      </c>
      <c r="L42" s="5">
        <f>(K42-K41)/K41</f>
        <v/>
      </c>
      <c r="M42" s="5">
        <f>NORMINV(RAND(), $L$6, $L$7)</f>
        <v/>
      </c>
      <c r="N42" s="5">
        <f>NORMINV(RAND(), $L$6, $L$7)</f>
        <v/>
      </c>
      <c r="O42" s="5">
        <f>NORMINV(RAND(), $L$6, $L$7)</f>
        <v/>
      </c>
      <c r="P42" s="5">
        <f>NORMINV(RAND(), $L$6, $L$7)</f>
        <v/>
      </c>
      <c r="Q42" s="5">
        <f>NORMINV(RAND(), $L$6, $L$7)</f>
        <v/>
      </c>
    </row>
    <row r="43">
      <c r="A43" t="inlineStr">
        <is>
          <t>2025-10-20</t>
        </is>
      </c>
      <c r="B43" s="7" t="n">
        <v>257.02</v>
      </c>
      <c r="C43" s="5">
        <f>(B43-B42)/B42</f>
        <v/>
      </c>
      <c r="D43" s="5">
        <f>NORMINV(RAND(), $C$6, $C$7)</f>
        <v/>
      </c>
      <c r="E43" s="5">
        <f>NORMINV(RAND(), $C$6, $C$7)</f>
        <v/>
      </c>
      <c r="F43" s="5">
        <f>NORMINV(RAND(), $C$6, $C$7)</f>
        <v/>
      </c>
      <c r="G43" s="5">
        <f>NORMINV(RAND(), $C$6, $C$7)</f>
        <v/>
      </c>
      <c r="H43" s="5">
        <f>NORMINV(RAND(), $C$6, $C$7)</f>
        <v/>
      </c>
      <c r="J43" t="inlineStr">
        <is>
          <t>2025-10-20</t>
        </is>
      </c>
      <c r="K43" s="7" t="n">
        <v>262.24</v>
      </c>
      <c r="L43" s="5">
        <f>(K43-K42)/K42</f>
        <v/>
      </c>
      <c r="M43" s="5">
        <f>NORMINV(RAND(), $L$6, $L$7)</f>
        <v/>
      </c>
      <c r="N43" s="5">
        <f>NORMINV(RAND(), $L$6, $L$7)</f>
        <v/>
      </c>
      <c r="O43" s="5">
        <f>NORMINV(RAND(), $L$6, $L$7)</f>
        <v/>
      </c>
      <c r="P43" s="5">
        <f>NORMINV(RAND(), $L$6, $L$7)</f>
        <v/>
      </c>
      <c r="Q43" s="5">
        <f>NORMINV(RAND(), $L$6, $L$7)</f>
        <v/>
      </c>
    </row>
    <row r="44">
      <c r="A44" t="inlineStr">
        <is>
          <t>2025-10-21</t>
        </is>
      </c>
      <c r="B44" s="7" t="n">
        <v>251.34</v>
      </c>
      <c r="C44" s="5">
        <f>(B44-B43)/B43</f>
        <v/>
      </c>
      <c r="D44" s="5">
        <f>NORMINV(RAND(), $C$6, $C$7)</f>
        <v/>
      </c>
      <c r="E44" s="5">
        <f>NORMINV(RAND(), $C$6, $C$7)</f>
        <v/>
      </c>
      <c r="F44" s="5">
        <f>NORMINV(RAND(), $C$6, $C$7)</f>
        <v/>
      </c>
      <c r="G44" s="5">
        <f>NORMINV(RAND(), $C$6, $C$7)</f>
        <v/>
      </c>
      <c r="H44" s="5">
        <f>NORMINV(RAND(), $C$6, $C$7)</f>
        <v/>
      </c>
      <c r="J44" t="inlineStr">
        <is>
          <t>2025-10-21</t>
        </is>
      </c>
      <c r="K44" s="7" t="n">
        <v>262.77</v>
      </c>
      <c r="L44" s="5">
        <f>(K44-K43)/K43</f>
        <v/>
      </c>
      <c r="M44" s="5">
        <f>NORMINV(RAND(), $L$6, $L$7)</f>
        <v/>
      </c>
      <c r="N44" s="5">
        <f>NORMINV(RAND(), $L$6, $L$7)</f>
        <v/>
      </c>
      <c r="O44" s="5">
        <f>NORMINV(RAND(), $L$6, $L$7)</f>
        <v/>
      </c>
      <c r="P44" s="5">
        <f>NORMINV(RAND(), $L$6, $L$7)</f>
        <v/>
      </c>
      <c r="Q44" s="5">
        <f>NORMINV(RAND(), $L$6, $L$7)</f>
        <v/>
      </c>
    </row>
    <row r="45">
      <c r="A45" t="inlineStr">
        <is>
          <t>2025-10-22</t>
        </is>
      </c>
      <c r="B45" s="7" t="n">
        <v>252.53</v>
      </c>
      <c r="C45" s="5">
        <f>(B45-B44)/B44</f>
        <v/>
      </c>
      <c r="D45" s="5">
        <f>NORMINV(RAND(), $C$6, $C$7)</f>
        <v/>
      </c>
      <c r="E45" s="5">
        <f>NORMINV(RAND(), $C$6, $C$7)</f>
        <v/>
      </c>
      <c r="F45" s="5">
        <f>NORMINV(RAND(), $C$6, $C$7)</f>
        <v/>
      </c>
      <c r="G45" s="5">
        <f>NORMINV(RAND(), $C$6, $C$7)</f>
        <v/>
      </c>
      <c r="H45" s="5">
        <f>NORMINV(RAND(), $C$6, $C$7)</f>
        <v/>
      </c>
      <c r="J45" t="inlineStr">
        <is>
          <t>2025-10-22</t>
        </is>
      </c>
      <c r="K45" s="7" t="n">
        <v>258.45</v>
      </c>
      <c r="L45" s="5">
        <f>(K45-K44)/K44</f>
        <v/>
      </c>
      <c r="M45" s="5">
        <f>NORMINV(RAND(), $L$6, $L$7)</f>
        <v/>
      </c>
      <c r="N45" s="5">
        <f>NORMINV(RAND(), $L$6, $L$7)</f>
        <v/>
      </c>
      <c r="O45" s="5">
        <f>NORMINV(RAND(), $L$6, $L$7)</f>
        <v/>
      </c>
      <c r="P45" s="5">
        <f>NORMINV(RAND(), $L$6, $L$7)</f>
        <v/>
      </c>
      <c r="Q45" s="5">
        <f>NORMINV(RAND(), $L$6, $L$7)</f>
        <v/>
      </c>
    </row>
    <row r="46">
      <c r="A46" t="inlineStr">
        <is>
          <t>2025-10-23</t>
        </is>
      </c>
      <c r="B46" s="7" t="n">
        <v>253.73</v>
      </c>
      <c r="C46" s="5">
        <f>(B46-B45)/B45</f>
        <v/>
      </c>
      <c r="D46" s="5">
        <f>NORMINV(RAND(), $C$6, $C$7)</f>
        <v/>
      </c>
      <c r="E46" s="5">
        <f>NORMINV(RAND(), $C$6, $C$7)</f>
        <v/>
      </c>
      <c r="F46" s="5">
        <f>NORMINV(RAND(), $C$6, $C$7)</f>
        <v/>
      </c>
      <c r="G46" s="5">
        <f>NORMINV(RAND(), $C$6, $C$7)</f>
        <v/>
      </c>
      <c r="H46" s="5">
        <f>NORMINV(RAND(), $C$6, $C$7)</f>
        <v/>
      </c>
      <c r="J46" t="inlineStr">
        <is>
          <t>2025-10-23</t>
        </is>
      </c>
      <c r="K46" s="7" t="n">
        <v>259.58</v>
      </c>
      <c r="L46" s="5">
        <f>(K46-K45)/K45</f>
        <v/>
      </c>
      <c r="M46" s="5">
        <f>NORMINV(RAND(), $L$6, $L$7)</f>
        <v/>
      </c>
      <c r="N46" s="5">
        <f>NORMINV(RAND(), $L$6, $L$7)</f>
        <v/>
      </c>
      <c r="O46" s="5">
        <f>NORMINV(RAND(), $L$6, $L$7)</f>
        <v/>
      </c>
      <c r="P46" s="5">
        <f>NORMINV(RAND(), $L$6, $L$7)</f>
        <v/>
      </c>
      <c r="Q46" s="5">
        <f>NORMINV(RAND(), $L$6, $L$7)</f>
        <v/>
      </c>
    </row>
    <row r="47">
      <c r="A47" t="inlineStr">
        <is>
          <t>2025-10-24</t>
        </is>
      </c>
      <c r="B47" s="7" t="n">
        <v>260.51</v>
      </c>
      <c r="C47" s="5">
        <f>(B47-B46)/B46</f>
        <v/>
      </c>
      <c r="D47" s="5">
        <f>NORMINV(RAND(), $C$6, $C$7)</f>
        <v/>
      </c>
      <c r="E47" s="5">
        <f>NORMINV(RAND(), $C$6, $C$7)</f>
        <v/>
      </c>
      <c r="F47" s="5">
        <f>NORMINV(RAND(), $C$6, $C$7)</f>
        <v/>
      </c>
      <c r="G47" s="5">
        <f>NORMINV(RAND(), $C$6, $C$7)</f>
        <v/>
      </c>
      <c r="H47" s="5">
        <f>NORMINV(RAND(), $C$6, $C$7)</f>
        <v/>
      </c>
      <c r="J47" t="inlineStr">
        <is>
          <t>2025-10-24</t>
        </is>
      </c>
      <c r="K47" s="7" t="n">
        <v>262.82</v>
      </c>
      <c r="L47" s="5">
        <f>(K47-K46)/K46</f>
        <v/>
      </c>
      <c r="M47" s="5">
        <f>NORMINV(RAND(), $L$6, $L$7)</f>
        <v/>
      </c>
      <c r="N47" s="5">
        <f>NORMINV(RAND(), $L$6, $L$7)</f>
        <v/>
      </c>
      <c r="O47" s="5">
        <f>NORMINV(RAND(), $L$6, $L$7)</f>
        <v/>
      </c>
      <c r="P47" s="5">
        <f>NORMINV(RAND(), $L$6, $L$7)</f>
        <v/>
      </c>
      <c r="Q47" s="5">
        <f>NORMINV(RAND(), $L$6, $L$7)</f>
        <v/>
      </c>
    </row>
    <row r="48">
      <c r="A48" t="inlineStr">
        <is>
          <t>2025-10-27</t>
        </is>
      </c>
      <c r="B48" s="7" t="n">
        <v>269.93</v>
      </c>
      <c r="C48" s="5">
        <f>(B48-B47)/B47</f>
        <v/>
      </c>
      <c r="D48" s="5">
        <f>NORMINV(RAND(), $C$6, $C$7)</f>
        <v/>
      </c>
      <c r="E48" s="5">
        <f>NORMINV(RAND(), $C$6, $C$7)</f>
        <v/>
      </c>
      <c r="F48" s="5">
        <f>NORMINV(RAND(), $C$6, $C$7)</f>
        <v/>
      </c>
      <c r="G48" s="5">
        <f>NORMINV(RAND(), $C$6, $C$7)</f>
        <v/>
      </c>
      <c r="H48" s="5">
        <f>NORMINV(RAND(), $C$6, $C$7)</f>
        <v/>
      </c>
      <c r="J48" t="inlineStr">
        <is>
          <t>2025-10-27</t>
        </is>
      </c>
      <c r="K48" s="7" t="n">
        <v>268.81</v>
      </c>
      <c r="L48" s="5">
        <f>(K48-K47)/K47</f>
        <v/>
      </c>
      <c r="M48" s="5">
        <f>NORMINV(RAND(), $L$6, $L$7)</f>
        <v/>
      </c>
      <c r="N48" s="5">
        <f>NORMINV(RAND(), $L$6, $L$7)</f>
        <v/>
      </c>
      <c r="O48" s="5">
        <f>NORMINV(RAND(), $L$6, $L$7)</f>
        <v/>
      </c>
      <c r="P48" s="5">
        <f>NORMINV(RAND(), $L$6, $L$7)</f>
        <v/>
      </c>
      <c r="Q48" s="5">
        <f>NORMINV(RAND(), $L$6, $L$7)</f>
        <v/>
      </c>
    </row>
    <row r="49">
      <c r="A49" t="inlineStr">
        <is>
          <t>2025-10-28</t>
        </is>
      </c>
      <c r="B49" s="7" t="n">
        <v>268.43</v>
      </c>
      <c r="C49" s="5">
        <f>(B49-B48)/B48</f>
        <v/>
      </c>
      <c r="D49" s="5">
        <f>NORMINV(RAND(), $C$6, $C$7)</f>
        <v/>
      </c>
      <c r="E49" s="5">
        <f>NORMINV(RAND(), $C$6, $C$7)</f>
        <v/>
      </c>
      <c r="F49" s="5">
        <f>NORMINV(RAND(), $C$6, $C$7)</f>
        <v/>
      </c>
      <c r="G49" s="5">
        <f>NORMINV(RAND(), $C$6, $C$7)</f>
        <v/>
      </c>
      <c r="H49" s="5">
        <f>NORMINV(RAND(), $C$6, $C$7)</f>
        <v/>
      </c>
      <c r="J49" t="inlineStr">
        <is>
          <t>2025-10-28</t>
        </is>
      </c>
      <c r="K49" s="7" t="n">
        <v>269</v>
      </c>
      <c r="L49" s="5">
        <f>(K49-K48)/K48</f>
        <v/>
      </c>
      <c r="M49" s="5">
        <f>NORMINV(RAND(), $L$6, $L$7)</f>
        <v/>
      </c>
      <c r="N49" s="5">
        <f>NORMINV(RAND(), $L$6, $L$7)</f>
        <v/>
      </c>
      <c r="O49" s="5">
        <f>NORMINV(RAND(), $L$6, $L$7)</f>
        <v/>
      </c>
      <c r="P49" s="5">
        <f>NORMINV(RAND(), $L$6, $L$7)</f>
        <v/>
      </c>
      <c r="Q49" s="5">
        <f>NORMINV(RAND(), $L$6, $L$7)</f>
        <v/>
      </c>
    </row>
    <row r="50">
      <c r="A50" t="inlineStr">
        <is>
          <t>2025-10-29</t>
        </is>
      </c>
      <c r="B50" s="7" t="n">
        <v>275.17</v>
      </c>
      <c r="C50" s="5">
        <f>(B50-B49)/B49</f>
        <v/>
      </c>
      <c r="D50" s="5">
        <f>NORMINV(RAND(), $C$6, $C$7)</f>
        <v/>
      </c>
      <c r="E50" s="5">
        <f>NORMINV(RAND(), $C$6, $C$7)</f>
        <v/>
      </c>
      <c r="F50" s="5">
        <f>NORMINV(RAND(), $C$6, $C$7)</f>
        <v/>
      </c>
      <c r="G50" s="5">
        <f>NORMINV(RAND(), $C$6, $C$7)</f>
        <v/>
      </c>
      <c r="H50" s="5">
        <f>NORMINV(RAND(), $C$6, $C$7)</f>
        <v/>
      </c>
      <c r="J50" t="inlineStr">
        <is>
          <t>2025-10-29</t>
        </is>
      </c>
      <c r="K50" s="7" t="n">
        <v>269.7</v>
      </c>
      <c r="L50" s="5">
        <f>(K50-K49)/K49</f>
        <v/>
      </c>
      <c r="M50" s="5">
        <f>NORMINV(RAND(), $L$6, $L$7)</f>
        <v/>
      </c>
      <c r="N50" s="5">
        <f>NORMINV(RAND(), $L$6, $L$7)</f>
        <v/>
      </c>
      <c r="O50" s="5">
        <f>NORMINV(RAND(), $L$6, $L$7)</f>
        <v/>
      </c>
      <c r="P50" s="5">
        <f>NORMINV(RAND(), $L$6, $L$7)</f>
        <v/>
      </c>
      <c r="Q50" s="5">
        <f>NORMINV(RAND(), $L$6, $L$7)</f>
        <v/>
      </c>
    </row>
    <row r="51">
      <c r="A51" t="inlineStr">
        <is>
          <t>2025-10-30</t>
        </is>
      </c>
      <c r="B51" s="7" t="n">
        <v>281.9</v>
      </c>
      <c r="C51" s="5">
        <f>(B51-B50)/B50</f>
        <v/>
      </c>
      <c r="D51" s="5">
        <f>NORMINV(RAND(), $C$6, $C$7)</f>
        <v/>
      </c>
      <c r="E51" s="5">
        <f>NORMINV(RAND(), $C$6, $C$7)</f>
        <v/>
      </c>
      <c r="F51" s="5">
        <f>NORMINV(RAND(), $C$6, $C$7)</f>
        <v/>
      </c>
      <c r="G51" s="5">
        <f>NORMINV(RAND(), $C$6, $C$7)</f>
        <v/>
      </c>
      <c r="H51" s="5">
        <f>NORMINV(RAND(), $C$6, $C$7)</f>
        <v/>
      </c>
      <c r="J51" t="inlineStr">
        <is>
          <t>2025-10-30</t>
        </is>
      </c>
      <c r="K51" s="7" t="n">
        <v>271.4</v>
      </c>
      <c r="L51" s="5">
        <f>(K51-K50)/K50</f>
        <v/>
      </c>
      <c r="M51" s="5">
        <f>NORMINV(RAND(), $L$6, $L$7)</f>
        <v/>
      </c>
      <c r="N51" s="5">
        <f>NORMINV(RAND(), $L$6, $L$7)</f>
        <v/>
      </c>
      <c r="O51" s="5">
        <f>NORMINV(RAND(), $L$6, $L$7)</f>
        <v/>
      </c>
      <c r="P51" s="5">
        <f>NORMINV(RAND(), $L$6, $L$7)</f>
        <v/>
      </c>
      <c r="Q51" s="5">
        <f>NORMINV(RAND(), $L$6, $L$7)</f>
        <v/>
      </c>
    </row>
    <row r="52">
      <c r="A52" t="inlineStr">
        <is>
          <t>2025-10-31</t>
        </is>
      </c>
      <c r="B52" s="7" t="n">
        <v>281.82</v>
      </c>
      <c r="C52" s="5">
        <f>(B52-B51)/B51</f>
        <v/>
      </c>
      <c r="D52" s="5">
        <f>NORMINV(RAND(), $C$6, $C$7)</f>
        <v/>
      </c>
      <c r="E52" s="5">
        <f>NORMINV(RAND(), $C$6, $C$7)</f>
        <v/>
      </c>
      <c r="F52" s="5">
        <f>NORMINV(RAND(), $C$6, $C$7)</f>
        <v/>
      </c>
      <c r="G52" s="5">
        <f>NORMINV(RAND(), $C$6, $C$7)</f>
        <v/>
      </c>
      <c r="H52" s="5">
        <f>NORMINV(RAND(), $C$6, $C$7)</f>
        <v/>
      </c>
      <c r="J52" t="inlineStr">
        <is>
          <t>2025-10-31</t>
        </is>
      </c>
      <c r="K52" s="7" t="n">
        <v>270.37</v>
      </c>
      <c r="L52" s="5">
        <f>(K52-K51)/K51</f>
        <v/>
      </c>
      <c r="M52" s="5">
        <f>NORMINV(RAND(), $L$6, $L$7)</f>
        <v/>
      </c>
      <c r="N52" s="5">
        <f>NORMINV(RAND(), $L$6, $L$7)</f>
        <v/>
      </c>
      <c r="O52" s="5">
        <f>NORMINV(RAND(), $L$6, $L$7)</f>
        <v/>
      </c>
      <c r="P52" s="5">
        <f>NORMINV(RAND(), $L$6, $L$7)</f>
        <v/>
      </c>
      <c r="Q52" s="5">
        <f>NORMINV(RAND(), $L$6, $L$7)</f>
        <v/>
      </c>
    </row>
    <row r="53">
      <c r="A53" t="inlineStr">
        <is>
          <t>2025-11-03</t>
        </is>
      </c>
      <c r="B53" s="7" t="n">
        <v>284.12</v>
      </c>
      <c r="C53" s="5">
        <f>(B53-B52)/B52</f>
        <v/>
      </c>
      <c r="D53" s="5">
        <f>NORMINV(RAND(), $C$6, $C$7)</f>
        <v/>
      </c>
      <c r="E53" s="5">
        <f>NORMINV(RAND(), $C$6, $C$7)</f>
        <v/>
      </c>
      <c r="F53" s="5">
        <f>NORMINV(RAND(), $C$6, $C$7)</f>
        <v/>
      </c>
      <c r="G53" s="5">
        <f>NORMINV(RAND(), $C$6, $C$7)</f>
        <v/>
      </c>
      <c r="H53" s="5">
        <f>NORMINV(RAND(), $C$6, $C$7)</f>
        <v/>
      </c>
      <c r="J53" t="inlineStr">
        <is>
          <t>2025-11-03</t>
        </is>
      </c>
      <c r="K53" s="7" t="n">
        <v>269.05</v>
      </c>
      <c r="L53" s="5">
        <f>(K53-K52)/K52</f>
        <v/>
      </c>
      <c r="M53" s="5">
        <f>NORMINV(RAND(), $L$6, $L$7)</f>
        <v/>
      </c>
      <c r="N53" s="5">
        <f>NORMINV(RAND(), $L$6, $L$7)</f>
        <v/>
      </c>
      <c r="O53" s="5">
        <f>NORMINV(RAND(), $L$6, $L$7)</f>
        <v/>
      </c>
      <c r="P53" s="5">
        <f>NORMINV(RAND(), $L$6, $L$7)</f>
        <v/>
      </c>
      <c r="Q53" s="5">
        <f>NORMINV(RAND(), $L$6, $L$7)</f>
        <v/>
      </c>
    </row>
    <row r="54">
      <c r="A54" t="inlineStr">
        <is>
          <t>2025-11-04</t>
        </is>
      </c>
      <c r="B54" s="7" t="n">
        <v>278.06</v>
      </c>
      <c r="C54" s="5">
        <f>(B54-B53)/B53</f>
        <v/>
      </c>
      <c r="D54" s="5">
        <f>NORMINV(RAND(), $C$6, $C$7)</f>
        <v/>
      </c>
      <c r="E54" s="5">
        <f>NORMINV(RAND(), $C$6, $C$7)</f>
        <v/>
      </c>
      <c r="F54" s="5">
        <f>NORMINV(RAND(), $C$6, $C$7)</f>
        <v/>
      </c>
      <c r="G54" s="5">
        <f>NORMINV(RAND(), $C$6, $C$7)</f>
        <v/>
      </c>
      <c r="H54" s="5">
        <f>NORMINV(RAND(), $C$6, $C$7)</f>
        <v/>
      </c>
      <c r="J54" t="inlineStr">
        <is>
          <t>2025-11-04</t>
        </is>
      </c>
      <c r="K54" s="7" t="n">
        <v>270.04</v>
      </c>
      <c r="L54" s="5">
        <f>(K54-K53)/K53</f>
        <v/>
      </c>
      <c r="M54" s="5">
        <f>NORMINV(RAND(), $L$6, $L$7)</f>
        <v/>
      </c>
      <c r="N54" s="5">
        <f>NORMINV(RAND(), $L$6, $L$7)</f>
        <v/>
      </c>
      <c r="O54" s="5">
        <f>NORMINV(RAND(), $L$6, $L$7)</f>
        <v/>
      </c>
      <c r="P54" s="5">
        <f>NORMINV(RAND(), $L$6, $L$7)</f>
        <v/>
      </c>
      <c r="Q54" s="5">
        <f>NORMINV(RAND(), $L$6, $L$7)</f>
        <v/>
      </c>
    </row>
    <row r="55">
      <c r="A55" t="inlineStr">
        <is>
          <t>2025-11-05</t>
        </is>
      </c>
      <c r="B55" s="7" t="n">
        <v>284.75</v>
      </c>
      <c r="C55" s="5">
        <f>(B55-B54)/B54</f>
        <v/>
      </c>
      <c r="D55" s="5">
        <f>NORMINV(RAND(), $C$6, $C$7)</f>
        <v/>
      </c>
      <c r="E55" s="5">
        <f>NORMINV(RAND(), $C$6, $C$7)</f>
        <v/>
      </c>
      <c r="F55" s="5">
        <f>NORMINV(RAND(), $C$6, $C$7)</f>
        <v/>
      </c>
      <c r="G55" s="5">
        <f>NORMINV(RAND(), $C$6, $C$7)</f>
        <v/>
      </c>
      <c r="H55" s="5">
        <f>NORMINV(RAND(), $C$6, $C$7)</f>
        <v/>
      </c>
      <c r="J55" t="inlineStr">
        <is>
          <t>2025-11-05</t>
        </is>
      </c>
      <c r="K55" s="7" t="n">
        <v>270.14</v>
      </c>
      <c r="L55" s="5">
        <f>(K55-K54)/K54</f>
        <v/>
      </c>
      <c r="M55" s="5">
        <f>NORMINV(RAND(), $L$6, $L$7)</f>
        <v/>
      </c>
      <c r="N55" s="5">
        <f>NORMINV(RAND(), $L$6, $L$7)</f>
        <v/>
      </c>
      <c r="O55" s="5">
        <f>NORMINV(RAND(), $L$6, $L$7)</f>
        <v/>
      </c>
      <c r="P55" s="5">
        <f>NORMINV(RAND(), $L$6, $L$7)</f>
        <v/>
      </c>
      <c r="Q55" s="5">
        <f>NORMINV(RAND(), $L$6, $L$7)</f>
        <v/>
      </c>
    </row>
    <row r="56">
      <c r="A56" t="inlineStr">
        <is>
          <t>2025-11-06</t>
        </is>
      </c>
      <c r="B56" s="7" t="n">
        <v>285.34</v>
      </c>
      <c r="C56" s="5">
        <f>(B56-B55)/B55</f>
        <v/>
      </c>
      <c r="D56" s="5">
        <f>NORMINV(RAND(), $C$6, $C$7)</f>
        <v/>
      </c>
      <c r="E56" s="5">
        <f>NORMINV(RAND(), $C$6, $C$7)</f>
        <v/>
      </c>
      <c r="F56" s="5">
        <f>NORMINV(RAND(), $C$6, $C$7)</f>
        <v/>
      </c>
      <c r="G56" s="5">
        <f>NORMINV(RAND(), $C$6, $C$7)</f>
        <v/>
      </c>
      <c r="H56" s="5">
        <f>NORMINV(RAND(), $C$6, $C$7)</f>
        <v/>
      </c>
      <c r="J56" t="inlineStr">
        <is>
          <t>2025-11-06</t>
        </is>
      </c>
      <c r="K56" s="7" t="n">
        <v>269.77</v>
      </c>
      <c r="L56" s="5">
        <f>(K56-K55)/K55</f>
        <v/>
      </c>
      <c r="M56" s="5">
        <f>NORMINV(RAND(), $L$6, $L$7)</f>
        <v/>
      </c>
      <c r="N56" s="5">
        <f>NORMINV(RAND(), $L$6, $L$7)</f>
        <v/>
      </c>
      <c r="O56" s="5">
        <f>NORMINV(RAND(), $L$6, $L$7)</f>
        <v/>
      </c>
      <c r="P56" s="5">
        <f>NORMINV(RAND(), $L$6, $L$7)</f>
        <v/>
      </c>
      <c r="Q56" s="5">
        <f>NORMINV(RAND(), $L$6, $L$7)</f>
        <v/>
      </c>
    </row>
    <row r="57">
      <c r="A57" t="inlineStr">
        <is>
          <t>2025-11-07</t>
        </is>
      </c>
      <c r="B57" s="7" t="n">
        <v>279.7</v>
      </c>
      <c r="C57" s="5">
        <f>(B57-B56)/B56</f>
        <v/>
      </c>
      <c r="D57" s="5">
        <f>NORMINV(RAND(), $C$6, $C$7)</f>
        <v/>
      </c>
      <c r="E57" s="5">
        <f>NORMINV(RAND(), $C$6, $C$7)</f>
        <v/>
      </c>
      <c r="F57" s="5">
        <f>NORMINV(RAND(), $C$6, $C$7)</f>
        <v/>
      </c>
      <c r="G57" s="5">
        <f>NORMINV(RAND(), $C$6, $C$7)</f>
        <v/>
      </c>
      <c r="H57" s="5">
        <f>NORMINV(RAND(), $C$6, $C$7)</f>
        <v/>
      </c>
      <c r="J57" t="inlineStr">
        <is>
          <t>2025-11-07</t>
        </is>
      </c>
      <c r="K57" s="7" t="n">
        <v>268.47</v>
      </c>
      <c r="L57" s="5">
        <f>(K57-K56)/K56</f>
        <v/>
      </c>
      <c r="M57" s="5">
        <f>NORMINV(RAND(), $L$6, $L$7)</f>
        <v/>
      </c>
      <c r="N57" s="5">
        <f>NORMINV(RAND(), $L$6, $L$7)</f>
        <v/>
      </c>
      <c r="O57" s="5">
        <f>NORMINV(RAND(), $L$6, $L$7)</f>
        <v/>
      </c>
      <c r="P57" s="5">
        <f>NORMINV(RAND(), $L$6, $L$7)</f>
        <v/>
      </c>
      <c r="Q57" s="5">
        <f>NORMINV(RAND(), $L$6, $L$7)</f>
        <v/>
      </c>
    </row>
    <row r="58">
      <c r="A58" t="inlineStr">
        <is>
          <t>2025-11-10</t>
        </is>
      </c>
      <c r="B58" s="7" t="n">
        <v>290.59</v>
      </c>
      <c r="C58" s="5">
        <f>(B58-B57)/B57</f>
        <v/>
      </c>
      <c r="D58" s="5">
        <f>NORMINV(RAND(), $C$6, $C$7)</f>
        <v/>
      </c>
      <c r="E58" s="5">
        <f>NORMINV(RAND(), $C$6, $C$7)</f>
        <v/>
      </c>
      <c r="F58" s="5">
        <f>NORMINV(RAND(), $C$6, $C$7)</f>
        <v/>
      </c>
      <c r="G58" s="5">
        <f>NORMINV(RAND(), $C$6, $C$7)</f>
        <v/>
      </c>
      <c r="H58" s="5">
        <f>NORMINV(RAND(), $C$6, $C$7)</f>
        <v/>
      </c>
      <c r="J58" t="inlineStr">
        <is>
          <t>2025-11-10</t>
        </is>
      </c>
      <c r="K58" s="7" t="n">
        <v>269.43</v>
      </c>
      <c r="L58" s="5">
        <f>(K58-K57)/K57</f>
        <v/>
      </c>
      <c r="M58" s="5">
        <f>NORMINV(RAND(), $L$6, $L$7)</f>
        <v/>
      </c>
      <c r="N58" s="5">
        <f>NORMINV(RAND(), $L$6, $L$7)</f>
        <v/>
      </c>
      <c r="O58" s="5">
        <f>NORMINV(RAND(), $L$6, $L$7)</f>
        <v/>
      </c>
      <c r="P58" s="5">
        <f>NORMINV(RAND(), $L$6, $L$7)</f>
        <v/>
      </c>
      <c r="Q58" s="5">
        <f>NORMINV(RAND(), $L$6, $L$7)</f>
        <v/>
      </c>
    </row>
    <row r="59">
      <c r="A59" t="inlineStr">
        <is>
          <t>2025-11-11</t>
        </is>
      </c>
      <c r="B59" s="7" t="n">
        <v>291.74</v>
      </c>
      <c r="C59" s="5">
        <f>(B59-B58)/B58</f>
        <v/>
      </c>
      <c r="D59" s="5">
        <f>NORMINV(RAND(), $C$6, $C$7)</f>
        <v/>
      </c>
      <c r="E59" s="5">
        <f>NORMINV(RAND(), $C$6, $C$7)</f>
        <v/>
      </c>
      <c r="F59" s="5">
        <f>NORMINV(RAND(), $C$6, $C$7)</f>
        <v/>
      </c>
      <c r="G59" s="5">
        <f>NORMINV(RAND(), $C$6, $C$7)</f>
        <v/>
      </c>
      <c r="H59" s="5">
        <f>NORMINV(RAND(), $C$6, $C$7)</f>
        <v/>
      </c>
      <c r="J59" t="inlineStr">
        <is>
          <t>2025-11-11</t>
        </is>
      </c>
      <c r="K59" s="7" t="n">
        <v>275.25</v>
      </c>
      <c r="L59" s="5">
        <f>(K59-K58)/K58</f>
        <v/>
      </c>
      <c r="M59" s="5">
        <f>NORMINV(RAND(), $L$6, $L$7)</f>
        <v/>
      </c>
      <c r="N59" s="5">
        <f>NORMINV(RAND(), $L$6, $L$7)</f>
        <v/>
      </c>
      <c r="O59" s="5">
        <f>NORMINV(RAND(), $L$6, $L$7)</f>
        <v/>
      </c>
      <c r="P59" s="5">
        <f>NORMINV(RAND(), $L$6, $L$7)</f>
        <v/>
      </c>
      <c r="Q59" s="5">
        <f>NORMINV(RAND(), $L$6, $L$7)</f>
        <v/>
      </c>
    </row>
    <row r="60">
      <c r="A60" t="inlineStr">
        <is>
          <t>2025-11-12</t>
        </is>
      </c>
      <c r="B60" s="7" t="n">
        <v>287.43</v>
      </c>
      <c r="C60" s="5">
        <f>(B60-B59)/B59</f>
        <v/>
      </c>
      <c r="D60" s="5">
        <f>NORMINV(RAND(), $C$6, $C$7)</f>
        <v/>
      </c>
      <c r="E60" s="5">
        <f>NORMINV(RAND(), $C$6, $C$7)</f>
        <v/>
      </c>
      <c r="F60" s="5">
        <f>NORMINV(RAND(), $C$6, $C$7)</f>
        <v/>
      </c>
      <c r="G60" s="5">
        <f>NORMINV(RAND(), $C$6, $C$7)</f>
        <v/>
      </c>
      <c r="H60" s="5">
        <f>NORMINV(RAND(), $C$6, $C$7)</f>
        <v/>
      </c>
      <c r="J60" t="inlineStr">
        <is>
          <t>2025-11-12</t>
        </is>
      </c>
      <c r="K60" s="7" t="n">
        <v>273.47</v>
      </c>
      <c r="L60" s="5">
        <f>(K60-K59)/K59</f>
        <v/>
      </c>
      <c r="M60" s="5">
        <f>NORMINV(RAND(), $L$6, $L$7)</f>
        <v/>
      </c>
      <c r="N60" s="5">
        <f>NORMINV(RAND(), $L$6, $L$7)</f>
        <v/>
      </c>
      <c r="O60" s="5">
        <f>NORMINV(RAND(), $L$6, $L$7)</f>
        <v/>
      </c>
      <c r="P60" s="5">
        <f>NORMINV(RAND(), $L$6, $L$7)</f>
        <v/>
      </c>
      <c r="Q60" s="5">
        <f>NORMINV(RAND(), $L$6, $L$7)</f>
        <v/>
      </c>
    </row>
    <row r="61">
      <c r="A61" t="inlineStr">
        <is>
          <t>2025-11-13</t>
        </is>
      </c>
      <c r="B61" s="7" t="n">
        <v>279.12</v>
      </c>
      <c r="C61" s="5">
        <f>(B61-B60)/B60</f>
        <v/>
      </c>
      <c r="D61" s="5">
        <f>NORMINV(RAND(), $C$6, $C$7)</f>
        <v/>
      </c>
      <c r="E61" s="5">
        <f>NORMINV(RAND(), $C$6, $C$7)</f>
        <v/>
      </c>
      <c r="F61" s="5">
        <f>NORMINV(RAND(), $C$6, $C$7)</f>
        <v/>
      </c>
      <c r="G61" s="5">
        <f>NORMINV(RAND(), $C$6, $C$7)</f>
        <v/>
      </c>
      <c r="H61" s="5">
        <f>NORMINV(RAND(), $C$6, $C$7)</f>
        <v/>
      </c>
      <c r="J61" t="inlineStr">
        <is>
          <t>2025-11-13</t>
        </is>
      </c>
      <c r="K61" s="7" t="n">
        <v>272.95</v>
      </c>
      <c r="L61" s="5">
        <f>(K61-K60)/K60</f>
        <v/>
      </c>
      <c r="M61" s="5">
        <f>NORMINV(RAND(), $L$6, $L$7)</f>
        <v/>
      </c>
      <c r="N61" s="5">
        <f>NORMINV(RAND(), $L$6, $L$7)</f>
        <v/>
      </c>
      <c r="O61" s="5">
        <f>NORMINV(RAND(), $L$6, $L$7)</f>
        <v/>
      </c>
      <c r="P61" s="5">
        <f>NORMINV(RAND(), $L$6, $L$7)</f>
        <v/>
      </c>
      <c r="Q61" s="5">
        <f>NORMINV(RAND(), $L$6, $L$7)</f>
        <v/>
      </c>
    </row>
    <row r="62">
      <c r="A62" t="inlineStr">
        <is>
          <t>2025-11-14</t>
        </is>
      </c>
      <c r="B62" s="7" t="n">
        <v>276.98</v>
      </c>
      <c r="C62" s="5">
        <f>(B62-B61)/B61</f>
        <v/>
      </c>
      <c r="D62" s="5">
        <f>NORMINV(RAND(), $C$6, $C$7)</f>
        <v/>
      </c>
      <c r="E62" s="5">
        <f>NORMINV(RAND(), $C$6, $C$7)</f>
        <v/>
      </c>
      <c r="F62" s="5">
        <f>NORMINV(RAND(), $C$6, $C$7)</f>
        <v/>
      </c>
      <c r="G62" s="5">
        <f>NORMINV(RAND(), $C$6, $C$7)</f>
        <v/>
      </c>
      <c r="H62" s="5">
        <f>NORMINV(RAND(), $C$6, $C$7)</f>
        <v/>
      </c>
      <c r="J62" t="inlineStr">
        <is>
          <t>2025-11-14</t>
        </is>
      </c>
      <c r="K62" s="7" t="n">
        <v>272.41</v>
      </c>
      <c r="L62" s="5">
        <f>(K62-K61)/K61</f>
        <v/>
      </c>
      <c r="M62" s="5">
        <f>NORMINV(RAND(), $L$6, $L$7)</f>
        <v/>
      </c>
      <c r="N62" s="5">
        <f>NORMINV(RAND(), $L$6, $L$7)</f>
        <v/>
      </c>
      <c r="O62" s="5">
        <f>NORMINV(RAND(), $L$6, $L$7)</f>
        <v/>
      </c>
      <c r="P62" s="5">
        <f>NORMINV(RAND(), $L$6, $L$7)</f>
        <v/>
      </c>
      <c r="Q62" s="5">
        <f>NORMINV(RAND(), $L$6, $L$7)</f>
        <v/>
      </c>
    </row>
    <row r="63">
      <c r="A63" t="inlineStr">
        <is>
          <t>2025-11-17</t>
        </is>
      </c>
      <c r="B63" s="7" t="n">
        <v>285.6</v>
      </c>
      <c r="C63" s="5">
        <f>(B63-B62)/B62</f>
        <v/>
      </c>
      <c r="D63" s="5">
        <f>NORMINV(RAND(), $C$6, $C$7)</f>
        <v/>
      </c>
      <c r="E63" s="5">
        <f>NORMINV(RAND(), $C$6, $C$7)</f>
        <v/>
      </c>
      <c r="F63" s="5">
        <f>NORMINV(RAND(), $C$6, $C$7)</f>
        <v/>
      </c>
      <c r="G63" s="5">
        <f>NORMINV(RAND(), $C$6, $C$7)</f>
        <v/>
      </c>
      <c r="H63" s="5">
        <f>NORMINV(RAND(), $C$6, $C$7)</f>
        <v/>
      </c>
      <c r="J63" t="inlineStr">
        <is>
          <t>2025-11-17</t>
        </is>
      </c>
      <c r="K63" s="7" t="n">
        <v>267.46</v>
      </c>
      <c r="L63" s="5">
        <f>(K63-K62)/K62</f>
        <v/>
      </c>
      <c r="M63" s="5">
        <f>NORMINV(RAND(), $L$6, $L$7)</f>
        <v/>
      </c>
      <c r="N63" s="5">
        <f>NORMINV(RAND(), $L$6, $L$7)</f>
        <v/>
      </c>
      <c r="O63" s="5">
        <f>NORMINV(RAND(), $L$6, $L$7)</f>
        <v/>
      </c>
      <c r="P63" s="5">
        <f>NORMINV(RAND(), $L$6, $L$7)</f>
        <v/>
      </c>
      <c r="Q63" s="5">
        <f>NORMINV(RAND(), $L$6, $L$7)</f>
        <v/>
      </c>
    </row>
    <row r="64">
      <c r="A64" t="inlineStr">
        <is>
          <t>2025-11-18</t>
        </is>
      </c>
      <c r="B64" s="7" t="n">
        <v>284.96</v>
      </c>
      <c r="C64" s="5">
        <f>(B64-B63)/B63</f>
        <v/>
      </c>
      <c r="D64" s="5">
        <f>NORMINV(RAND(), $C$6, $C$7)</f>
        <v/>
      </c>
      <c r="E64" s="5">
        <f>NORMINV(RAND(), $C$6, $C$7)</f>
        <v/>
      </c>
      <c r="F64" s="5">
        <f>NORMINV(RAND(), $C$6, $C$7)</f>
        <v/>
      </c>
      <c r="G64" s="5">
        <f>NORMINV(RAND(), $C$6, $C$7)</f>
        <v/>
      </c>
      <c r="H64" s="5">
        <f>NORMINV(RAND(), $C$6, $C$7)</f>
        <v/>
      </c>
      <c r="J64" t="inlineStr">
        <is>
          <t>2025-11-18</t>
        </is>
      </c>
      <c r="K64" s="7" t="n">
        <v>267.44</v>
      </c>
      <c r="L64" s="5">
        <f>(K64-K63)/K63</f>
        <v/>
      </c>
      <c r="M64" s="5">
        <f>NORMINV(RAND(), $L$6, $L$7)</f>
        <v/>
      </c>
      <c r="N64" s="5">
        <f>NORMINV(RAND(), $L$6, $L$7)</f>
        <v/>
      </c>
      <c r="O64" s="5">
        <f>NORMINV(RAND(), $L$6, $L$7)</f>
        <v/>
      </c>
      <c r="P64" s="5">
        <f>NORMINV(RAND(), $L$6, $L$7)</f>
        <v/>
      </c>
      <c r="Q64" s="5">
        <f>NORMINV(RAND(), $L$6, $L$7)</f>
        <v/>
      </c>
    </row>
    <row r="65">
      <c r="A65" t="inlineStr">
        <is>
          <t>2025-11-19</t>
        </is>
      </c>
      <c r="B65" s="7" t="n">
        <v>292.99</v>
      </c>
      <c r="C65" s="5">
        <f>(B65-B64)/B64</f>
        <v/>
      </c>
      <c r="D65" s="5">
        <f>NORMINV(RAND(), $C$6, $C$7)</f>
        <v/>
      </c>
      <c r="E65" s="5">
        <f>NORMINV(RAND(), $C$6, $C$7)</f>
        <v/>
      </c>
      <c r="F65" s="5">
        <f>NORMINV(RAND(), $C$6, $C$7)</f>
        <v/>
      </c>
      <c r="G65" s="5">
        <f>NORMINV(RAND(), $C$6, $C$7)</f>
        <v/>
      </c>
      <c r="H65" s="5">
        <f>NORMINV(RAND(), $C$6, $C$7)</f>
        <v/>
      </c>
      <c r="J65" t="inlineStr">
        <is>
          <t>2025-11-19</t>
        </is>
      </c>
      <c r="K65" s="7" t="n">
        <v>268.56</v>
      </c>
      <c r="L65" s="5">
        <f>(K65-K64)/K64</f>
        <v/>
      </c>
      <c r="M65" s="5">
        <f>NORMINV(RAND(), $L$6, $L$7)</f>
        <v/>
      </c>
      <c r="N65" s="5">
        <f>NORMINV(RAND(), $L$6, $L$7)</f>
        <v/>
      </c>
      <c r="O65" s="5">
        <f>NORMINV(RAND(), $L$6, $L$7)</f>
        <v/>
      </c>
      <c r="P65" s="5">
        <f>NORMINV(RAND(), $L$6, $L$7)</f>
        <v/>
      </c>
      <c r="Q65" s="5">
        <f>NORMINV(RAND(), $L$6, $L$7)</f>
        <v/>
      </c>
    </row>
    <row r="66">
      <c r="A66" t="inlineStr">
        <is>
          <t>2025-11-20</t>
        </is>
      </c>
      <c r="B66" s="7" t="n">
        <v>289.98</v>
      </c>
      <c r="C66" s="5">
        <f>(B66-B65)/B65</f>
        <v/>
      </c>
      <c r="D66" s="5">
        <f>NORMINV(RAND(), $C$6, $C$7)</f>
        <v/>
      </c>
      <c r="E66" s="5">
        <f>NORMINV(RAND(), $C$6, $C$7)</f>
        <v/>
      </c>
      <c r="F66" s="5">
        <f>NORMINV(RAND(), $C$6, $C$7)</f>
        <v/>
      </c>
      <c r="G66" s="5">
        <f>NORMINV(RAND(), $C$6, $C$7)</f>
        <v/>
      </c>
      <c r="H66" s="5">
        <f>NORMINV(RAND(), $C$6, $C$7)</f>
        <v/>
      </c>
      <c r="J66" t="inlineStr">
        <is>
          <t>2025-11-20</t>
        </is>
      </c>
      <c r="K66" s="7" t="n">
        <v>266.25</v>
      </c>
      <c r="L66" s="5">
        <f>(K66-K65)/K65</f>
        <v/>
      </c>
      <c r="M66" s="5">
        <f>NORMINV(RAND(), $L$6, $L$7)</f>
        <v/>
      </c>
      <c r="N66" s="5">
        <f>NORMINV(RAND(), $L$6, $L$7)</f>
        <v/>
      </c>
      <c r="O66" s="5">
        <f>NORMINV(RAND(), $L$6, $L$7)</f>
        <v/>
      </c>
      <c r="P66" s="5">
        <f>NORMINV(RAND(), $L$6, $L$7)</f>
        <v/>
      </c>
      <c r="Q66" s="5">
        <f>NORMINV(RAND(), $L$6, $L$7)</f>
        <v/>
      </c>
    </row>
    <row r="67">
      <c r="A67" t="inlineStr">
        <is>
          <t>2025-11-21</t>
        </is>
      </c>
      <c r="B67" s="7" t="n">
        <v>299.65</v>
      </c>
      <c r="C67" s="5">
        <f>(B67-B66)/B66</f>
        <v/>
      </c>
      <c r="D67" s="5">
        <f>NORMINV(RAND(), $C$6, $C$7)</f>
        <v/>
      </c>
      <c r="E67" s="5">
        <f>NORMINV(RAND(), $C$6, $C$7)</f>
        <v/>
      </c>
      <c r="F67" s="5">
        <f>NORMINV(RAND(), $C$6, $C$7)</f>
        <v/>
      </c>
      <c r="G67" s="5">
        <f>NORMINV(RAND(), $C$6, $C$7)</f>
        <v/>
      </c>
      <c r="H67" s="5">
        <f>NORMINV(RAND(), $C$6, $C$7)</f>
        <v/>
      </c>
      <c r="J67" t="inlineStr">
        <is>
          <t>2025-11-21</t>
        </is>
      </c>
      <c r="K67" s="7" t="n">
        <v>271.49</v>
      </c>
      <c r="L67" s="5">
        <f>(K67-K66)/K66</f>
        <v/>
      </c>
      <c r="M67" s="5">
        <f>NORMINV(RAND(), $L$6, $L$7)</f>
        <v/>
      </c>
      <c r="N67" s="5">
        <f>NORMINV(RAND(), $L$6, $L$7)</f>
        <v/>
      </c>
      <c r="O67" s="5">
        <f>NORMINV(RAND(), $L$6, $L$7)</f>
        <v/>
      </c>
      <c r="P67" s="5">
        <f>NORMINV(RAND(), $L$6, $L$7)</f>
        <v/>
      </c>
      <c r="Q67" s="5">
        <f>NORMINV(RAND(), $L$6, $L$7)</f>
        <v/>
      </c>
    </row>
    <row r="68">
      <c r="A68" t="inlineStr">
        <is>
          <t>2025-11-24</t>
        </is>
      </c>
      <c r="B68" s="7" t="n">
        <v>318.47</v>
      </c>
      <c r="C68" s="5">
        <f>(B68-B67)/B67</f>
        <v/>
      </c>
      <c r="D68" s="5">
        <f>NORMINV(RAND(), $C$6, $C$7)</f>
        <v/>
      </c>
      <c r="E68" s="5">
        <f>NORMINV(RAND(), $C$6, $C$7)</f>
        <v/>
      </c>
      <c r="F68" s="5">
        <f>NORMINV(RAND(), $C$6, $C$7)</f>
        <v/>
      </c>
      <c r="G68" s="5">
        <f>NORMINV(RAND(), $C$6, $C$7)</f>
        <v/>
      </c>
      <c r="H68" s="5">
        <f>NORMINV(RAND(), $C$6, $C$7)</f>
        <v/>
      </c>
      <c r="J68" t="inlineStr">
        <is>
          <t>2025-11-24</t>
        </is>
      </c>
      <c r="K68" s="7" t="n">
        <v>275.92</v>
      </c>
      <c r="L68" s="5">
        <f>(K68-K67)/K67</f>
        <v/>
      </c>
      <c r="M68" s="5">
        <f>NORMINV(RAND(), $L$6, $L$7)</f>
        <v/>
      </c>
      <c r="N68" s="5">
        <f>NORMINV(RAND(), $L$6, $L$7)</f>
        <v/>
      </c>
      <c r="O68" s="5">
        <f>NORMINV(RAND(), $L$6, $L$7)</f>
        <v/>
      </c>
      <c r="P68" s="5">
        <f>NORMINV(RAND(), $L$6, $L$7)</f>
        <v/>
      </c>
      <c r="Q68" s="5">
        <f>NORMINV(RAND(), $L$6, $L$7)</f>
        <v/>
      </c>
    </row>
    <row r="69">
      <c r="A69" t="inlineStr">
        <is>
          <t>2025-11-25</t>
        </is>
      </c>
      <c r="B69" s="7" t="n">
        <v>323.64</v>
      </c>
      <c r="C69" s="5">
        <f>(B69-B68)/B68</f>
        <v/>
      </c>
      <c r="D69" s="5">
        <f>NORMINV(RAND(), $C$6, $C$7)</f>
        <v/>
      </c>
      <c r="E69" s="5">
        <f>NORMINV(RAND(), $C$6, $C$7)</f>
        <v/>
      </c>
      <c r="F69" s="5">
        <f>NORMINV(RAND(), $C$6, $C$7)</f>
        <v/>
      </c>
      <c r="G69" s="5">
        <f>NORMINV(RAND(), $C$6, $C$7)</f>
        <v/>
      </c>
      <c r="H69" s="5">
        <f>NORMINV(RAND(), $C$6, $C$7)</f>
        <v/>
      </c>
      <c r="J69" t="inlineStr">
        <is>
          <t>2025-11-25</t>
        </is>
      </c>
      <c r="K69" s="7" t="n">
        <v>276.97</v>
      </c>
      <c r="L69" s="5">
        <f>(K69-K68)/K68</f>
        <v/>
      </c>
      <c r="M69" s="5">
        <f>NORMINV(RAND(), $L$6, $L$7)</f>
        <v/>
      </c>
      <c r="N69" s="5">
        <f>NORMINV(RAND(), $L$6, $L$7)</f>
        <v/>
      </c>
      <c r="O69" s="5">
        <f>NORMINV(RAND(), $L$6, $L$7)</f>
        <v/>
      </c>
      <c r="P69" s="5">
        <f>NORMINV(RAND(), $L$6, $L$7)</f>
        <v/>
      </c>
      <c r="Q69" s="5">
        <f>NORMINV(RAND(), $L$6, $L$7)</f>
        <v/>
      </c>
    </row>
    <row r="70">
      <c r="A70" t="inlineStr">
        <is>
          <t>2025-11-26</t>
        </is>
      </c>
      <c r="B70" s="7" t="n">
        <v>320.28</v>
      </c>
      <c r="C70" s="5">
        <f>(B70-B69)/B69</f>
        <v/>
      </c>
      <c r="D70" s="5">
        <f>NORMINV(RAND(), $C$6, $C$7)</f>
        <v/>
      </c>
      <c r="E70" s="5">
        <f>NORMINV(RAND(), $C$6, $C$7)</f>
        <v/>
      </c>
      <c r="F70" s="5">
        <f>NORMINV(RAND(), $C$6, $C$7)</f>
        <v/>
      </c>
      <c r="G70" s="5">
        <f>NORMINV(RAND(), $C$6, $C$7)</f>
        <v/>
      </c>
      <c r="H70" s="5">
        <f>NORMINV(RAND(), $C$6, $C$7)</f>
        <v/>
      </c>
      <c r="J70" t="inlineStr">
        <is>
          <t>2025-11-26</t>
        </is>
      </c>
      <c r="K70" s="7" t="n">
        <v>277.55</v>
      </c>
      <c r="L70" s="5">
        <f>(K70-K69)/K69</f>
        <v/>
      </c>
      <c r="M70" s="5">
        <f>NORMINV(RAND(), $L$6, $L$7)</f>
        <v/>
      </c>
      <c r="N70" s="5">
        <f>NORMINV(RAND(), $L$6, $L$7)</f>
        <v/>
      </c>
      <c r="O70" s="5">
        <f>NORMINV(RAND(), $L$6, $L$7)</f>
        <v/>
      </c>
      <c r="P70" s="5">
        <f>NORMINV(RAND(), $L$6, $L$7)</f>
        <v/>
      </c>
      <c r="Q70" s="5">
        <f>NORMINV(RAND(), $L$6, $L$7)</f>
        <v/>
      </c>
    </row>
    <row r="71">
      <c r="A71" t="inlineStr">
        <is>
          <t>2025-11-28</t>
        </is>
      </c>
      <c r="B71" s="7" t="n">
        <v>320.12</v>
      </c>
      <c r="C71" s="5">
        <f>(B71-B70)/B70</f>
        <v/>
      </c>
      <c r="D71" s="5">
        <f>NORMINV(RAND(), $C$6, $C$7)</f>
        <v/>
      </c>
      <c r="E71" s="5">
        <f>NORMINV(RAND(), $C$6, $C$7)</f>
        <v/>
      </c>
      <c r="F71" s="5">
        <f>NORMINV(RAND(), $C$6, $C$7)</f>
        <v/>
      </c>
      <c r="G71" s="5">
        <f>NORMINV(RAND(), $C$6, $C$7)</f>
        <v/>
      </c>
      <c r="H71" s="5">
        <f>NORMINV(RAND(), $C$6, $C$7)</f>
        <v/>
      </c>
      <c r="J71" t="inlineStr">
        <is>
          <t>2025-11-28</t>
        </is>
      </c>
      <c r="K71" s="7" t="n">
        <v>278.85</v>
      </c>
      <c r="L71" s="5">
        <f>(K71-K70)/K70</f>
        <v/>
      </c>
      <c r="M71" s="5">
        <f>NORMINV(RAND(), $L$6, $L$7)</f>
        <v/>
      </c>
      <c r="N71" s="5">
        <f>NORMINV(RAND(), $L$6, $L$7)</f>
        <v/>
      </c>
      <c r="O71" s="5">
        <f>NORMINV(RAND(), $L$6, $L$7)</f>
        <v/>
      </c>
      <c r="P71" s="5">
        <f>NORMINV(RAND(), $L$6, $L$7)</f>
        <v/>
      </c>
      <c r="Q71" s="5">
        <f>NORMINV(RAND(), $L$6, $L$7)</f>
        <v/>
      </c>
    </row>
    <row r="72">
      <c r="A72" t="inlineStr">
        <is>
          <t>2025-12-01</t>
        </is>
      </c>
      <c r="B72" s="7" t="n">
        <v>315.12</v>
      </c>
      <c r="C72" s="5">
        <f>(B72-B71)/B71</f>
        <v/>
      </c>
      <c r="D72" s="5">
        <f>NORMINV(RAND(), $C$6, $C$7)</f>
        <v/>
      </c>
      <c r="E72" s="5">
        <f>NORMINV(RAND(), $C$6, $C$7)</f>
        <v/>
      </c>
      <c r="F72" s="5">
        <f>NORMINV(RAND(), $C$6, $C$7)</f>
        <v/>
      </c>
      <c r="G72" s="5">
        <f>NORMINV(RAND(), $C$6, $C$7)</f>
        <v/>
      </c>
      <c r="H72" s="5">
        <f>NORMINV(RAND(), $C$6, $C$7)</f>
        <v/>
      </c>
      <c r="J72" t="inlineStr">
        <is>
          <t>2025-12-01</t>
        </is>
      </c>
      <c r="K72" s="7" t="n">
        <v>283.1</v>
      </c>
      <c r="L72" s="5">
        <f>(K72-K71)/K71</f>
        <v/>
      </c>
      <c r="M72" s="5">
        <f>NORMINV(RAND(), $L$6, $L$7)</f>
        <v/>
      </c>
      <c r="N72" s="5">
        <f>NORMINV(RAND(), $L$6, $L$7)</f>
        <v/>
      </c>
      <c r="O72" s="5">
        <f>NORMINV(RAND(), $L$6, $L$7)</f>
        <v/>
      </c>
      <c r="P72" s="5">
        <f>NORMINV(RAND(), $L$6, $L$7)</f>
        <v/>
      </c>
      <c r="Q72" s="5">
        <f>NORMINV(RAND(), $L$6, $L$7)</f>
        <v/>
      </c>
    </row>
    <row r="73">
      <c r="A73" t="inlineStr">
        <is>
          <t>2025-12-02</t>
        </is>
      </c>
      <c r="B73" s="7" t="n">
        <v>316.02</v>
      </c>
      <c r="C73" s="5">
        <f>(B73-B72)/B72</f>
        <v/>
      </c>
      <c r="D73" s="5">
        <f>NORMINV(RAND(), $C$6, $C$7)</f>
        <v/>
      </c>
      <c r="E73" s="5">
        <f>NORMINV(RAND(), $C$6, $C$7)</f>
        <v/>
      </c>
      <c r="F73" s="5">
        <f>NORMINV(RAND(), $C$6, $C$7)</f>
        <v/>
      </c>
      <c r="G73" s="5">
        <f>NORMINV(RAND(), $C$6, $C$7)</f>
        <v/>
      </c>
      <c r="H73" s="5">
        <f>NORMINV(RAND(), $C$6, $C$7)</f>
        <v/>
      </c>
      <c r="J73" t="inlineStr">
        <is>
          <t>2025-12-02</t>
        </is>
      </c>
      <c r="K73" s="7" t="n">
        <v>286.19</v>
      </c>
      <c r="L73" s="5">
        <f>(K73-K72)/K72</f>
        <v/>
      </c>
      <c r="M73" s="5">
        <f>NORMINV(RAND(), $L$6, $L$7)</f>
        <v/>
      </c>
      <c r="N73" s="5">
        <f>NORMINV(RAND(), $L$6, $L$7)</f>
        <v/>
      </c>
      <c r="O73" s="5">
        <f>NORMINV(RAND(), $L$6, $L$7)</f>
        <v/>
      </c>
      <c r="P73" s="5">
        <f>NORMINV(RAND(), $L$6, $L$7)</f>
        <v/>
      </c>
      <c r="Q73" s="5">
        <f>NORMINV(RAND(), $L$6, $L$7)</f>
        <v/>
      </c>
    </row>
    <row r="74">
      <c r="A74" t="inlineStr">
        <is>
          <t>2025-12-03</t>
        </is>
      </c>
      <c r="B74" s="7" t="n">
        <v>320.62</v>
      </c>
      <c r="C74" s="5">
        <f>(B74-B73)/B73</f>
        <v/>
      </c>
      <c r="D74" s="5">
        <f>NORMINV(RAND(), $C$6, $C$7)</f>
        <v/>
      </c>
      <c r="E74" s="5">
        <f>NORMINV(RAND(), $C$6, $C$7)</f>
        <v/>
      </c>
      <c r="F74" s="5">
        <f>NORMINV(RAND(), $C$6, $C$7)</f>
        <v/>
      </c>
      <c r="G74" s="5">
        <f>NORMINV(RAND(), $C$6, $C$7)</f>
        <v/>
      </c>
      <c r="H74" s="5">
        <f>NORMINV(RAND(), $C$6, $C$7)</f>
        <v/>
      </c>
      <c r="J74" t="inlineStr">
        <is>
          <t>2025-12-03</t>
        </is>
      </c>
      <c r="K74" s="7" t="n">
        <v>284.15</v>
      </c>
      <c r="L74" s="5">
        <f>(K74-K73)/K73</f>
        <v/>
      </c>
      <c r="M74" s="5">
        <f>NORMINV(RAND(), $L$6, $L$7)</f>
        <v/>
      </c>
      <c r="N74" s="5">
        <f>NORMINV(RAND(), $L$6, $L$7)</f>
        <v/>
      </c>
      <c r="O74" s="5">
        <f>NORMINV(RAND(), $L$6, $L$7)</f>
        <v/>
      </c>
      <c r="P74" s="5">
        <f>NORMINV(RAND(), $L$6, $L$7)</f>
        <v/>
      </c>
      <c r="Q74" s="5">
        <f>NORMINV(RAND(), $L$6, $L$7)</f>
        <v/>
      </c>
    </row>
    <row r="75">
      <c r="A75" t="inlineStr">
        <is>
          <t>2025-12-04</t>
        </is>
      </c>
      <c r="B75" s="7" t="n">
        <v>318.39</v>
      </c>
      <c r="C75" s="5">
        <f>(B75-B74)/B74</f>
        <v/>
      </c>
      <c r="D75" s="5">
        <f>NORMINV(RAND(), $C$6, $C$7)</f>
        <v/>
      </c>
      <c r="E75" s="5">
        <f>NORMINV(RAND(), $C$6, $C$7)</f>
        <v/>
      </c>
      <c r="F75" s="5">
        <f>NORMINV(RAND(), $C$6, $C$7)</f>
        <v/>
      </c>
      <c r="G75" s="5">
        <f>NORMINV(RAND(), $C$6, $C$7)</f>
        <v/>
      </c>
      <c r="H75" s="5">
        <f>NORMINV(RAND(), $C$6, $C$7)</f>
        <v/>
      </c>
      <c r="J75" t="inlineStr">
        <is>
          <t>2025-12-04</t>
        </is>
      </c>
      <c r="K75" s="7" t="n">
        <v>280.7</v>
      </c>
      <c r="L75" s="5">
        <f>(K75-K74)/K74</f>
        <v/>
      </c>
      <c r="M75" s="5">
        <f>NORMINV(RAND(), $L$6, $L$7)</f>
        <v/>
      </c>
      <c r="N75" s="5">
        <f>NORMINV(RAND(), $L$6, $L$7)</f>
        <v/>
      </c>
      <c r="O75" s="5">
        <f>NORMINV(RAND(), $L$6, $L$7)</f>
        <v/>
      </c>
      <c r="P75" s="5">
        <f>NORMINV(RAND(), $L$6, $L$7)</f>
        <v/>
      </c>
      <c r="Q75" s="5">
        <f>NORMINV(RAND(), $L$6, $L$7)</f>
        <v/>
      </c>
    </row>
    <row r="76">
      <c r="A76" t="inlineStr">
        <is>
          <t>2025-12-05</t>
        </is>
      </c>
      <c r="B76" s="7" t="n">
        <v>322.09</v>
      </c>
      <c r="C76" s="5">
        <f>(B76-B75)/B75</f>
        <v/>
      </c>
      <c r="D76" s="5">
        <f>NORMINV(RAND(), $C$6, $C$7)</f>
        <v/>
      </c>
      <c r="E76" s="5">
        <f>NORMINV(RAND(), $C$6, $C$7)</f>
        <v/>
      </c>
      <c r="F76" s="5">
        <f>NORMINV(RAND(), $C$6, $C$7)</f>
        <v/>
      </c>
      <c r="G76" s="5">
        <f>NORMINV(RAND(), $C$6, $C$7)</f>
        <v/>
      </c>
      <c r="H76" s="5">
        <f>NORMINV(RAND(), $C$6, $C$7)</f>
        <v/>
      </c>
      <c r="J76" t="inlineStr">
        <is>
          <t>2025-12-05</t>
        </is>
      </c>
      <c r="K76" s="7" t="n">
        <v>278.78</v>
      </c>
      <c r="L76" s="5">
        <f>(K76-K75)/K75</f>
        <v/>
      </c>
      <c r="M76" s="5">
        <f>NORMINV(RAND(), $L$6, $L$7)</f>
        <v/>
      </c>
      <c r="N76" s="5">
        <f>NORMINV(RAND(), $L$6, $L$7)</f>
        <v/>
      </c>
      <c r="O76" s="5">
        <f>NORMINV(RAND(), $L$6, $L$7)</f>
        <v/>
      </c>
      <c r="P76" s="5">
        <f>NORMINV(RAND(), $L$6, $L$7)</f>
        <v/>
      </c>
      <c r="Q76" s="5">
        <f>NORMINV(RAND(), $L$6, $L$7)</f>
        <v/>
      </c>
    </row>
    <row r="77">
      <c r="A77" t="inlineStr">
        <is>
          <t>2025-12-08</t>
        </is>
      </c>
      <c r="B77" s="7" t="n">
        <v>314.45</v>
      </c>
      <c r="C77" s="5">
        <f>(B77-B76)/B76</f>
        <v/>
      </c>
      <c r="D77" s="5">
        <f>NORMINV(RAND(), $C$6, $C$7)</f>
        <v/>
      </c>
      <c r="E77" s="5">
        <f>NORMINV(RAND(), $C$6, $C$7)</f>
        <v/>
      </c>
      <c r="F77" s="5">
        <f>NORMINV(RAND(), $C$6, $C$7)</f>
        <v/>
      </c>
      <c r="G77" s="5">
        <f>NORMINV(RAND(), $C$6, $C$7)</f>
        <v/>
      </c>
      <c r="H77" s="5">
        <f>NORMINV(RAND(), $C$6, $C$7)</f>
        <v/>
      </c>
      <c r="J77" t="inlineStr">
        <is>
          <t>2025-12-08</t>
        </is>
      </c>
      <c r="K77" s="7" t="n">
        <v>277.89</v>
      </c>
      <c r="L77" s="5">
        <f>(K77-K76)/K76</f>
        <v/>
      </c>
      <c r="M77" s="5">
        <f>NORMINV(RAND(), $L$6, $L$7)</f>
        <v/>
      </c>
      <c r="N77" s="5">
        <f>NORMINV(RAND(), $L$6, $L$7)</f>
        <v/>
      </c>
      <c r="O77" s="5">
        <f>NORMINV(RAND(), $L$6, $L$7)</f>
        <v/>
      </c>
      <c r="P77" s="5">
        <f>NORMINV(RAND(), $L$6, $L$7)</f>
        <v/>
      </c>
      <c r="Q77" s="5">
        <f>NORMINV(RAND(), $L$6, $L$7)</f>
        <v/>
      </c>
    </row>
    <row r="78">
      <c r="A78" t="inlineStr">
        <is>
          <t>2025-12-09</t>
        </is>
      </c>
      <c r="B78" s="7" t="n">
        <v>317.75</v>
      </c>
      <c r="C78" s="5">
        <f>(B78-B77)/B77</f>
        <v/>
      </c>
      <c r="D78" s="5">
        <f>NORMINV(RAND(), $C$6, $C$7)</f>
        <v/>
      </c>
      <c r="E78" s="5">
        <f>NORMINV(RAND(), $C$6, $C$7)</f>
        <v/>
      </c>
      <c r="F78" s="5">
        <f>NORMINV(RAND(), $C$6, $C$7)</f>
        <v/>
      </c>
      <c r="G78" s="5">
        <f>NORMINV(RAND(), $C$6, $C$7)</f>
        <v/>
      </c>
      <c r="H78" s="5">
        <f>NORMINV(RAND(), $C$6, $C$7)</f>
        <v/>
      </c>
      <c r="J78" t="inlineStr">
        <is>
          <t>2025-12-09</t>
        </is>
      </c>
      <c r="K78" s="7" t="n">
        <v>277.18</v>
      </c>
      <c r="L78" s="5">
        <f>(K78-K77)/K77</f>
        <v/>
      </c>
      <c r="M78" s="5">
        <f>NORMINV(RAND(), $L$6, $L$7)</f>
        <v/>
      </c>
      <c r="N78" s="5">
        <f>NORMINV(RAND(), $L$6, $L$7)</f>
        <v/>
      </c>
      <c r="O78" s="5">
        <f>NORMINV(RAND(), $L$6, $L$7)</f>
        <v/>
      </c>
      <c r="P78" s="5">
        <f>NORMINV(RAND(), $L$6, $L$7)</f>
        <v/>
      </c>
      <c r="Q78" s="5">
        <f>NORMINV(RAND(), $L$6, $L$7)</f>
        <v/>
      </c>
    </row>
    <row r="79">
      <c r="A79" t="inlineStr">
        <is>
          <t>2025-12-10</t>
        </is>
      </c>
      <c r="B79" s="7" t="n">
        <v>321</v>
      </c>
      <c r="C79" s="5">
        <f>(B79-B78)/B78</f>
        <v/>
      </c>
      <c r="D79" s="5">
        <f>NORMINV(RAND(), $C$6, $C$7)</f>
        <v/>
      </c>
      <c r="E79" s="5">
        <f>NORMINV(RAND(), $C$6, $C$7)</f>
        <v/>
      </c>
      <c r="F79" s="5">
        <f>NORMINV(RAND(), $C$6, $C$7)</f>
        <v/>
      </c>
      <c r="G79" s="5">
        <f>NORMINV(RAND(), $C$6, $C$7)</f>
        <v/>
      </c>
      <c r="H79" s="5">
        <f>NORMINV(RAND(), $C$6, $C$7)</f>
        <v/>
      </c>
      <c r="J79" t="inlineStr">
        <is>
          <t>2025-12-10</t>
        </is>
      </c>
      <c r="K79" s="7" t="n">
        <v>278.78</v>
      </c>
      <c r="L79" s="5">
        <f>(K79-K78)/K78</f>
        <v/>
      </c>
      <c r="M79" s="5">
        <f>NORMINV(RAND(), $L$6, $L$7)</f>
        <v/>
      </c>
      <c r="N79" s="5">
        <f>NORMINV(RAND(), $L$6, $L$7)</f>
        <v/>
      </c>
      <c r="O79" s="5">
        <f>NORMINV(RAND(), $L$6, $L$7)</f>
        <v/>
      </c>
      <c r="P79" s="5">
        <f>NORMINV(RAND(), $L$6, $L$7)</f>
        <v/>
      </c>
      <c r="Q79" s="5">
        <f>NORMINV(RAND(), $L$6, $L$7)</f>
        <v/>
      </c>
    </row>
    <row r="80">
      <c r="A80" t="inlineStr">
        <is>
          <t>2025-12-11</t>
        </is>
      </c>
      <c r="B80" s="7" t="n">
        <v>313.7</v>
      </c>
      <c r="C80" s="5">
        <f>(B80-B79)/B79</f>
        <v/>
      </c>
      <c r="D80" s="5">
        <f>NORMINV(RAND(), $C$6, $C$7)</f>
        <v/>
      </c>
      <c r="E80" s="5">
        <f>NORMINV(RAND(), $C$6, $C$7)</f>
        <v/>
      </c>
      <c r="F80" s="5">
        <f>NORMINV(RAND(), $C$6, $C$7)</f>
        <v/>
      </c>
      <c r="G80" s="5">
        <f>NORMINV(RAND(), $C$6, $C$7)</f>
        <v/>
      </c>
      <c r="H80" s="5">
        <f>NORMINV(RAND(), $C$6, $C$7)</f>
        <v/>
      </c>
      <c r="J80" t="inlineStr">
        <is>
          <t>2025-12-11</t>
        </is>
      </c>
      <c r="K80" s="7" t="n">
        <v>278.03</v>
      </c>
      <c r="L80" s="5">
        <f>(K80-K79)/K79</f>
        <v/>
      </c>
      <c r="M80" s="5">
        <f>NORMINV(RAND(), $L$6, $L$7)</f>
        <v/>
      </c>
      <c r="N80" s="5">
        <f>NORMINV(RAND(), $L$6, $L$7)</f>
        <v/>
      </c>
      <c r="O80" s="5">
        <f>NORMINV(RAND(), $L$6, $L$7)</f>
        <v/>
      </c>
      <c r="P80" s="5">
        <f>NORMINV(RAND(), $L$6, $L$7)</f>
        <v/>
      </c>
      <c r="Q80" s="5">
        <f>NORMINV(RAND(), $L$6, $L$7)</f>
        <v/>
      </c>
    </row>
    <row r="81">
      <c r="A81" t="inlineStr">
        <is>
          <t>2025-12-12</t>
        </is>
      </c>
      <c r="B81" s="7" t="n">
        <v>310.52</v>
      </c>
      <c r="C81" s="5">
        <f>(B81-B80)/B80</f>
        <v/>
      </c>
      <c r="D81" s="5">
        <f>NORMINV(RAND(), $C$6, $C$7)</f>
        <v/>
      </c>
      <c r="E81" s="5">
        <f>NORMINV(RAND(), $C$6, $C$7)</f>
        <v/>
      </c>
      <c r="F81" s="5">
        <f>NORMINV(RAND(), $C$6, $C$7)</f>
        <v/>
      </c>
      <c r="G81" s="5">
        <f>NORMINV(RAND(), $C$6, $C$7)</f>
        <v/>
      </c>
      <c r="H81" s="5">
        <f>NORMINV(RAND(), $C$6, $C$7)</f>
        <v/>
      </c>
      <c r="J81" t="inlineStr">
        <is>
          <t>2025-12-12</t>
        </is>
      </c>
      <c r="K81" s="7" t="n">
        <v>278.28</v>
      </c>
      <c r="L81" s="5">
        <f>(K81-K80)/K80</f>
        <v/>
      </c>
      <c r="M81" s="5">
        <f>NORMINV(RAND(), $L$6, $L$7)</f>
        <v/>
      </c>
      <c r="N81" s="5">
        <f>NORMINV(RAND(), $L$6, $L$7)</f>
        <v/>
      </c>
      <c r="O81" s="5">
        <f>NORMINV(RAND(), $L$6, $L$7)</f>
        <v/>
      </c>
      <c r="P81" s="5">
        <f>NORMINV(RAND(), $L$6, $L$7)</f>
        <v/>
      </c>
      <c r="Q81" s="5">
        <f>NORMINV(RAND(), $L$6, $L$7)</f>
        <v/>
      </c>
    </row>
    <row r="82">
      <c r="A82" t="inlineStr">
        <is>
          <t>2025-12-15</t>
        </is>
      </c>
      <c r="B82" s="7" t="n">
        <v>309.32</v>
      </c>
      <c r="C82" s="5">
        <f>(B82-B81)/B81</f>
        <v/>
      </c>
      <c r="D82" s="5">
        <f>NORMINV(RAND(), $C$6, $C$7)</f>
        <v/>
      </c>
      <c r="E82" s="5">
        <f>NORMINV(RAND(), $C$6, $C$7)</f>
        <v/>
      </c>
      <c r="F82" s="5">
        <f>NORMINV(RAND(), $C$6, $C$7)</f>
        <v/>
      </c>
      <c r="G82" s="5">
        <f>NORMINV(RAND(), $C$6, $C$7)</f>
        <v/>
      </c>
      <c r="H82" s="5">
        <f>NORMINV(RAND(), $C$6, $C$7)</f>
        <v/>
      </c>
      <c r="J82" t="inlineStr">
        <is>
          <t>2025-12-15</t>
        </is>
      </c>
      <c r="K82" s="7" t="n">
        <v>274.11</v>
      </c>
      <c r="L82" s="5">
        <f>(K82-K81)/K81</f>
        <v/>
      </c>
      <c r="M82" s="5">
        <f>NORMINV(RAND(), $L$6, $L$7)</f>
        <v/>
      </c>
      <c r="N82" s="5">
        <f>NORMINV(RAND(), $L$6, $L$7)</f>
        <v/>
      </c>
      <c r="O82" s="5">
        <f>NORMINV(RAND(), $L$6, $L$7)</f>
        <v/>
      </c>
      <c r="P82" s="5">
        <f>NORMINV(RAND(), $L$6, $L$7)</f>
        <v/>
      </c>
      <c r="Q82" s="5">
        <f>NORMINV(RAND(), $L$6, $L$7)</f>
        <v/>
      </c>
    </row>
    <row r="83">
      <c r="A83" t="inlineStr">
        <is>
          <t>2025-12-16</t>
        </is>
      </c>
      <c r="B83" s="7" t="n">
        <v>307.73</v>
      </c>
      <c r="C83" s="5">
        <f>(B83-B82)/B82</f>
        <v/>
      </c>
      <c r="D83" s="5">
        <f>NORMINV(RAND(), $C$6, $C$7)</f>
        <v/>
      </c>
      <c r="E83" s="5">
        <f>NORMINV(RAND(), $C$6, $C$7)</f>
        <v/>
      </c>
      <c r="F83" s="5">
        <f>NORMINV(RAND(), $C$6, $C$7)</f>
        <v/>
      </c>
      <c r="G83" s="5">
        <f>NORMINV(RAND(), $C$6, $C$7)</f>
        <v/>
      </c>
      <c r="H83" s="5">
        <f>NORMINV(RAND(), $C$6, $C$7)</f>
        <v/>
      </c>
      <c r="J83" t="inlineStr">
        <is>
          <t>2025-12-16</t>
        </is>
      </c>
      <c r="K83" s="7" t="n">
        <v>274.61</v>
      </c>
      <c r="L83" s="5">
        <f>(K83-K82)/K82</f>
        <v/>
      </c>
      <c r="M83" s="5">
        <f>NORMINV(RAND(), $L$6, $L$7)</f>
        <v/>
      </c>
      <c r="N83" s="5">
        <f>NORMINV(RAND(), $L$6, $L$7)</f>
        <v/>
      </c>
      <c r="O83" s="5">
        <f>NORMINV(RAND(), $L$6, $L$7)</f>
        <v/>
      </c>
      <c r="P83" s="5">
        <f>NORMINV(RAND(), $L$6, $L$7)</f>
        <v/>
      </c>
      <c r="Q83" s="5">
        <f>NORMINV(RAND(), $L$6, $L$7)</f>
        <v/>
      </c>
    </row>
    <row r="84">
      <c r="A84" t="inlineStr">
        <is>
          <t>2025-12-17</t>
        </is>
      </c>
      <c r="B84" s="7" t="n">
        <v>298.06</v>
      </c>
      <c r="C84" s="5">
        <f>(B84-B83)/B83</f>
        <v/>
      </c>
      <c r="D84" s="5">
        <f>NORMINV(RAND(), $C$6, $C$7)</f>
        <v/>
      </c>
      <c r="E84" s="5">
        <f>NORMINV(RAND(), $C$6, $C$7)</f>
        <v/>
      </c>
      <c r="F84" s="5">
        <f>NORMINV(RAND(), $C$6, $C$7)</f>
        <v/>
      </c>
      <c r="G84" s="5">
        <f>NORMINV(RAND(), $C$6, $C$7)</f>
        <v/>
      </c>
      <c r="H84" s="5">
        <f>NORMINV(RAND(), $C$6, $C$7)</f>
        <v/>
      </c>
      <c r="J84" t="inlineStr">
        <is>
          <t>2025-12-17</t>
        </is>
      </c>
      <c r="K84" s="7" t="n">
        <v>271.84</v>
      </c>
      <c r="L84" s="5">
        <f>(K84-K83)/K83</f>
        <v/>
      </c>
      <c r="M84" s="5">
        <f>NORMINV(RAND(), $L$6, $L$7)</f>
        <v/>
      </c>
      <c r="N84" s="5">
        <f>NORMINV(RAND(), $L$6, $L$7)</f>
        <v/>
      </c>
      <c r="O84" s="5">
        <f>NORMINV(RAND(), $L$6, $L$7)</f>
        <v/>
      </c>
      <c r="P84" s="5">
        <f>NORMINV(RAND(), $L$6, $L$7)</f>
        <v/>
      </c>
      <c r="Q84" s="5">
        <f>NORMINV(RAND(), $L$6, $L$7)</f>
        <v/>
      </c>
    </row>
    <row r="85">
      <c r="A85" t="inlineStr">
        <is>
          <t>2025-12-18</t>
        </is>
      </c>
      <c r="B85" s="7" t="n">
        <v>303.75</v>
      </c>
      <c r="C85" s="5">
        <f>(B85-B84)/B84</f>
        <v/>
      </c>
      <c r="D85" s="5">
        <f>NORMINV(RAND(), $C$6, $C$7)</f>
        <v/>
      </c>
      <c r="E85" s="5">
        <f>NORMINV(RAND(), $C$6, $C$7)</f>
        <v/>
      </c>
      <c r="F85" s="5">
        <f>NORMINV(RAND(), $C$6, $C$7)</f>
        <v/>
      </c>
      <c r="G85" s="5">
        <f>NORMINV(RAND(), $C$6, $C$7)</f>
        <v/>
      </c>
      <c r="H85" s="5">
        <f>NORMINV(RAND(), $C$6, $C$7)</f>
        <v/>
      </c>
      <c r="J85" t="inlineStr">
        <is>
          <t>2025-12-18</t>
        </is>
      </c>
      <c r="K85" s="7" t="n">
        <v>272.19</v>
      </c>
      <c r="L85" s="5">
        <f>(K85-K84)/K84</f>
        <v/>
      </c>
      <c r="M85" s="5">
        <f>NORMINV(RAND(), $L$6, $L$7)</f>
        <v/>
      </c>
      <c r="N85" s="5">
        <f>NORMINV(RAND(), $L$6, $L$7)</f>
        <v/>
      </c>
      <c r="O85" s="5">
        <f>NORMINV(RAND(), $L$6, $L$7)</f>
        <v/>
      </c>
      <c r="P85" s="5">
        <f>NORMINV(RAND(), $L$6, $L$7)</f>
        <v/>
      </c>
      <c r="Q85" s="5">
        <f>NORMINV(RAND(), $L$6, $L$7)</f>
        <v/>
      </c>
    </row>
    <row r="86">
      <c r="A86" t="inlineStr">
        <is>
          <t>2025-12-19</t>
        </is>
      </c>
      <c r="B86" s="7" t="n">
        <v>308.61</v>
      </c>
      <c r="C86" s="5">
        <f>(B86-B85)/B85</f>
        <v/>
      </c>
      <c r="D86" s="5">
        <f>NORMINV(RAND(), $C$6, $C$7)</f>
        <v/>
      </c>
      <c r="E86" s="5">
        <f>NORMINV(RAND(), $C$6, $C$7)</f>
        <v/>
      </c>
      <c r="F86" s="5">
        <f>NORMINV(RAND(), $C$6, $C$7)</f>
        <v/>
      </c>
      <c r="G86" s="5">
        <f>NORMINV(RAND(), $C$6, $C$7)</f>
        <v/>
      </c>
      <c r="H86" s="5">
        <f>NORMINV(RAND(), $C$6, $C$7)</f>
        <v/>
      </c>
      <c r="J86" t="inlineStr">
        <is>
          <t>2025-12-19</t>
        </is>
      </c>
      <c r="K86" s="7" t="n">
        <v>273.67</v>
      </c>
      <c r="L86" s="5">
        <f>(K86-K85)/K85</f>
        <v/>
      </c>
      <c r="M86" s="5">
        <f>NORMINV(RAND(), $L$6, $L$7)</f>
        <v/>
      </c>
      <c r="N86" s="5">
        <f>NORMINV(RAND(), $L$6, $L$7)</f>
        <v/>
      </c>
      <c r="O86" s="5">
        <f>NORMINV(RAND(), $L$6, $L$7)</f>
        <v/>
      </c>
      <c r="P86" s="5">
        <f>NORMINV(RAND(), $L$6, $L$7)</f>
        <v/>
      </c>
      <c r="Q86" s="5">
        <f>NORMINV(RAND(), $L$6, $L$7)</f>
        <v/>
      </c>
    </row>
    <row r="87">
      <c r="A87" t="inlineStr">
        <is>
          <t>2025-12-22</t>
        </is>
      </c>
      <c r="B87" s="7" t="n">
        <v>311.33</v>
      </c>
      <c r="C87" s="5">
        <f>(B87-B86)/B86</f>
        <v/>
      </c>
      <c r="D87" s="5">
        <f>NORMINV(RAND(), $C$6, $C$7)</f>
        <v/>
      </c>
      <c r="E87" s="5">
        <f>NORMINV(RAND(), $C$6, $C$7)</f>
        <v/>
      </c>
      <c r="F87" s="5">
        <f>NORMINV(RAND(), $C$6, $C$7)</f>
        <v/>
      </c>
      <c r="G87" s="5">
        <f>NORMINV(RAND(), $C$6, $C$7)</f>
        <v/>
      </c>
      <c r="H87" s="5">
        <f>NORMINV(RAND(), $C$6, $C$7)</f>
        <v/>
      </c>
      <c r="J87" t="inlineStr">
        <is>
          <t>2025-12-22</t>
        </is>
      </c>
      <c r="K87" s="7" t="n">
        <v>270.97</v>
      </c>
      <c r="L87" s="5">
        <f>(K87-K86)/K86</f>
        <v/>
      </c>
      <c r="M87" s="5">
        <f>NORMINV(RAND(), $L$6, $L$7)</f>
        <v/>
      </c>
      <c r="N87" s="5">
        <f>NORMINV(RAND(), $L$6, $L$7)</f>
        <v/>
      </c>
      <c r="O87" s="5">
        <f>NORMINV(RAND(), $L$6, $L$7)</f>
        <v/>
      </c>
      <c r="P87" s="5">
        <f>NORMINV(RAND(), $L$6, $L$7)</f>
        <v/>
      </c>
      <c r="Q87" s="5">
        <f>NORMINV(RAND(), $L$6, $L$7)</f>
        <v/>
      </c>
    </row>
    <row r="88">
      <c r="A88" t="inlineStr">
        <is>
          <t>2025-12-23</t>
        </is>
      </c>
      <c r="B88" s="7" t="n">
        <v>315.68</v>
      </c>
      <c r="C88" s="5">
        <f>(B88-B87)/B87</f>
        <v/>
      </c>
      <c r="D88" s="5">
        <f>NORMINV(RAND(), $C$6, $C$7)</f>
        <v/>
      </c>
      <c r="E88" s="5">
        <f>NORMINV(RAND(), $C$6, $C$7)</f>
        <v/>
      </c>
      <c r="F88" s="5">
        <f>NORMINV(RAND(), $C$6, $C$7)</f>
        <v/>
      </c>
      <c r="G88" s="5">
        <f>NORMINV(RAND(), $C$6, $C$7)</f>
        <v/>
      </c>
      <c r="H88" s="5">
        <f>NORMINV(RAND(), $C$6, $C$7)</f>
        <v/>
      </c>
      <c r="J88" t="inlineStr">
        <is>
          <t>2025-12-23</t>
        </is>
      </c>
      <c r="K88" s="7" t="n">
        <v>272.36</v>
      </c>
      <c r="L88" s="5">
        <f>(K88-K87)/K87</f>
        <v/>
      </c>
      <c r="M88" s="5">
        <f>NORMINV(RAND(), $L$6, $L$7)</f>
        <v/>
      </c>
      <c r="N88" s="5">
        <f>NORMINV(RAND(), $L$6, $L$7)</f>
        <v/>
      </c>
      <c r="O88" s="5">
        <f>NORMINV(RAND(), $L$6, $L$7)</f>
        <v/>
      </c>
      <c r="P88" s="5">
        <f>NORMINV(RAND(), $L$6, $L$7)</f>
        <v/>
      </c>
      <c r="Q88" s="5">
        <f>NORMINV(RAND(), $L$6, $L$7)</f>
        <v/>
      </c>
    </row>
    <row r="89">
      <c r="A89" t="inlineStr">
        <is>
          <t>2025-12-24</t>
        </is>
      </c>
      <c r="B89" s="7" t="n">
        <v>315.67</v>
      </c>
      <c r="C89" s="5">
        <f>(B89-B88)/B88</f>
        <v/>
      </c>
      <c r="D89" s="5">
        <f>NORMINV(RAND(), $C$6, $C$7)</f>
        <v/>
      </c>
      <c r="E89" s="5">
        <f>NORMINV(RAND(), $C$6, $C$7)</f>
        <v/>
      </c>
      <c r="F89" s="5">
        <f>NORMINV(RAND(), $C$6, $C$7)</f>
        <v/>
      </c>
      <c r="G89" s="5">
        <f>NORMINV(RAND(), $C$6, $C$7)</f>
        <v/>
      </c>
      <c r="H89" s="5">
        <f>NORMINV(RAND(), $C$6, $C$7)</f>
        <v/>
      </c>
      <c r="J89" t="inlineStr">
        <is>
          <t>2025-12-24</t>
        </is>
      </c>
      <c r="K89" s="7" t="n">
        <v>273.81</v>
      </c>
      <c r="L89" s="5">
        <f>(K89-K88)/K88</f>
        <v/>
      </c>
      <c r="M89" s="5">
        <f>NORMINV(RAND(), $L$6, $L$7)</f>
        <v/>
      </c>
      <c r="N89" s="5">
        <f>NORMINV(RAND(), $L$6, $L$7)</f>
        <v/>
      </c>
      <c r="O89" s="5">
        <f>NORMINV(RAND(), $L$6, $L$7)</f>
        <v/>
      </c>
      <c r="P89" s="5">
        <f>NORMINV(RAND(), $L$6, $L$7)</f>
        <v/>
      </c>
      <c r="Q89" s="5">
        <f>NORMINV(RAND(), $L$6, $L$7)</f>
        <v/>
      </c>
    </row>
    <row r="90">
      <c r="A90" t="inlineStr">
        <is>
          <t>2025-12-26</t>
        </is>
      </c>
      <c r="B90" s="7" t="n">
        <v>314.96</v>
      </c>
      <c r="C90" s="5">
        <f>(B90-B89)/B89</f>
        <v/>
      </c>
      <c r="D90" s="5">
        <f>NORMINV(RAND(), $C$6, $C$7)</f>
        <v/>
      </c>
      <c r="E90" s="5">
        <f>NORMINV(RAND(), $C$6, $C$7)</f>
        <v/>
      </c>
      <c r="F90" s="5">
        <f>NORMINV(RAND(), $C$6, $C$7)</f>
        <v/>
      </c>
      <c r="G90" s="5">
        <f>NORMINV(RAND(), $C$6, $C$7)</f>
        <v/>
      </c>
      <c r="H90" s="5">
        <f>NORMINV(RAND(), $C$6, $C$7)</f>
        <v/>
      </c>
      <c r="J90" t="inlineStr">
        <is>
          <t>2025-12-26</t>
        </is>
      </c>
      <c r="K90" s="7" t="n">
        <v>273.4</v>
      </c>
      <c r="L90" s="5">
        <f>(K90-K89)/K89</f>
        <v/>
      </c>
      <c r="M90" s="5">
        <f>NORMINV(RAND(), $L$6, $L$7)</f>
        <v/>
      </c>
      <c r="N90" s="5">
        <f>NORMINV(RAND(), $L$6, $L$7)</f>
        <v/>
      </c>
      <c r="O90" s="5">
        <f>NORMINV(RAND(), $L$6, $L$7)</f>
        <v/>
      </c>
      <c r="P90" s="5">
        <f>NORMINV(RAND(), $L$6, $L$7)</f>
        <v/>
      </c>
      <c r="Q90" s="5">
        <f>NORMINV(RAND(), $L$6, $L$7)</f>
        <v/>
      </c>
    </row>
    <row r="91">
      <c r="A91" t="inlineStr">
        <is>
          <t>2025-12-29</t>
        </is>
      </c>
      <c r="B91" s="7" t="n">
        <v>314.39</v>
      </c>
      <c r="C91" s="5">
        <f>(B91-B90)/B90</f>
        <v/>
      </c>
      <c r="D91" s="5">
        <f>NORMINV(RAND(), $C$6, $C$7)</f>
        <v/>
      </c>
      <c r="E91" s="5">
        <f>NORMINV(RAND(), $C$6, $C$7)</f>
        <v/>
      </c>
      <c r="F91" s="5">
        <f>NORMINV(RAND(), $C$6, $C$7)</f>
        <v/>
      </c>
      <c r="G91" s="5">
        <f>NORMINV(RAND(), $C$6, $C$7)</f>
        <v/>
      </c>
      <c r="H91" s="5">
        <f>NORMINV(RAND(), $C$6, $C$7)</f>
        <v/>
      </c>
      <c r="J91" t="inlineStr">
        <is>
          <t>2025-12-29</t>
        </is>
      </c>
      <c r="K91" s="7" t="n">
        <v>273.76</v>
      </c>
      <c r="L91" s="5">
        <f>(K91-K90)/K90</f>
        <v/>
      </c>
      <c r="M91" s="5">
        <f>NORMINV(RAND(), $L$6, $L$7)</f>
        <v/>
      </c>
      <c r="N91" s="5">
        <f>NORMINV(RAND(), $L$6, $L$7)</f>
        <v/>
      </c>
      <c r="O91" s="5">
        <f>NORMINV(RAND(), $L$6, $L$7)</f>
        <v/>
      </c>
      <c r="P91" s="5">
        <f>NORMINV(RAND(), $L$6, $L$7)</f>
        <v/>
      </c>
      <c r="Q91" s="5">
        <f>NORMINV(RAND(), $L$6, $L$7)</f>
        <v/>
      </c>
    </row>
    <row r="92">
      <c r="A92" t="inlineStr">
        <is>
          <t>2025-12-30</t>
        </is>
      </c>
      <c r="B92" s="7" t="n">
        <v>314.55</v>
      </c>
      <c r="C92" s="5">
        <f>(B92-B91)/B91</f>
        <v/>
      </c>
      <c r="D92" s="5">
        <f>NORMINV(RAND(), $C$6, $C$7)</f>
        <v/>
      </c>
      <c r="E92" s="5">
        <f>NORMINV(RAND(), $C$6, $C$7)</f>
        <v/>
      </c>
      <c r="F92" s="5">
        <f>NORMINV(RAND(), $C$6, $C$7)</f>
        <v/>
      </c>
      <c r="G92" s="5">
        <f>NORMINV(RAND(), $C$6, $C$7)</f>
        <v/>
      </c>
      <c r="H92" s="5">
        <f>NORMINV(RAND(), $C$6, $C$7)</f>
        <v/>
      </c>
      <c r="J92" t="inlineStr">
        <is>
          <t>2025-12-30</t>
        </is>
      </c>
      <c r="K92" s="7" t="n">
        <v>273.08</v>
      </c>
      <c r="L92" s="5">
        <f>(K92-K91)/K91</f>
        <v/>
      </c>
      <c r="M92" s="5">
        <f>NORMINV(RAND(), $L$6, $L$7)</f>
        <v/>
      </c>
      <c r="N92" s="5">
        <f>NORMINV(RAND(), $L$6, $L$7)</f>
        <v/>
      </c>
      <c r="O92" s="5">
        <f>NORMINV(RAND(), $L$6, $L$7)</f>
        <v/>
      </c>
      <c r="P92" s="5">
        <f>NORMINV(RAND(), $L$6, $L$7)</f>
        <v/>
      </c>
      <c r="Q92" s="5">
        <f>NORMINV(RAND(), $L$6, $L$7)</f>
        <v/>
      </c>
    </row>
    <row r="93">
      <c r="A93" t="inlineStr">
        <is>
          <t>2025-12-31</t>
        </is>
      </c>
      <c r="B93" s="7" t="n">
        <v>313.8</v>
      </c>
      <c r="C93" s="5">
        <f>(B93-B92)/B92</f>
        <v/>
      </c>
      <c r="D93" s="5">
        <f>NORMINV(RAND(), $C$6, $C$7)</f>
        <v/>
      </c>
      <c r="E93" s="5">
        <f>NORMINV(RAND(), $C$6, $C$7)</f>
        <v/>
      </c>
      <c r="F93" s="5">
        <f>NORMINV(RAND(), $C$6, $C$7)</f>
        <v/>
      </c>
      <c r="G93" s="5">
        <f>NORMINV(RAND(), $C$6, $C$7)</f>
        <v/>
      </c>
      <c r="H93" s="5">
        <f>NORMINV(RAND(), $C$6, $C$7)</f>
        <v/>
      </c>
      <c r="J93" t="inlineStr">
        <is>
          <t>2025-12-31</t>
        </is>
      </c>
      <c r="K93" s="7" t="n">
        <v>271.86</v>
      </c>
      <c r="L93" s="5">
        <f>(K93-K92)/K92</f>
        <v/>
      </c>
      <c r="M93" s="5">
        <f>NORMINV(RAND(), $L$6, $L$7)</f>
        <v/>
      </c>
      <c r="N93" s="5">
        <f>NORMINV(RAND(), $L$6, $L$7)</f>
        <v/>
      </c>
      <c r="O93" s="5">
        <f>NORMINV(RAND(), $L$6, $L$7)</f>
        <v/>
      </c>
      <c r="P93" s="5">
        <f>NORMINV(RAND(), $L$6, $L$7)</f>
        <v/>
      </c>
      <c r="Q93" s="5">
        <f>NORMINV(RAND(), $L$6, $L$7)</f>
        <v/>
      </c>
    </row>
    <row r="94">
      <c r="A94" t="inlineStr">
        <is>
          <t>2026-01-02</t>
        </is>
      </c>
      <c r="B94" s="7" t="n">
        <v>315.32</v>
      </c>
      <c r="C94" s="5">
        <f>(B94-B93)/B93</f>
        <v/>
      </c>
      <c r="D94" s="5">
        <f>NORMINV(RAND(), $C$6, $C$7)</f>
        <v/>
      </c>
      <c r="E94" s="5">
        <f>NORMINV(RAND(), $C$6, $C$7)</f>
        <v/>
      </c>
      <c r="F94" s="5">
        <f>NORMINV(RAND(), $C$6, $C$7)</f>
        <v/>
      </c>
      <c r="G94" s="5">
        <f>NORMINV(RAND(), $C$6, $C$7)</f>
        <v/>
      </c>
      <c r="H94" s="5">
        <f>NORMINV(RAND(), $C$6, $C$7)</f>
        <v/>
      </c>
      <c r="J94" t="inlineStr">
        <is>
          <t>2026-01-02</t>
        </is>
      </c>
      <c r="K94" s="7" t="n">
        <v>271.01</v>
      </c>
      <c r="L94" s="5">
        <f>(K94-K93)/K93</f>
        <v/>
      </c>
      <c r="M94" s="5">
        <f>NORMINV(RAND(), $L$6, $L$7)</f>
        <v/>
      </c>
      <c r="N94" s="5">
        <f>NORMINV(RAND(), $L$6, $L$7)</f>
        <v/>
      </c>
      <c r="O94" s="5">
        <f>NORMINV(RAND(), $L$6, $L$7)</f>
        <v/>
      </c>
      <c r="P94" s="5">
        <f>NORMINV(RAND(), $L$6, $L$7)</f>
        <v/>
      </c>
      <c r="Q94" s="5">
        <f>NORMINV(RAND(), $L$6, $L$7)</f>
        <v/>
      </c>
    </row>
    <row r="95">
      <c r="A95" t="inlineStr">
        <is>
          <t>2026-01-05</t>
        </is>
      </c>
      <c r="B95" s="7" t="n">
        <v>317.32</v>
      </c>
      <c r="C95" s="5">
        <f>(B95-B94)/B94</f>
        <v/>
      </c>
      <c r="D95" s="5">
        <f>NORMINV(RAND(), $C$6, $C$7)</f>
        <v/>
      </c>
      <c r="E95" s="5">
        <f>NORMINV(RAND(), $C$6, $C$7)</f>
        <v/>
      </c>
      <c r="F95" s="5">
        <f>NORMINV(RAND(), $C$6, $C$7)</f>
        <v/>
      </c>
      <c r="G95" s="5">
        <f>NORMINV(RAND(), $C$6, $C$7)</f>
        <v/>
      </c>
      <c r="H95" s="5">
        <f>NORMINV(RAND(), $C$6, $C$7)</f>
        <v/>
      </c>
      <c r="J95" t="inlineStr">
        <is>
          <t>2026-01-05</t>
        </is>
      </c>
      <c r="K95" s="7" t="n">
        <v>267.26</v>
      </c>
      <c r="L95" s="5">
        <f>(K95-K94)/K94</f>
        <v/>
      </c>
      <c r="M95" s="5">
        <f>NORMINV(RAND(), $L$6, $L$7)</f>
        <v/>
      </c>
      <c r="N95" s="5">
        <f>NORMINV(RAND(), $L$6, $L$7)</f>
        <v/>
      </c>
      <c r="O95" s="5">
        <f>NORMINV(RAND(), $L$6, $L$7)</f>
        <v/>
      </c>
      <c r="P95" s="5">
        <f>NORMINV(RAND(), $L$6, $L$7)</f>
        <v/>
      </c>
      <c r="Q95" s="5">
        <f>NORMINV(RAND(), $L$6, $L$7)</f>
        <v/>
      </c>
    </row>
    <row r="96">
      <c r="A96" t="inlineStr">
        <is>
          <t>2026-01-06</t>
        </is>
      </c>
      <c r="B96" s="7" t="n">
        <v>314.55</v>
      </c>
      <c r="C96" s="5">
        <f>(B96-B95)/B95</f>
        <v/>
      </c>
      <c r="D96" s="5">
        <f>NORMINV(RAND(), $C$6, $C$7)</f>
        <v/>
      </c>
      <c r="E96" s="5">
        <f>NORMINV(RAND(), $C$6, $C$7)</f>
        <v/>
      </c>
      <c r="F96" s="5">
        <f>NORMINV(RAND(), $C$6, $C$7)</f>
        <v/>
      </c>
      <c r="G96" s="5">
        <f>NORMINV(RAND(), $C$6, $C$7)</f>
        <v/>
      </c>
      <c r="H96" s="5">
        <f>NORMINV(RAND(), $C$6, $C$7)</f>
        <v/>
      </c>
      <c r="J96" t="inlineStr">
        <is>
          <t>2026-01-06</t>
        </is>
      </c>
      <c r="K96" s="7" t="n">
        <v>262.36</v>
      </c>
      <c r="L96" s="5">
        <f>(K96-K95)/K95</f>
        <v/>
      </c>
      <c r="M96" s="5">
        <f>NORMINV(RAND(), $L$6, $L$7)</f>
        <v/>
      </c>
      <c r="N96" s="5">
        <f>NORMINV(RAND(), $L$6, $L$7)</f>
        <v/>
      </c>
      <c r="O96" s="5">
        <f>NORMINV(RAND(), $L$6, $L$7)</f>
        <v/>
      </c>
      <c r="P96" s="5">
        <f>NORMINV(RAND(), $L$6, $L$7)</f>
        <v/>
      </c>
      <c r="Q96" s="5">
        <f>NORMINV(RAND(), $L$6, $L$7)</f>
        <v/>
      </c>
    </row>
    <row r="97">
      <c r="A97" t="inlineStr">
        <is>
          <t>2026-01-07</t>
        </is>
      </c>
      <c r="B97" s="7" t="n">
        <v>322.43</v>
      </c>
      <c r="C97" s="5">
        <f>(B97-B96)/B96</f>
        <v/>
      </c>
      <c r="D97" s="5">
        <f>NORMINV(RAND(), $C$6, $C$7)</f>
        <v/>
      </c>
      <c r="E97" s="5">
        <f>NORMINV(RAND(), $C$6, $C$7)</f>
        <v/>
      </c>
      <c r="F97" s="5">
        <f>NORMINV(RAND(), $C$6, $C$7)</f>
        <v/>
      </c>
      <c r="G97" s="5">
        <f>NORMINV(RAND(), $C$6, $C$7)</f>
        <v/>
      </c>
      <c r="H97" s="5">
        <f>NORMINV(RAND(), $C$6, $C$7)</f>
        <v/>
      </c>
      <c r="J97" t="inlineStr">
        <is>
          <t>2026-01-07</t>
        </is>
      </c>
      <c r="K97" s="7" t="n">
        <v>260.33</v>
      </c>
      <c r="L97" s="5">
        <f>(K97-K96)/K96</f>
        <v/>
      </c>
      <c r="M97" s="5">
        <f>NORMINV(RAND(), $L$6, $L$7)</f>
        <v/>
      </c>
      <c r="N97" s="5">
        <f>NORMINV(RAND(), $L$6, $L$7)</f>
        <v/>
      </c>
      <c r="O97" s="5">
        <f>NORMINV(RAND(), $L$6, $L$7)</f>
        <v/>
      </c>
      <c r="P97" s="5">
        <f>NORMINV(RAND(), $L$6, $L$7)</f>
        <v/>
      </c>
      <c r="Q97" s="5">
        <f>NORMINV(RAND(), $L$6, $L$7)</f>
        <v/>
      </c>
    </row>
    <row r="98">
      <c r="A98" t="inlineStr">
        <is>
          <t>2026-01-08</t>
        </is>
      </c>
      <c r="B98" s="7" t="n">
        <v>326.01</v>
      </c>
      <c r="C98" s="5">
        <f>(B98-B97)/B97</f>
        <v/>
      </c>
      <c r="D98" s="5">
        <f>NORMINV(RAND(), $C$6, $C$7)</f>
        <v/>
      </c>
      <c r="E98" s="5">
        <f>NORMINV(RAND(), $C$6, $C$7)</f>
        <v/>
      </c>
      <c r="F98" s="5">
        <f>NORMINV(RAND(), $C$6, $C$7)</f>
        <v/>
      </c>
      <c r="G98" s="5">
        <f>NORMINV(RAND(), $C$6, $C$7)</f>
        <v/>
      </c>
      <c r="H98" s="5">
        <f>NORMINV(RAND(), $C$6, $C$7)</f>
        <v/>
      </c>
      <c r="J98" t="inlineStr">
        <is>
          <t>2026-01-08</t>
        </is>
      </c>
      <c r="K98" s="7" t="n">
        <v>259.04</v>
      </c>
      <c r="L98" s="5">
        <f>(K98-K97)/K97</f>
        <v/>
      </c>
      <c r="M98" s="5">
        <f>NORMINV(RAND(), $L$6, $L$7)</f>
        <v/>
      </c>
      <c r="N98" s="5">
        <f>NORMINV(RAND(), $L$6, $L$7)</f>
        <v/>
      </c>
      <c r="O98" s="5">
        <f>NORMINV(RAND(), $L$6, $L$7)</f>
        <v/>
      </c>
      <c r="P98" s="5">
        <f>NORMINV(RAND(), $L$6, $L$7)</f>
        <v/>
      </c>
      <c r="Q98" s="5">
        <f>NORMINV(RAND(), $L$6, $L$7)</f>
        <v/>
      </c>
    </row>
    <row r="99">
      <c r="A99" t="inlineStr">
        <is>
          <t>2026-01-09</t>
        </is>
      </c>
      <c r="B99" s="7" t="n">
        <v>329.14</v>
      </c>
      <c r="C99" s="5">
        <f>(B99-B98)/B98</f>
        <v/>
      </c>
      <c r="D99" s="5">
        <f>NORMINV(RAND(), $C$6, $C$7)</f>
        <v/>
      </c>
      <c r="E99" s="5">
        <f>NORMINV(RAND(), $C$6, $C$7)</f>
        <v/>
      </c>
      <c r="F99" s="5">
        <f>NORMINV(RAND(), $C$6, $C$7)</f>
        <v/>
      </c>
      <c r="G99" s="5">
        <f>NORMINV(RAND(), $C$6, $C$7)</f>
        <v/>
      </c>
      <c r="H99" s="5">
        <f>NORMINV(RAND(), $C$6, $C$7)</f>
        <v/>
      </c>
      <c r="J99" t="inlineStr">
        <is>
          <t>2026-01-09</t>
        </is>
      </c>
      <c r="K99" s="7" t="n">
        <v>259.37</v>
      </c>
      <c r="L99" s="5">
        <f>(K99-K98)/K98</f>
        <v/>
      </c>
      <c r="M99" s="5">
        <f>NORMINV(RAND(), $L$6, $L$7)</f>
        <v/>
      </c>
      <c r="N99" s="5">
        <f>NORMINV(RAND(), $L$6, $L$7)</f>
        <v/>
      </c>
      <c r="O99" s="5">
        <f>NORMINV(RAND(), $L$6, $L$7)</f>
        <v/>
      </c>
      <c r="P99" s="5">
        <f>NORMINV(RAND(), $L$6, $L$7)</f>
        <v/>
      </c>
      <c r="Q99" s="5">
        <f>NORMINV(RAND(), $L$6, $L$7)</f>
        <v/>
      </c>
    </row>
    <row r="100">
      <c r="A100" t="inlineStr">
        <is>
          <t>2026-01-12</t>
        </is>
      </c>
      <c r="B100" s="7" t="n">
        <v>332.73</v>
      </c>
      <c r="C100" s="5">
        <f>(B100-B99)/B99</f>
        <v/>
      </c>
      <c r="D100" s="5">
        <f>NORMINV(RAND(), $C$6, $C$7)</f>
        <v/>
      </c>
      <c r="E100" s="5">
        <f>NORMINV(RAND(), $C$6, $C$7)</f>
        <v/>
      </c>
      <c r="F100" s="5">
        <f>NORMINV(RAND(), $C$6, $C$7)</f>
        <v/>
      </c>
      <c r="G100" s="5">
        <f>NORMINV(RAND(), $C$6, $C$7)</f>
        <v/>
      </c>
      <c r="H100" s="5">
        <f>NORMINV(RAND(), $C$6, $C$7)</f>
        <v/>
      </c>
      <c r="J100" t="inlineStr">
        <is>
          <t>2026-01-12</t>
        </is>
      </c>
      <c r="K100" s="7" t="n">
        <v>260.25</v>
      </c>
      <c r="L100" s="5">
        <f>(K100-K99)/K99</f>
        <v/>
      </c>
      <c r="M100" s="5">
        <f>NORMINV(RAND(), $L$6, $L$7)</f>
        <v/>
      </c>
      <c r="N100" s="5">
        <f>NORMINV(RAND(), $L$6, $L$7)</f>
        <v/>
      </c>
      <c r="O100" s="5">
        <f>NORMINV(RAND(), $L$6, $L$7)</f>
        <v/>
      </c>
      <c r="P100" s="5">
        <f>NORMINV(RAND(), $L$6, $L$7)</f>
        <v/>
      </c>
      <c r="Q100" s="5">
        <f>NORMINV(RAND(), $L$6, $L$7)</f>
        <v/>
      </c>
    </row>
    <row r="101">
      <c r="A101" t="inlineStr">
        <is>
          <t>2026-01-13</t>
        </is>
      </c>
      <c r="B101" s="7" t="n">
        <v>336.43</v>
      </c>
      <c r="C101" s="5">
        <f>(B101-B100)/B100</f>
        <v/>
      </c>
      <c r="D101" s="5">
        <f>NORMINV(RAND(), $C$6, $C$7)</f>
        <v/>
      </c>
      <c r="E101" s="5">
        <f>NORMINV(RAND(), $C$6, $C$7)</f>
        <v/>
      </c>
      <c r="F101" s="5">
        <f>NORMINV(RAND(), $C$6, $C$7)</f>
        <v/>
      </c>
      <c r="G101" s="5">
        <f>NORMINV(RAND(), $C$6, $C$7)</f>
        <v/>
      </c>
      <c r="H101" s="5">
        <f>NORMINV(RAND(), $C$6, $C$7)</f>
        <v/>
      </c>
      <c r="J101" t="inlineStr">
        <is>
          <t>2026-01-13</t>
        </is>
      </c>
      <c r="K101" s="7" t="n">
        <v>261.05</v>
      </c>
      <c r="L101" s="5">
        <f>(K101-K100)/K100</f>
        <v/>
      </c>
      <c r="M101" s="5">
        <f>NORMINV(RAND(), $L$6, $L$7)</f>
        <v/>
      </c>
      <c r="N101" s="5">
        <f>NORMINV(RAND(), $L$6, $L$7)</f>
        <v/>
      </c>
      <c r="O101" s="5">
        <f>NORMINV(RAND(), $L$6, $L$7)</f>
        <v/>
      </c>
      <c r="P101" s="5">
        <f>NORMINV(RAND(), $L$6, $L$7)</f>
        <v/>
      </c>
      <c r="Q101" s="5">
        <f>NORMINV(RAND(), $L$6, $L$7)</f>
        <v/>
      </c>
    </row>
    <row r="102">
      <c r="A102" t="inlineStr">
        <is>
          <t>2026-01-14</t>
        </is>
      </c>
      <c r="B102" s="7" t="n">
        <v>336.31</v>
      </c>
      <c r="C102" s="5">
        <f>(B102-B101)/B101</f>
        <v/>
      </c>
      <c r="D102" s="5">
        <f>NORMINV(RAND(), $C$6, $C$7)</f>
        <v/>
      </c>
      <c r="E102" s="5">
        <f>NORMINV(RAND(), $C$6, $C$7)</f>
        <v/>
      </c>
      <c r="F102" s="5">
        <f>NORMINV(RAND(), $C$6, $C$7)</f>
        <v/>
      </c>
      <c r="G102" s="5">
        <f>NORMINV(RAND(), $C$6, $C$7)</f>
        <v/>
      </c>
      <c r="H102" s="5">
        <f>NORMINV(RAND(), $C$6, $C$7)</f>
        <v/>
      </c>
      <c r="J102" t="inlineStr">
        <is>
          <t>2026-01-14</t>
        </is>
      </c>
      <c r="K102" s="7" t="n">
        <v>259.96</v>
      </c>
      <c r="L102" s="5">
        <f>(K102-K101)/K101</f>
        <v/>
      </c>
      <c r="M102" s="5">
        <f>NORMINV(RAND(), $L$6, $L$7)</f>
        <v/>
      </c>
      <c r="N102" s="5">
        <f>NORMINV(RAND(), $L$6, $L$7)</f>
        <v/>
      </c>
      <c r="O102" s="5">
        <f>NORMINV(RAND(), $L$6, $L$7)</f>
        <v/>
      </c>
      <c r="P102" s="5">
        <f>NORMINV(RAND(), $L$6, $L$7)</f>
        <v/>
      </c>
      <c r="Q102" s="5">
        <f>NORMINV(RAND(), $L$6, $L$7)</f>
        <v/>
      </c>
    </row>
    <row r="103">
      <c r="A103" t="inlineStr">
        <is>
          <t>2026-01-15</t>
        </is>
      </c>
      <c r="B103" s="7" t="n">
        <v>333.16</v>
      </c>
      <c r="C103" s="5">
        <f>(B103-B102)/B102</f>
        <v/>
      </c>
      <c r="D103" s="5">
        <f>NORMINV(RAND(), $C$6, $C$7)</f>
        <v/>
      </c>
      <c r="E103" s="5">
        <f>NORMINV(RAND(), $C$6, $C$7)</f>
        <v/>
      </c>
      <c r="F103" s="5">
        <f>NORMINV(RAND(), $C$6, $C$7)</f>
        <v/>
      </c>
      <c r="G103" s="5">
        <f>NORMINV(RAND(), $C$6, $C$7)</f>
        <v/>
      </c>
      <c r="H103" s="5">
        <f>NORMINV(RAND(), $C$6, $C$7)</f>
        <v/>
      </c>
      <c r="J103" t="inlineStr">
        <is>
          <t>2026-01-15</t>
        </is>
      </c>
      <c r="K103" s="7" t="n">
        <v>258.21</v>
      </c>
      <c r="L103" s="5">
        <f>(K103-K102)/K102</f>
        <v/>
      </c>
      <c r="M103" s="5">
        <f>NORMINV(RAND(), $L$6, $L$7)</f>
        <v/>
      </c>
      <c r="N103" s="5">
        <f>NORMINV(RAND(), $L$6, $L$7)</f>
        <v/>
      </c>
      <c r="O103" s="5">
        <f>NORMINV(RAND(), $L$6, $L$7)</f>
        <v/>
      </c>
      <c r="P103" s="5">
        <f>NORMINV(RAND(), $L$6, $L$7)</f>
        <v/>
      </c>
      <c r="Q103" s="5">
        <f>NORMINV(RAND(), $L$6, $L$7)</f>
        <v/>
      </c>
    </row>
    <row r="104">
      <c r="A104" t="inlineStr">
        <is>
          <t>2026-01-16</t>
        </is>
      </c>
      <c r="B104" s="7" t="n">
        <v>330.34</v>
      </c>
      <c r="C104" s="5">
        <f>(B104-B103)/B103</f>
        <v/>
      </c>
      <c r="D104" s="5">
        <f>NORMINV(RAND(), $C$6, $C$7)</f>
        <v/>
      </c>
      <c r="E104" s="5">
        <f>NORMINV(RAND(), $C$6, $C$7)</f>
        <v/>
      </c>
      <c r="F104" s="5">
        <f>NORMINV(RAND(), $C$6, $C$7)</f>
        <v/>
      </c>
      <c r="G104" s="5">
        <f>NORMINV(RAND(), $C$6, $C$7)</f>
        <v/>
      </c>
      <c r="H104" s="5">
        <f>NORMINV(RAND(), $C$6, $C$7)</f>
        <v/>
      </c>
      <c r="J104" t="inlineStr">
        <is>
          <t>2026-01-16</t>
        </is>
      </c>
      <c r="K104" s="7" t="n">
        <v>255.53</v>
      </c>
      <c r="L104" s="5">
        <f>(K104-K103)/K103</f>
        <v/>
      </c>
      <c r="M104" s="5">
        <f>NORMINV(RAND(), $L$6, $L$7)</f>
        <v/>
      </c>
      <c r="N104" s="5">
        <f>NORMINV(RAND(), $L$6, $L$7)</f>
        <v/>
      </c>
      <c r="O104" s="5">
        <f>NORMINV(RAND(), $L$6, $L$7)</f>
        <v/>
      </c>
      <c r="P104" s="5">
        <f>NORMINV(RAND(), $L$6, $L$7)</f>
        <v/>
      </c>
      <c r="Q104" s="5">
        <f>NORMINV(RAND(), $L$6, $L$7)</f>
        <v/>
      </c>
    </row>
    <row r="105">
      <c r="A105" t="inlineStr">
        <is>
          <t>2026-01-20</t>
        </is>
      </c>
      <c r="B105" s="7" t="n">
        <v>322.16</v>
      </c>
      <c r="C105" s="5">
        <f>(B105-B104)/B104</f>
        <v/>
      </c>
      <c r="D105" s="5">
        <f>NORMINV(RAND(), $C$6, $C$7)</f>
        <v/>
      </c>
      <c r="E105" s="5">
        <f>NORMINV(RAND(), $C$6, $C$7)</f>
        <v/>
      </c>
      <c r="F105" s="5">
        <f>NORMINV(RAND(), $C$6, $C$7)</f>
        <v/>
      </c>
      <c r="G105" s="5">
        <f>NORMINV(RAND(), $C$6, $C$7)</f>
        <v/>
      </c>
      <c r="H105" s="5">
        <f>NORMINV(RAND(), $C$6, $C$7)</f>
        <v/>
      </c>
      <c r="J105" t="inlineStr">
        <is>
          <t>2026-01-20</t>
        </is>
      </c>
      <c r="K105" s="7" t="n">
        <v>246.7</v>
      </c>
      <c r="L105" s="5">
        <f>(K105-K104)/K104</f>
        <v/>
      </c>
      <c r="M105" s="5">
        <f>NORMINV(RAND(), $L$6, $L$7)</f>
        <v/>
      </c>
      <c r="N105" s="5">
        <f>NORMINV(RAND(), $L$6, $L$7)</f>
        <v/>
      </c>
      <c r="O105" s="5">
        <f>NORMINV(RAND(), $L$6, $L$7)</f>
        <v/>
      </c>
      <c r="P105" s="5">
        <f>NORMINV(RAND(), $L$6, $L$7)</f>
        <v/>
      </c>
      <c r="Q105" s="5">
        <f>NORMINV(RAND(), $L$6, $L$7)</f>
        <v/>
      </c>
    </row>
    <row r="106">
      <c r="A106" t="inlineStr">
        <is>
          <t>2026-01-21</t>
        </is>
      </c>
      <c r="B106" s="7" t="n">
        <v>328.38</v>
      </c>
      <c r="C106" s="5">
        <f>(B106-B105)/B105</f>
        <v/>
      </c>
      <c r="D106" s="5">
        <f>NORMINV(RAND(), $C$6, $C$7)</f>
        <v/>
      </c>
      <c r="E106" s="5">
        <f>NORMINV(RAND(), $C$6, $C$7)</f>
        <v/>
      </c>
      <c r="F106" s="5">
        <f>NORMINV(RAND(), $C$6, $C$7)</f>
        <v/>
      </c>
      <c r="G106" s="5">
        <f>NORMINV(RAND(), $C$6, $C$7)</f>
        <v/>
      </c>
      <c r="H106" s="5">
        <f>NORMINV(RAND(), $C$6, $C$7)</f>
        <v/>
      </c>
      <c r="J106" t="inlineStr">
        <is>
          <t>2026-01-21</t>
        </is>
      </c>
      <c r="K106" s="7" t="n">
        <v>247.65</v>
      </c>
      <c r="L106" s="5">
        <f>(K106-K105)/K105</f>
        <v/>
      </c>
      <c r="M106" s="5">
        <f>NORMINV(RAND(), $L$6, $L$7)</f>
        <v/>
      </c>
      <c r="N106" s="5">
        <f>NORMINV(RAND(), $L$6, $L$7)</f>
        <v/>
      </c>
      <c r="O106" s="5">
        <f>NORMINV(RAND(), $L$6, $L$7)</f>
        <v/>
      </c>
      <c r="P106" s="5">
        <f>NORMINV(RAND(), $L$6, $L$7)</f>
        <v/>
      </c>
      <c r="Q106" s="5">
        <f>NORMINV(RAND(), $L$6, $L$7)</f>
        <v/>
      </c>
    </row>
    <row r="107">
      <c r="A107" t="inlineStr">
        <is>
          <t>2026-01-22</t>
        </is>
      </c>
      <c r="B107" s="7" t="n">
        <v>330.84</v>
      </c>
      <c r="C107" s="5">
        <f>(B107-B106)/B106</f>
        <v/>
      </c>
      <c r="D107" s="5">
        <f>NORMINV(RAND(), $C$6, $C$7)</f>
        <v/>
      </c>
      <c r="E107" s="5">
        <f>NORMINV(RAND(), $C$6, $C$7)</f>
        <v/>
      </c>
      <c r="F107" s="5">
        <f>NORMINV(RAND(), $C$6, $C$7)</f>
        <v/>
      </c>
      <c r="G107" s="5">
        <f>NORMINV(RAND(), $C$6, $C$7)</f>
        <v/>
      </c>
      <c r="H107" s="5">
        <f>NORMINV(RAND(), $C$6, $C$7)</f>
        <v/>
      </c>
      <c r="J107" t="inlineStr">
        <is>
          <t>2026-01-22</t>
        </is>
      </c>
      <c r="K107" s="7" t="n">
        <v>248.35</v>
      </c>
      <c r="L107" s="5">
        <f>(K107-K106)/K106</f>
        <v/>
      </c>
      <c r="M107" s="5">
        <f>NORMINV(RAND(), $L$6, $L$7)</f>
        <v/>
      </c>
      <c r="N107" s="5">
        <f>NORMINV(RAND(), $L$6, $L$7)</f>
        <v/>
      </c>
      <c r="O107" s="5">
        <f>NORMINV(RAND(), $L$6, $L$7)</f>
        <v/>
      </c>
      <c r="P107" s="5">
        <f>NORMINV(RAND(), $L$6, $L$7)</f>
        <v/>
      </c>
      <c r="Q107" s="5">
        <f>NORMINV(RAND(), $L$6, $L$7)</f>
        <v/>
      </c>
    </row>
    <row r="108">
      <c r="A108" t="inlineStr">
        <is>
          <t>2026-01-23</t>
        </is>
      </c>
      <c r="B108" s="7" t="n">
        <v>328.43</v>
      </c>
      <c r="C108" s="5">
        <f>(B108-B107)/B107</f>
        <v/>
      </c>
      <c r="D108" s="5">
        <f>NORMINV(RAND(), $C$6, $C$7)</f>
        <v/>
      </c>
      <c r="E108" s="5">
        <f>NORMINV(RAND(), $C$6, $C$7)</f>
        <v/>
      </c>
      <c r="F108" s="5">
        <f>NORMINV(RAND(), $C$6, $C$7)</f>
        <v/>
      </c>
      <c r="G108" s="5">
        <f>NORMINV(RAND(), $C$6, $C$7)</f>
        <v/>
      </c>
      <c r="H108" s="5">
        <f>NORMINV(RAND(), $C$6, $C$7)</f>
        <v/>
      </c>
      <c r="J108" t="inlineStr">
        <is>
          <t>2026-01-23</t>
        </is>
      </c>
      <c r="K108" s="7" t="n">
        <v>248.04</v>
      </c>
      <c r="L108" s="5">
        <f>(K108-K107)/K107</f>
        <v/>
      </c>
      <c r="M108" s="5">
        <f>NORMINV(RAND(), $L$6, $L$7)</f>
        <v/>
      </c>
      <c r="N108" s="5">
        <f>NORMINV(RAND(), $L$6, $L$7)</f>
        <v/>
      </c>
      <c r="O108" s="5">
        <f>NORMINV(RAND(), $L$6, $L$7)</f>
        <v/>
      </c>
      <c r="P108" s="5">
        <f>NORMINV(RAND(), $L$6, $L$7)</f>
        <v/>
      </c>
      <c r="Q108" s="5">
        <f>NORMINV(RAND(), $L$6, $L$7)</f>
        <v/>
      </c>
    </row>
    <row r="109">
      <c r="A109" t="inlineStr">
        <is>
          <t>2026-01-26</t>
        </is>
      </c>
      <c r="B109" s="7" t="n">
        <v>333.59</v>
      </c>
      <c r="C109" s="5">
        <f>(B109-B108)/B108</f>
        <v/>
      </c>
      <c r="D109" s="5">
        <f>NORMINV(RAND(), $C$6, $C$7)</f>
        <v/>
      </c>
      <c r="E109" s="5">
        <f>NORMINV(RAND(), $C$6, $C$7)</f>
        <v/>
      </c>
      <c r="F109" s="5">
        <f>NORMINV(RAND(), $C$6, $C$7)</f>
        <v/>
      </c>
      <c r="G109" s="5">
        <f>NORMINV(RAND(), $C$6, $C$7)</f>
        <v/>
      </c>
      <c r="H109" s="5">
        <f>NORMINV(RAND(), $C$6, $C$7)</f>
        <v/>
      </c>
      <c r="J109" t="inlineStr">
        <is>
          <t>2026-01-26</t>
        </is>
      </c>
      <c r="K109" s="7" t="n">
        <v>255.41</v>
      </c>
      <c r="L109" s="5">
        <f>(K109-K108)/K108</f>
        <v/>
      </c>
      <c r="M109" s="5">
        <f>NORMINV(RAND(), $L$6, $L$7)</f>
        <v/>
      </c>
      <c r="N109" s="5">
        <f>NORMINV(RAND(), $L$6, $L$7)</f>
        <v/>
      </c>
      <c r="O109" s="5">
        <f>NORMINV(RAND(), $L$6, $L$7)</f>
        <v/>
      </c>
      <c r="P109" s="5">
        <f>NORMINV(RAND(), $L$6, $L$7)</f>
        <v/>
      </c>
      <c r="Q109" s="5">
        <f>NORMINV(RAND(), $L$6, $L$7)</f>
        <v/>
      </c>
    </row>
    <row r="110">
      <c r="A110" t="inlineStr">
        <is>
          <t>2026-01-27</t>
        </is>
      </c>
      <c r="B110" s="7" t="n">
        <v>335</v>
      </c>
      <c r="C110" s="5">
        <f>(B110-B109)/B109</f>
        <v/>
      </c>
      <c r="D110" s="5">
        <f>NORMINV(RAND(), $C$6, $C$7)</f>
        <v/>
      </c>
      <c r="E110" s="5">
        <f>NORMINV(RAND(), $C$6, $C$7)</f>
        <v/>
      </c>
      <c r="F110" s="5">
        <f>NORMINV(RAND(), $C$6, $C$7)</f>
        <v/>
      </c>
      <c r="G110" s="5">
        <f>NORMINV(RAND(), $C$6, $C$7)</f>
        <v/>
      </c>
      <c r="H110" s="5">
        <f>NORMINV(RAND(), $C$6, $C$7)</f>
        <v/>
      </c>
      <c r="J110" t="inlineStr">
        <is>
          <t>2026-01-27</t>
        </is>
      </c>
      <c r="K110" s="7" t="n">
        <v>258.27</v>
      </c>
      <c r="L110" s="5">
        <f>(K110-K109)/K109</f>
        <v/>
      </c>
      <c r="M110" s="5">
        <f>NORMINV(RAND(), $L$6, $L$7)</f>
        <v/>
      </c>
      <c r="N110" s="5">
        <f>NORMINV(RAND(), $L$6, $L$7)</f>
        <v/>
      </c>
      <c r="O110" s="5">
        <f>NORMINV(RAND(), $L$6, $L$7)</f>
        <v/>
      </c>
      <c r="P110" s="5">
        <f>NORMINV(RAND(), $L$6, $L$7)</f>
        <v/>
      </c>
      <c r="Q110" s="5">
        <f>NORMINV(RAND(), $L$6, $L$7)</f>
        <v/>
      </c>
    </row>
    <row r="111">
      <c r="A111" t="inlineStr">
        <is>
          <t>2026-01-28</t>
        </is>
      </c>
      <c r="B111" s="7" t="n">
        <v>336.28</v>
      </c>
      <c r="C111" s="5">
        <f>(B111-B110)/B110</f>
        <v/>
      </c>
      <c r="D111" s="5">
        <f>NORMINV(RAND(), $C$6, $C$7)</f>
        <v/>
      </c>
      <c r="E111" s="5">
        <f>NORMINV(RAND(), $C$6, $C$7)</f>
        <v/>
      </c>
      <c r="F111" s="5">
        <f>NORMINV(RAND(), $C$6, $C$7)</f>
        <v/>
      </c>
      <c r="G111" s="5">
        <f>NORMINV(RAND(), $C$6, $C$7)</f>
        <v/>
      </c>
      <c r="H111" s="5">
        <f>NORMINV(RAND(), $C$6, $C$7)</f>
        <v/>
      </c>
      <c r="J111" t="inlineStr">
        <is>
          <t>2026-01-28</t>
        </is>
      </c>
      <c r="K111" s="7" t="n">
        <v>256.44</v>
      </c>
      <c r="L111" s="5">
        <f>(K111-K110)/K110</f>
        <v/>
      </c>
      <c r="M111" s="5">
        <f>NORMINV(RAND(), $L$6, $L$7)</f>
        <v/>
      </c>
      <c r="N111" s="5">
        <f>NORMINV(RAND(), $L$6, $L$7)</f>
        <v/>
      </c>
      <c r="O111" s="5">
        <f>NORMINV(RAND(), $L$6, $L$7)</f>
        <v/>
      </c>
      <c r="P111" s="5">
        <f>NORMINV(RAND(), $L$6, $L$7)</f>
        <v/>
      </c>
      <c r="Q111" s="5">
        <f>NORMINV(RAND(), $L$6, $L$7)</f>
        <v/>
      </c>
    </row>
    <row r="112">
      <c r="A112" t="inlineStr">
        <is>
          <t>2026-01-29</t>
        </is>
      </c>
      <c r="B112" s="7" t="n">
        <v>338.66</v>
      </c>
      <c r="C112" s="5">
        <f>(B112-B111)/B111</f>
        <v/>
      </c>
      <c r="D112" s="5">
        <f>NORMINV(RAND(), $C$6, $C$7)</f>
        <v/>
      </c>
      <c r="E112" s="5">
        <f>NORMINV(RAND(), $C$6, $C$7)</f>
        <v/>
      </c>
      <c r="F112" s="5">
        <f>NORMINV(RAND(), $C$6, $C$7)</f>
        <v/>
      </c>
      <c r="G112" s="5">
        <f>NORMINV(RAND(), $C$6, $C$7)</f>
        <v/>
      </c>
      <c r="H112" s="5">
        <f>NORMINV(RAND(), $C$6, $C$7)</f>
        <v/>
      </c>
      <c r="J112" t="inlineStr">
        <is>
          <t>2026-01-29</t>
        </is>
      </c>
      <c r="K112" s="7" t="n">
        <v>258.28</v>
      </c>
      <c r="L112" s="5">
        <f>(K112-K111)/K111</f>
        <v/>
      </c>
      <c r="M112" s="5">
        <f>NORMINV(RAND(), $L$6, $L$7)</f>
        <v/>
      </c>
      <c r="N112" s="5">
        <f>NORMINV(RAND(), $L$6, $L$7)</f>
        <v/>
      </c>
      <c r="O112" s="5">
        <f>NORMINV(RAND(), $L$6, $L$7)</f>
        <v/>
      </c>
      <c r="P112" s="5">
        <f>NORMINV(RAND(), $L$6, $L$7)</f>
        <v/>
      </c>
      <c r="Q112" s="5">
        <f>NORMINV(RAND(), $L$6, $L$7)</f>
        <v/>
      </c>
    </row>
    <row r="113">
      <c r="A113" t="inlineStr">
        <is>
          <t>2026-01-30</t>
        </is>
      </c>
      <c r="B113" s="7" t="n">
        <v>338.53</v>
      </c>
      <c r="C113" s="5">
        <f>(B113-B112)/B112</f>
        <v/>
      </c>
      <c r="D113" s="5">
        <f>NORMINV(RAND(), $C$6, $C$7)</f>
        <v/>
      </c>
      <c r="E113" s="5">
        <f>NORMINV(RAND(), $C$6, $C$7)</f>
        <v/>
      </c>
      <c r="F113" s="5">
        <f>NORMINV(RAND(), $C$6, $C$7)</f>
        <v/>
      </c>
      <c r="G113" s="5">
        <f>NORMINV(RAND(), $C$6, $C$7)</f>
        <v/>
      </c>
      <c r="H113" s="5">
        <f>NORMINV(RAND(), $C$6, $C$7)</f>
        <v/>
      </c>
      <c r="J113" t="inlineStr">
        <is>
          <t>2026-01-30</t>
        </is>
      </c>
      <c r="K113" s="7" t="n">
        <v>259.48</v>
      </c>
      <c r="L113" s="5">
        <f>(K113-K112)/K112</f>
        <v/>
      </c>
      <c r="M113" s="5">
        <f>NORMINV(RAND(), $L$6, $L$7)</f>
        <v/>
      </c>
      <c r="N113" s="5">
        <f>NORMINV(RAND(), $L$6, $L$7)</f>
        <v/>
      </c>
      <c r="O113" s="5">
        <f>NORMINV(RAND(), $L$6, $L$7)</f>
        <v/>
      </c>
      <c r="P113" s="5">
        <f>NORMINV(RAND(), $L$6, $L$7)</f>
        <v/>
      </c>
      <c r="Q113" s="5">
        <f>NORMINV(RAND(), $L$6, $L$7)</f>
        <v/>
      </c>
    </row>
    <row r="114">
      <c r="A114" t="inlineStr">
        <is>
          <t>2026-02-02</t>
        </is>
      </c>
      <c r="B114" s="7" t="n">
        <v>344.9</v>
      </c>
      <c r="C114" s="5">
        <f>(B114-B113)/B113</f>
        <v/>
      </c>
      <c r="D114" s="5">
        <f>NORMINV(RAND(), $C$6, $C$7)</f>
        <v/>
      </c>
      <c r="E114" s="5">
        <f>NORMINV(RAND(), $C$6, $C$7)</f>
        <v/>
      </c>
      <c r="F114" s="5">
        <f>NORMINV(RAND(), $C$6, $C$7)</f>
        <v/>
      </c>
      <c r="G114" s="5">
        <f>NORMINV(RAND(), $C$6, $C$7)</f>
        <v/>
      </c>
      <c r="H114" s="5">
        <f>NORMINV(RAND(), $C$6, $C$7)</f>
        <v/>
      </c>
      <c r="J114" t="inlineStr">
        <is>
          <t>2026-02-02</t>
        </is>
      </c>
      <c r="K114" s="7" t="n">
        <v>270.01</v>
      </c>
      <c r="L114" s="5">
        <f>(K114-K113)/K113</f>
        <v/>
      </c>
      <c r="M114" s="5">
        <f>NORMINV(RAND(), $L$6, $L$7)</f>
        <v/>
      </c>
      <c r="N114" s="5">
        <f>NORMINV(RAND(), $L$6, $L$7)</f>
        <v/>
      </c>
      <c r="O114" s="5">
        <f>NORMINV(RAND(), $L$6, $L$7)</f>
        <v/>
      </c>
      <c r="P114" s="5">
        <f>NORMINV(RAND(), $L$6, $L$7)</f>
        <v/>
      </c>
      <c r="Q114" s="5">
        <f>NORMINV(RAND(), $L$6, $L$7)</f>
        <v/>
      </c>
    </row>
    <row r="115">
      <c r="A115" t="inlineStr">
        <is>
          <t>2026-02-03</t>
        </is>
      </c>
      <c r="B115" s="7" t="n">
        <v>340.7</v>
      </c>
      <c r="C115" s="5">
        <f>(B115-B114)/B114</f>
        <v/>
      </c>
      <c r="D115" s="5">
        <f>NORMINV(RAND(), $C$6, $C$7)</f>
        <v/>
      </c>
      <c r="E115" s="5">
        <f>NORMINV(RAND(), $C$6, $C$7)</f>
        <v/>
      </c>
      <c r="F115" s="5">
        <f>NORMINV(RAND(), $C$6, $C$7)</f>
        <v/>
      </c>
      <c r="G115" s="5">
        <f>NORMINV(RAND(), $C$6, $C$7)</f>
        <v/>
      </c>
      <c r="H115" s="5">
        <f>NORMINV(RAND(), $C$6, $C$7)</f>
        <v/>
      </c>
      <c r="J115" t="inlineStr">
        <is>
          <t>2026-02-03</t>
        </is>
      </c>
      <c r="K115" s="7" t="n">
        <v>269.48</v>
      </c>
      <c r="L115" s="5">
        <f>(K115-K114)/K114</f>
        <v/>
      </c>
      <c r="M115" s="5">
        <f>NORMINV(RAND(), $L$6, $L$7)</f>
        <v/>
      </c>
      <c r="N115" s="5">
        <f>NORMINV(RAND(), $L$6, $L$7)</f>
        <v/>
      </c>
      <c r="O115" s="5">
        <f>NORMINV(RAND(), $L$6, $L$7)</f>
        <v/>
      </c>
      <c r="P115" s="5">
        <f>NORMINV(RAND(), $L$6, $L$7)</f>
        <v/>
      </c>
      <c r="Q115" s="5">
        <f>NORMINV(RAND(), $L$6, $L$7)</f>
        <v/>
      </c>
    </row>
    <row r="116">
      <c r="A116" t="inlineStr">
        <is>
          <t>2026-02-04</t>
        </is>
      </c>
      <c r="B116" s="7" t="n">
        <v>333.34</v>
      </c>
      <c r="C116" s="5">
        <f>(B116-B115)/B115</f>
        <v/>
      </c>
      <c r="D116" s="5">
        <f>NORMINV(RAND(), $C$6, $C$7)</f>
        <v/>
      </c>
      <c r="E116" s="5">
        <f>NORMINV(RAND(), $C$6, $C$7)</f>
        <v/>
      </c>
      <c r="F116" s="5">
        <f>NORMINV(RAND(), $C$6, $C$7)</f>
        <v/>
      </c>
      <c r="G116" s="5">
        <f>NORMINV(RAND(), $C$6, $C$7)</f>
        <v/>
      </c>
      <c r="H116" s="5">
        <f>NORMINV(RAND(), $C$6, $C$7)</f>
        <v/>
      </c>
      <c r="J116" t="inlineStr">
        <is>
          <t>2026-02-04</t>
        </is>
      </c>
      <c r="K116" s="7" t="n">
        <v>276.49</v>
      </c>
      <c r="L116" s="5">
        <f>(K116-K115)/K115</f>
        <v/>
      </c>
      <c r="M116" s="5">
        <f>NORMINV(RAND(), $L$6, $L$7)</f>
        <v/>
      </c>
      <c r="N116" s="5">
        <f>NORMINV(RAND(), $L$6, $L$7)</f>
        <v/>
      </c>
      <c r="O116" s="5">
        <f>NORMINV(RAND(), $L$6, $L$7)</f>
        <v/>
      </c>
      <c r="P116" s="5">
        <f>NORMINV(RAND(), $L$6, $L$7)</f>
        <v/>
      </c>
      <c r="Q116" s="5">
        <f>NORMINV(RAND(), $L$6, $L$7)</f>
        <v/>
      </c>
    </row>
    <row r="117">
      <c r="A117" t="inlineStr">
        <is>
          <t>2026-02-05</t>
        </is>
      </c>
      <c r="B117" s="7" t="n">
        <v>331.33</v>
      </c>
      <c r="C117" s="5">
        <f>(B117-B116)/B116</f>
        <v/>
      </c>
      <c r="D117" s="5">
        <f>NORMINV(RAND(), $C$6, $C$7)</f>
        <v/>
      </c>
      <c r="E117" s="5">
        <f>NORMINV(RAND(), $C$6, $C$7)</f>
        <v/>
      </c>
      <c r="F117" s="5">
        <f>NORMINV(RAND(), $C$6, $C$7)</f>
        <v/>
      </c>
      <c r="G117" s="5">
        <f>NORMINV(RAND(), $C$6, $C$7)</f>
        <v/>
      </c>
      <c r="H117" s="5">
        <f>NORMINV(RAND(), $C$6, $C$7)</f>
        <v/>
      </c>
      <c r="J117" t="inlineStr">
        <is>
          <t>2026-02-05</t>
        </is>
      </c>
      <c r="K117" s="7" t="n">
        <v>275.91</v>
      </c>
      <c r="L117" s="5">
        <f>(K117-K116)/K116</f>
        <v/>
      </c>
      <c r="M117" s="5">
        <f>NORMINV(RAND(), $L$6, $L$7)</f>
        <v/>
      </c>
      <c r="N117" s="5">
        <f>NORMINV(RAND(), $L$6, $L$7)</f>
        <v/>
      </c>
      <c r="O117" s="5">
        <f>NORMINV(RAND(), $L$6, $L$7)</f>
        <v/>
      </c>
      <c r="P117" s="5">
        <f>NORMINV(RAND(), $L$6, $L$7)</f>
        <v/>
      </c>
      <c r="Q117" s="5">
        <f>NORMINV(RAND(), $L$6, $L$7)</f>
        <v/>
      </c>
    </row>
    <row r="118">
      <c r="A118" t="inlineStr">
        <is>
          <t>2026-02-06</t>
        </is>
      </c>
      <c r="B118" s="7" t="n">
        <v>323.1</v>
      </c>
      <c r="C118" s="5">
        <f>(B118-B117)/B117</f>
        <v/>
      </c>
      <c r="D118" s="5">
        <f>NORMINV(RAND(), $C$6, $C$7)</f>
        <v/>
      </c>
      <c r="E118" s="5">
        <f>NORMINV(RAND(), $C$6, $C$7)</f>
        <v/>
      </c>
      <c r="F118" s="5">
        <f>NORMINV(RAND(), $C$6, $C$7)</f>
        <v/>
      </c>
      <c r="G118" s="5">
        <f>NORMINV(RAND(), $C$6, $C$7)</f>
        <v/>
      </c>
      <c r="H118" s="5">
        <f>NORMINV(RAND(), $C$6, $C$7)</f>
        <v/>
      </c>
      <c r="J118" t="inlineStr">
        <is>
          <t>2026-02-06</t>
        </is>
      </c>
      <c r="K118" s="7" t="n">
        <v>278.12</v>
      </c>
      <c r="L118" s="5">
        <f>(K118-K117)/K117</f>
        <v/>
      </c>
      <c r="M118" s="5">
        <f>NORMINV(RAND(), $L$6, $L$7)</f>
        <v/>
      </c>
      <c r="N118" s="5">
        <f>NORMINV(RAND(), $L$6, $L$7)</f>
        <v/>
      </c>
      <c r="O118" s="5">
        <f>NORMINV(RAND(), $L$6, $L$7)</f>
        <v/>
      </c>
      <c r="P118" s="5">
        <f>NORMINV(RAND(), $L$6, $L$7)</f>
        <v/>
      </c>
      <c r="Q118" s="5">
        <f>NORMINV(RAND(), $L$6, $L$7)</f>
        <v/>
      </c>
    </row>
    <row r="119">
      <c r="A119" t="inlineStr">
        <is>
          <t>2026-02-09</t>
        </is>
      </c>
      <c r="B119" s="7" t="n">
        <v>324.4</v>
      </c>
      <c r="C119" s="5">
        <f>(B119-B118)/B118</f>
        <v/>
      </c>
      <c r="D119" s="5">
        <f>NORMINV(RAND(), $C$6, $C$7)</f>
        <v/>
      </c>
      <c r="E119" s="5">
        <f>NORMINV(RAND(), $C$6, $C$7)</f>
        <v/>
      </c>
      <c r="F119" s="5">
        <f>NORMINV(RAND(), $C$6, $C$7)</f>
        <v/>
      </c>
      <c r="G119" s="5">
        <f>NORMINV(RAND(), $C$6, $C$7)</f>
        <v/>
      </c>
      <c r="H119" s="5">
        <f>NORMINV(RAND(), $C$6, $C$7)</f>
        <v/>
      </c>
      <c r="J119" t="inlineStr">
        <is>
          <t>2026-02-09</t>
        </is>
      </c>
      <c r="K119" s="7" t="n">
        <v>274.62</v>
      </c>
      <c r="L119" s="5">
        <f>(K119-K118)/K118</f>
        <v/>
      </c>
      <c r="M119" s="5">
        <f>NORMINV(RAND(), $L$6, $L$7)</f>
        <v/>
      </c>
      <c r="N119" s="5">
        <f>NORMINV(RAND(), $L$6, $L$7)</f>
        <v/>
      </c>
      <c r="O119" s="5">
        <f>NORMINV(RAND(), $L$6, $L$7)</f>
        <v/>
      </c>
      <c r="P119" s="5">
        <f>NORMINV(RAND(), $L$6, $L$7)</f>
        <v/>
      </c>
      <c r="Q119" s="5">
        <f>NORMINV(RAND(), $L$6, $L$7)</f>
        <v/>
      </c>
    </row>
    <row r="120">
      <c r="A120" t="inlineStr">
        <is>
          <t>2026-02-10</t>
        </is>
      </c>
      <c r="B120" s="7" t="n">
        <v>318.63</v>
      </c>
      <c r="C120" s="5">
        <f>(B120-B119)/B119</f>
        <v/>
      </c>
      <c r="D120" s="5">
        <f>NORMINV(RAND(), $C$6, $C$7)</f>
        <v/>
      </c>
      <c r="E120" s="5">
        <f>NORMINV(RAND(), $C$6, $C$7)</f>
        <v/>
      </c>
      <c r="F120" s="5">
        <f>NORMINV(RAND(), $C$6, $C$7)</f>
        <v/>
      </c>
      <c r="G120" s="5">
        <f>NORMINV(RAND(), $C$6, $C$7)</f>
        <v/>
      </c>
      <c r="H120" s="5">
        <f>NORMINV(RAND(), $C$6, $C$7)</f>
        <v/>
      </c>
      <c r="J120" t="inlineStr">
        <is>
          <t>2026-02-10</t>
        </is>
      </c>
      <c r="K120" s="7" t="n">
        <v>273.68</v>
      </c>
      <c r="L120" s="5">
        <f>(K120-K119)/K119</f>
        <v/>
      </c>
      <c r="M120" s="5">
        <f>NORMINV(RAND(), $L$6, $L$7)</f>
        <v/>
      </c>
      <c r="N120" s="5">
        <f>NORMINV(RAND(), $L$6, $L$7)</f>
        <v/>
      </c>
      <c r="O120" s="5">
        <f>NORMINV(RAND(), $L$6, $L$7)</f>
        <v/>
      </c>
      <c r="P120" s="5">
        <f>NORMINV(RAND(), $L$6, $L$7)</f>
        <v/>
      </c>
      <c r="Q120" s="5">
        <f>NORMINV(RAND(), $L$6, $L$7)</f>
        <v/>
      </c>
    </row>
    <row r="121">
      <c r="A121" t="inlineStr">
        <is>
          <t>2026-02-11</t>
        </is>
      </c>
      <c r="B121" s="7" t="n">
        <v>311.33</v>
      </c>
      <c r="C121" s="5">
        <f>(B121-B120)/B120</f>
        <v/>
      </c>
      <c r="D121" s="5">
        <f>NORMINV(RAND(), $C$6, $C$7)</f>
        <v/>
      </c>
      <c r="E121" s="5">
        <f>NORMINV(RAND(), $C$6, $C$7)</f>
        <v/>
      </c>
      <c r="F121" s="5">
        <f>NORMINV(RAND(), $C$6, $C$7)</f>
        <v/>
      </c>
      <c r="G121" s="5">
        <f>NORMINV(RAND(), $C$6, $C$7)</f>
        <v/>
      </c>
      <c r="H121" s="5">
        <f>NORMINV(RAND(), $C$6, $C$7)</f>
        <v/>
      </c>
      <c r="J121" t="inlineStr">
        <is>
          <t>2026-02-11</t>
        </is>
      </c>
      <c r="K121" s="7" t="n">
        <v>275.5</v>
      </c>
      <c r="L121" s="5">
        <f>(K121-K120)/K120</f>
        <v/>
      </c>
      <c r="M121" s="5">
        <f>NORMINV(RAND(), $L$6, $L$7)</f>
        <v/>
      </c>
      <c r="N121" s="5">
        <f>NORMINV(RAND(), $L$6, $L$7)</f>
        <v/>
      </c>
      <c r="O121" s="5">
        <f>NORMINV(RAND(), $L$6, $L$7)</f>
        <v/>
      </c>
      <c r="P121" s="5">
        <f>NORMINV(RAND(), $L$6, $L$7)</f>
        <v/>
      </c>
      <c r="Q121" s="5">
        <f>NORMINV(RAND(), $L$6, $L$7)</f>
        <v/>
      </c>
    </row>
    <row r="122">
      <c r="A122" t="inlineStr">
        <is>
          <t>2026-02-12</t>
        </is>
      </c>
      <c r="B122" s="7" t="n">
        <v>309.37</v>
      </c>
      <c r="C122" s="5">
        <f>(B122-B121)/B121</f>
        <v/>
      </c>
      <c r="D122" s="5">
        <f>NORMINV(RAND(), $C$6, $C$7)</f>
        <v/>
      </c>
      <c r="E122" s="5">
        <f>NORMINV(RAND(), $C$6, $C$7)</f>
        <v/>
      </c>
      <c r="F122" s="5">
        <f>NORMINV(RAND(), $C$6, $C$7)</f>
        <v/>
      </c>
      <c r="G122" s="5">
        <f>NORMINV(RAND(), $C$6, $C$7)</f>
        <v/>
      </c>
      <c r="H122" s="5">
        <f>NORMINV(RAND(), $C$6, $C$7)</f>
        <v/>
      </c>
      <c r="J122" t="inlineStr">
        <is>
          <t>2026-02-12</t>
        </is>
      </c>
      <c r="K122" s="7" t="n">
        <v>261.73</v>
      </c>
      <c r="L122" s="5">
        <f>(K122-K121)/K121</f>
        <v/>
      </c>
      <c r="M122" s="5">
        <f>NORMINV(RAND(), $L$6, $L$7)</f>
        <v/>
      </c>
      <c r="N122" s="5">
        <f>NORMINV(RAND(), $L$6, $L$7)</f>
        <v/>
      </c>
      <c r="O122" s="5">
        <f>NORMINV(RAND(), $L$6, $L$7)</f>
        <v/>
      </c>
      <c r="P122" s="5">
        <f>NORMINV(RAND(), $L$6, $L$7)</f>
        <v/>
      </c>
      <c r="Q122" s="5">
        <f>NORMINV(RAND(), $L$6, $L$7)</f>
        <v/>
      </c>
    </row>
    <row r="123">
      <c r="A123" t="inlineStr">
        <is>
          <t>2026-02-13</t>
        </is>
      </c>
      <c r="B123" s="7" t="n">
        <v>306.02</v>
      </c>
      <c r="C123" s="5">
        <f>(B123-B122)/B122</f>
        <v/>
      </c>
      <c r="D123" s="5">
        <f>NORMINV(RAND(), $C$6, $C$7)</f>
        <v/>
      </c>
      <c r="E123" s="5">
        <f>NORMINV(RAND(), $C$6, $C$7)</f>
        <v/>
      </c>
      <c r="F123" s="5">
        <f>NORMINV(RAND(), $C$6, $C$7)</f>
        <v/>
      </c>
      <c r="G123" s="5">
        <f>NORMINV(RAND(), $C$6, $C$7)</f>
        <v/>
      </c>
      <c r="H123" s="5">
        <f>NORMINV(RAND(), $C$6, $C$7)</f>
        <v/>
      </c>
      <c r="J123" t="inlineStr">
        <is>
          <t>2026-02-13</t>
        </is>
      </c>
      <c r="K123" s="7" t="n">
        <v>255.78</v>
      </c>
      <c r="L123" s="5">
        <f>(K123-K122)/K122</f>
        <v/>
      </c>
      <c r="M123" s="5">
        <f>NORMINV(RAND(), $L$6, $L$7)</f>
        <v/>
      </c>
      <c r="N123" s="5">
        <f>NORMINV(RAND(), $L$6, $L$7)</f>
        <v/>
      </c>
      <c r="O123" s="5">
        <f>NORMINV(RAND(), $L$6, $L$7)</f>
        <v/>
      </c>
      <c r="P123" s="5">
        <f>NORMINV(RAND(), $L$6, $L$7)</f>
        <v/>
      </c>
      <c r="Q123" s="5">
        <f>NORMINV(RAND(), $L$6, $L$7)</f>
        <v/>
      </c>
    </row>
    <row r="124">
      <c r="A124" t="inlineStr">
        <is>
          <t>2026-02-17</t>
        </is>
      </c>
      <c r="B124" s="7" t="n">
        <v>302.82</v>
      </c>
      <c r="C124" s="5">
        <f>(B124-B123)/B123</f>
        <v/>
      </c>
      <c r="D124" s="5">
        <f>NORMINV(RAND(), $C$6, $C$7)</f>
        <v/>
      </c>
      <c r="E124" s="5">
        <f>NORMINV(RAND(), $C$6, $C$7)</f>
        <v/>
      </c>
      <c r="F124" s="5">
        <f>NORMINV(RAND(), $C$6, $C$7)</f>
        <v/>
      </c>
      <c r="G124" s="5">
        <f>NORMINV(RAND(), $C$6, $C$7)</f>
        <v/>
      </c>
      <c r="H124" s="5">
        <f>NORMINV(RAND(), $C$6, $C$7)</f>
        <v/>
      </c>
      <c r="J124" t="inlineStr">
        <is>
          <t>2026-02-17</t>
        </is>
      </c>
      <c r="K124" s="7" t="n">
        <v>263.88</v>
      </c>
      <c r="L124" s="5">
        <f>(K124-K123)/K123</f>
        <v/>
      </c>
      <c r="M124" s="5">
        <f>NORMINV(RAND(), $L$6, $L$7)</f>
        <v/>
      </c>
      <c r="N124" s="5">
        <f>NORMINV(RAND(), $L$6, $L$7)</f>
        <v/>
      </c>
      <c r="O124" s="5">
        <f>NORMINV(RAND(), $L$6, $L$7)</f>
        <v/>
      </c>
      <c r="P124" s="5">
        <f>NORMINV(RAND(), $L$6, $L$7)</f>
        <v/>
      </c>
      <c r="Q124" s="5">
        <f>NORMINV(RAND(), $L$6, $L$7)</f>
        <v/>
      </c>
    </row>
    <row r="125">
      <c r="A125" t="inlineStr">
        <is>
          <t>2026-02-18</t>
        </is>
      </c>
      <c r="B125" s="7" t="n">
        <v>303.94</v>
      </c>
      <c r="C125" s="5">
        <f>(B125-B124)/B124</f>
        <v/>
      </c>
      <c r="D125" s="5">
        <f>NORMINV(RAND(), $C$6, $C$7)</f>
        <v/>
      </c>
      <c r="E125" s="5">
        <f>NORMINV(RAND(), $C$6, $C$7)</f>
        <v/>
      </c>
      <c r="F125" s="5">
        <f>NORMINV(RAND(), $C$6, $C$7)</f>
        <v/>
      </c>
      <c r="G125" s="5">
        <f>NORMINV(RAND(), $C$6, $C$7)</f>
        <v/>
      </c>
      <c r="H125" s="5">
        <f>NORMINV(RAND(), $C$6, $C$7)</f>
        <v/>
      </c>
      <c r="J125" t="inlineStr">
        <is>
          <t>2026-02-18</t>
        </is>
      </c>
      <c r="K125" s="7" t="n">
        <v>264.35</v>
      </c>
      <c r="L125" s="5">
        <f>(K125-K124)/K124</f>
        <v/>
      </c>
      <c r="M125" s="5">
        <f>NORMINV(RAND(), $L$6, $L$7)</f>
        <v/>
      </c>
      <c r="N125" s="5">
        <f>NORMINV(RAND(), $L$6, $L$7)</f>
        <v/>
      </c>
      <c r="O125" s="5">
        <f>NORMINV(RAND(), $L$6, $L$7)</f>
        <v/>
      </c>
      <c r="P125" s="5">
        <f>NORMINV(RAND(), $L$6, $L$7)</f>
        <v/>
      </c>
      <c r="Q125" s="5">
        <f>NORMINV(RAND(), $L$6, $L$7)</f>
        <v/>
      </c>
    </row>
    <row r="126">
      <c r="A126" t="inlineStr">
        <is>
          <t>2026-02-19</t>
        </is>
      </c>
      <c r="B126" s="7" t="n">
        <v>303.56</v>
      </c>
      <c r="C126" s="5">
        <f>(B126-B125)/B125</f>
        <v/>
      </c>
      <c r="D126" s="5">
        <f>NORMINV(RAND(), $C$6, $C$7)</f>
        <v/>
      </c>
      <c r="E126" s="5">
        <f>NORMINV(RAND(), $C$6, $C$7)</f>
        <v/>
      </c>
      <c r="F126" s="5">
        <f>NORMINV(RAND(), $C$6, $C$7)</f>
        <v/>
      </c>
      <c r="G126" s="5">
        <f>NORMINV(RAND(), $C$6, $C$7)</f>
        <v/>
      </c>
      <c r="H126" s="5">
        <f>NORMINV(RAND(), $C$6, $C$7)</f>
        <v/>
      </c>
      <c r="J126" t="inlineStr">
        <is>
          <t>2026-02-19</t>
        </is>
      </c>
      <c r="K126" s="7" t="n">
        <v>260.58</v>
      </c>
      <c r="L126" s="5">
        <f>(K126-K125)/K125</f>
        <v/>
      </c>
      <c r="M126" s="5">
        <f>NORMINV(RAND(), $L$6, $L$7)</f>
        <v/>
      </c>
      <c r="N126" s="5">
        <f>NORMINV(RAND(), $L$6, $L$7)</f>
        <v/>
      </c>
      <c r="O126" s="5">
        <f>NORMINV(RAND(), $L$6, $L$7)</f>
        <v/>
      </c>
      <c r="P126" s="5">
        <f>NORMINV(RAND(), $L$6, $L$7)</f>
        <v/>
      </c>
      <c r="Q126" s="5">
        <f>NORMINV(RAND(), $L$6, $L$7)</f>
        <v/>
      </c>
    </row>
    <row r="127">
      <c r="A127" t="inlineStr">
        <is>
          <t>2026-02-20</t>
        </is>
      </c>
      <c r="B127" s="7" t="n">
        <v>314.9</v>
      </c>
      <c r="C127" s="5">
        <f>(B127-B126)/B126</f>
        <v/>
      </c>
      <c r="D127" s="5">
        <f>NORMINV(RAND(), $C$6, $C$7)</f>
        <v/>
      </c>
      <c r="E127" s="5">
        <f>NORMINV(RAND(), $C$6, $C$7)</f>
        <v/>
      </c>
      <c r="F127" s="5">
        <f>NORMINV(RAND(), $C$6, $C$7)</f>
        <v/>
      </c>
      <c r="G127" s="5">
        <f>NORMINV(RAND(), $C$6, $C$7)</f>
        <v/>
      </c>
      <c r="H127" s="5">
        <f>NORMINV(RAND(), $C$6, $C$7)</f>
        <v/>
      </c>
      <c r="J127" t="inlineStr">
        <is>
          <t>2026-02-20</t>
        </is>
      </c>
      <c r="K127" s="7" t="n">
        <v>264.58</v>
      </c>
      <c r="L127" s="5">
        <f>(K127-K126)/K126</f>
        <v/>
      </c>
      <c r="M127" s="5">
        <f>NORMINV(RAND(), $L$6, $L$7)</f>
        <v/>
      </c>
      <c r="N127" s="5">
        <f>NORMINV(RAND(), $L$6, $L$7)</f>
        <v/>
      </c>
      <c r="O127" s="5">
        <f>NORMINV(RAND(), $L$6, $L$7)</f>
        <v/>
      </c>
      <c r="P127" s="5">
        <f>NORMINV(RAND(), $L$6, $L$7)</f>
        <v/>
      </c>
      <c r="Q127" s="5">
        <f>NORMINV(RAND(), $L$6, $L$7)</f>
        <v/>
      </c>
    </row>
    <row r="128">
      <c r="A128" t="inlineStr">
        <is>
          <t>2026-02-23</t>
        </is>
      </c>
      <c r="B128" s="7" t="n">
        <v>311.69</v>
      </c>
      <c r="C128" s="5">
        <f>(B128-B127)/B127</f>
        <v/>
      </c>
      <c r="D128" s="5">
        <f>NORMINV(RAND(), $C$6, $C$7)</f>
        <v/>
      </c>
      <c r="E128" s="5">
        <f>NORMINV(RAND(), $C$6, $C$7)</f>
        <v/>
      </c>
      <c r="F128" s="5">
        <f>NORMINV(RAND(), $C$6, $C$7)</f>
        <v/>
      </c>
      <c r="G128" s="5">
        <f>NORMINV(RAND(), $C$6, $C$7)</f>
        <v/>
      </c>
      <c r="H128" s="5">
        <f>NORMINV(RAND(), $C$6, $C$7)</f>
        <v/>
      </c>
      <c r="J128" t="inlineStr">
        <is>
          <t>2026-02-23</t>
        </is>
      </c>
      <c r="K128" s="7" t="n">
        <v>266.18</v>
      </c>
      <c r="L128" s="5">
        <f>(K128-K127)/K127</f>
        <v/>
      </c>
      <c r="M128" s="5">
        <f>NORMINV(RAND(), $L$6, $L$7)</f>
        <v/>
      </c>
      <c r="N128" s="5">
        <f>NORMINV(RAND(), $L$6, $L$7)</f>
        <v/>
      </c>
      <c r="O128" s="5">
        <f>NORMINV(RAND(), $L$6, $L$7)</f>
        <v/>
      </c>
      <c r="P128" s="5">
        <f>NORMINV(RAND(), $L$6, $L$7)</f>
        <v/>
      </c>
      <c r="Q128" s="5">
        <f>NORMINV(RAND(), $L$6, $L$7)</f>
        <v/>
      </c>
    </row>
    <row r="129">
      <c r="A129" t="inlineStr">
        <is>
          <t>2026-02-24</t>
        </is>
      </c>
      <c r="B129" s="7" t="n">
        <v>310.92</v>
      </c>
      <c r="C129" s="5">
        <f>(B129-B128)/B128</f>
        <v/>
      </c>
      <c r="D129" s="5">
        <f>NORMINV(RAND(), $C$6, $C$7)</f>
        <v/>
      </c>
      <c r="E129" s="5">
        <f>NORMINV(RAND(), $C$6, $C$7)</f>
        <v/>
      </c>
      <c r="F129" s="5">
        <f>NORMINV(RAND(), $C$6, $C$7)</f>
        <v/>
      </c>
      <c r="G129" s="5">
        <f>NORMINV(RAND(), $C$6, $C$7)</f>
        <v/>
      </c>
      <c r="H129" s="5">
        <f>NORMINV(RAND(), $C$6, $C$7)</f>
        <v/>
      </c>
      <c r="J129" t="inlineStr">
        <is>
          <t>2026-02-24</t>
        </is>
      </c>
      <c r="K129" s="7" t="n">
        <v>272.14</v>
      </c>
      <c r="L129" s="5">
        <f>(K129-K128)/K128</f>
        <v/>
      </c>
      <c r="M129" s="5">
        <f>NORMINV(RAND(), $L$6, $L$7)</f>
        <v/>
      </c>
      <c r="N129" s="5">
        <f>NORMINV(RAND(), $L$6, $L$7)</f>
        <v/>
      </c>
      <c r="O129" s="5">
        <f>NORMINV(RAND(), $L$6, $L$7)</f>
        <v/>
      </c>
      <c r="P129" s="5">
        <f>NORMINV(RAND(), $L$6, $L$7)</f>
        <v/>
      </c>
      <c r="Q129" s="5">
        <f>NORMINV(RAND(), $L$6, $L$7)</f>
        <v/>
      </c>
    </row>
    <row r="130">
      <c r="A130" t="inlineStr">
        <is>
          <t>2026-02-25</t>
        </is>
      </c>
      <c r="B130" s="7" t="n">
        <v>313.03</v>
      </c>
      <c r="C130" s="5">
        <f>(B130-B129)/B129</f>
        <v/>
      </c>
      <c r="D130" s="5">
        <f>NORMINV(RAND(), $C$6, $C$7)</f>
        <v/>
      </c>
      <c r="E130" s="5">
        <f>NORMINV(RAND(), $C$6, $C$7)</f>
        <v/>
      </c>
      <c r="F130" s="5">
        <f>NORMINV(RAND(), $C$6, $C$7)</f>
        <v/>
      </c>
      <c r="G130" s="5">
        <f>NORMINV(RAND(), $C$6, $C$7)</f>
        <v/>
      </c>
      <c r="H130" s="5">
        <f>NORMINV(RAND(), $C$6, $C$7)</f>
        <v/>
      </c>
      <c r="J130" t="inlineStr">
        <is>
          <t>2026-02-25</t>
        </is>
      </c>
      <c r="K130" s="7" t="n">
        <v>274.23</v>
      </c>
      <c r="L130" s="5">
        <f>(K130-K129)/K129</f>
        <v/>
      </c>
      <c r="M130" s="5">
        <f>NORMINV(RAND(), $L$6, $L$7)</f>
        <v/>
      </c>
      <c r="N130" s="5">
        <f>NORMINV(RAND(), $L$6, $L$7)</f>
        <v/>
      </c>
      <c r="O130" s="5">
        <f>NORMINV(RAND(), $L$6, $L$7)</f>
        <v/>
      </c>
      <c r="P130" s="5">
        <f>NORMINV(RAND(), $L$6, $L$7)</f>
        <v/>
      </c>
      <c r="Q130" s="5">
        <f>NORMINV(RAND(), $L$6, $L$7)</f>
        <v/>
      </c>
    </row>
    <row r="131">
      <c r="A131" t="inlineStr">
        <is>
          <t>2026-02-26</t>
        </is>
      </c>
      <c r="B131" s="7" t="n">
        <v>307.15</v>
      </c>
      <c r="C131" s="5">
        <f>(B131-B130)/B130</f>
        <v/>
      </c>
      <c r="D131" s="5">
        <f>NORMINV(RAND(), $C$6, $C$7)</f>
        <v/>
      </c>
      <c r="E131" s="5">
        <f>NORMINV(RAND(), $C$6, $C$7)</f>
        <v/>
      </c>
      <c r="F131" s="5">
        <f>NORMINV(RAND(), $C$6, $C$7)</f>
        <v/>
      </c>
      <c r="G131" s="5">
        <f>NORMINV(RAND(), $C$6, $C$7)</f>
        <v/>
      </c>
      <c r="H131" s="5">
        <f>NORMINV(RAND(), $C$6, $C$7)</f>
        <v/>
      </c>
      <c r="J131" t="inlineStr">
        <is>
          <t>2026-02-26</t>
        </is>
      </c>
      <c r="K131" s="7" t="n">
        <v>272.95</v>
      </c>
      <c r="L131" s="5">
        <f>(K131-K130)/K130</f>
        <v/>
      </c>
      <c r="M131" s="5">
        <f>NORMINV(RAND(), $L$6, $L$7)</f>
        <v/>
      </c>
      <c r="N131" s="5">
        <f>NORMINV(RAND(), $L$6, $L$7)</f>
        <v/>
      </c>
      <c r="O131" s="5">
        <f>NORMINV(RAND(), $L$6, $L$7)</f>
        <v/>
      </c>
      <c r="P131" s="5">
        <f>NORMINV(RAND(), $L$6, $L$7)</f>
        <v/>
      </c>
      <c r="Q131" s="5">
        <f>NORMINV(RAND(), $L$6, $L$7)</f>
        <v/>
      </c>
    </row>
    <row r="132">
      <c r="A132" t="inlineStr">
        <is>
          <t>2026-02-27</t>
        </is>
      </c>
      <c r="B132" s="7" t="n">
        <v>311.43</v>
      </c>
      <c r="C132" s="5">
        <f>(B132-B131)/B131</f>
        <v/>
      </c>
      <c r="D132" s="5">
        <f>NORMINV(RAND(), $C$6, $C$7)</f>
        <v/>
      </c>
      <c r="E132" s="5">
        <f>NORMINV(RAND(), $C$6, $C$7)</f>
        <v/>
      </c>
      <c r="F132" s="5">
        <f>NORMINV(RAND(), $C$6, $C$7)</f>
        <v/>
      </c>
      <c r="G132" s="5">
        <f>NORMINV(RAND(), $C$6, $C$7)</f>
        <v/>
      </c>
      <c r="H132" s="5">
        <f>NORMINV(RAND(), $C$6, $C$7)</f>
        <v/>
      </c>
      <c r="J132" t="inlineStr">
        <is>
          <t>2026-02-27</t>
        </is>
      </c>
      <c r="K132" s="7" t="n">
        <v>264.18</v>
      </c>
      <c r="L132" s="5">
        <f>(K132-K131)/K131</f>
        <v/>
      </c>
      <c r="M132" s="5">
        <f>NORMINV(RAND(), $L$6, $L$7)</f>
        <v/>
      </c>
      <c r="N132" s="5">
        <f>NORMINV(RAND(), $L$6, $L$7)</f>
        <v/>
      </c>
      <c r="O132" s="5">
        <f>NORMINV(RAND(), $L$6, $L$7)</f>
        <v/>
      </c>
      <c r="P132" s="5">
        <f>NORMINV(RAND(), $L$6, $L$7)</f>
        <v/>
      </c>
      <c r="Q132" s="5">
        <f>NORMINV(RAND(), $L$6, $L$7)</f>
        <v/>
      </c>
    </row>
    <row r="133">
      <c r="A133" t="inlineStr">
        <is>
          <t>2026-03-02</t>
        </is>
      </c>
      <c r="B133" s="7" t="n">
        <v>306.36</v>
      </c>
      <c r="C133" s="5">
        <f>(B133-B132)/B132</f>
        <v/>
      </c>
      <c r="D133" s="5">
        <f>NORMINV(RAND(), $C$6, $C$7)</f>
        <v/>
      </c>
      <c r="E133" s="5">
        <f>NORMINV(RAND(), $C$6, $C$7)</f>
        <v/>
      </c>
      <c r="F133" s="5">
        <f>NORMINV(RAND(), $C$6, $C$7)</f>
        <v/>
      </c>
      <c r="G133" s="5">
        <f>NORMINV(RAND(), $C$6, $C$7)</f>
        <v/>
      </c>
      <c r="H133" s="5">
        <f>NORMINV(RAND(), $C$6, $C$7)</f>
        <v/>
      </c>
      <c r="J133" t="inlineStr">
        <is>
          <t>2026-03-02</t>
        </is>
      </c>
      <c r="K133" s="7" t="n">
        <v>264.72</v>
      </c>
      <c r="L133" s="5">
        <f>(K133-K132)/K132</f>
        <v/>
      </c>
      <c r="M133" s="5">
        <f>NORMINV(RAND(), $L$6, $L$7)</f>
        <v/>
      </c>
      <c r="N133" s="5">
        <f>NORMINV(RAND(), $L$6, $L$7)</f>
        <v/>
      </c>
      <c r="O133" s="5">
        <f>NORMINV(RAND(), $L$6, $L$7)</f>
        <v/>
      </c>
      <c r="P133" s="5">
        <f>NORMINV(RAND(), $L$6, $L$7)</f>
        <v/>
      </c>
      <c r="Q133" s="5">
        <f>NORMINV(RAND(), $L$6, $L$7)</f>
        <v/>
      </c>
    </row>
    <row r="134">
      <c r="A134" t="inlineStr">
        <is>
          <t>2026-03-03</t>
        </is>
      </c>
      <c r="B134" s="7" t="n">
        <v>303.56</v>
      </c>
      <c r="C134" s="5">
        <f>(B134-B133)/B133</f>
        <v/>
      </c>
      <c r="D134" s="5">
        <f>NORMINV(RAND(), $C$6, $C$7)</f>
        <v/>
      </c>
      <c r="E134" s="5">
        <f>NORMINV(RAND(), $C$6, $C$7)</f>
        <v/>
      </c>
      <c r="F134" s="5">
        <f>NORMINV(RAND(), $C$6, $C$7)</f>
        <v/>
      </c>
      <c r="G134" s="5">
        <f>NORMINV(RAND(), $C$6, $C$7)</f>
        <v/>
      </c>
      <c r="H134" s="5">
        <f>NORMINV(RAND(), $C$6, $C$7)</f>
        <v/>
      </c>
      <c r="J134" t="inlineStr">
        <is>
          <t>2026-03-03</t>
        </is>
      </c>
      <c r="K134" s="7" t="n">
        <v>263.75</v>
      </c>
      <c r="L134" s="5">
        <f>(K134-K133)/K133</f>
        <v/>
      </c>
      <c r="M134" s="5">
        <f>NORMINV(RAND(), $L$6, $L$7)</f>
        <v/>
      </c>
      <c r="N134" s="5">
        <f>NORMINV(RAND(), $L$6, $L$7)</f>
        <v/>
      </c>
      <c r="O134" s="5">
        <f>NORMINV(RAND(), $L$6, $L$7)</f>
        <v/>
      </c>
      <c r="P134" s="5">
        <f>NORMINV(RAND(), $L$6, $L$7)</f>
        <v/>
      </c>
      <c r="Q134" s="5">
        <f>NORMINV(RAND(), $L$6, $L$7)</f>
        <v/>
      </c>
    </row>
    <row r="135">
      <c r="A135" t="inlineStr">
        <is>
          <t>2026-03-04</t>
        </is>
      </c>
      <c r="B135" s="7" t="n">
        <v>303.45</v>
      </c>
      <c r="C135" s="5">
        <f>(B135-B134)/B134</f>
        <v/>
      </c>
      <c r="D135" s="5">
        <f>NORMINV(RAND(), $C$6, $C$7)</f>
        <v/>
      </c>
      <c r="E135" s="5">
        <f>NORMINV(RAND(), $C$6, $C$7)</f>
        <v/>
      </c>
      <c r="F135" s="5">
        <f>NORMINV(RAND(), $C$6, $C$7)</f>
        <v/>
      </c>
      <c r="G135" s="5">
        <f>NORMINV(RAND(), $C$6, $C$7)</f>
        <v/>
      </c>
      <c r="H135" s="5">
        <f>NORMINV(RAND(), $C$6, $C$7)</f>
        <v/>
      </c>
      <c r="J135" t="inlineStr">
        <is>
          <t>2026-03-04</t>
        </is>
      </c>
      <c r="K135" s="7" t="n">
        <v>262.52</v>
      </c>
      <c r="L135" s="5">
        <f>(K135-K134)/K134</f>
        <v/>
      </c>
      <c r="M135" s="5">
        <f>NORMINV(RAND(), $L$6, $L$7)</f>
        <v/>
      </c>
      <c r="N135" s="5">
        <f>NORMINV(RAND(), $L$6, $L$7)</f>
        <v/>
      </c>
      <c r="O135" s="5">
        <f>NORMINV(RAND(), $L$6, $L$7)</f>
        <v/>
      </c>
      <c r="P135" s="5">
        <f>NORMINV(RAND(), $L$6, $L$7)</f>
        <v/>
      </c>
      <c r="Q135" s="5">
        <f>NORMINV(RAND(), $L$6, $L$7)</f>
        <v/>
      </c>
    </row>
    <row r="136">
      <c r="A136" t="inlineStr">
        <is>
          <t>2026-03-05</t>
        </is>
      </c>
      <c r="B136" s="7" t="n">
        <v>300.91</v>
      </c>
      <c r="C136" s="5">
        <f>(B136-B135)/B135</f>
        <v/>
      </c>
      <c r="D136" s="5">
        <f>NORMINV(RAND(), $C$6, $C$7)</f>
        <v/>
      </c>
      <c r="E136" s="5">
        <f>NORMINV(RAND(), $C$6, $C$7)</f>
        <v/>
      </c>
      <c r="F136" s="5">
        <f>NORMINV(RAND(), $C$6, $C$7)</f>
        <v/>
      </c>
      <c r="G136" s="5">
        <f>NORMINV(RAND(), $C$6, $C$7)</f>
        <v/>
      </c>
      <c r="H136" s="5">
        <f>NORMINV(RAND(), $C$6, $C$7)</f>
        <v/>
      </c>
      <c r="J136" t="inlineStr">
        <is>
          <t>2026-03-05</t>
        </is>
      </c>
      <c r="K136" s="7" t="n">
        <v>260.29</v>
      </c>
      <c r="L136" s="5">
        <f>(K136-K135)/K135</f>
        <v/>
      </c>
      <c r="M136" s="5">
        <f>NORMINV(RAND(), $L$6, $L$7)</f>
        <v/>
      </c>
      <c r="N136" s="5">
        <f>NORMINV(RAND(), $L$6, $L$7)</f>
        <v/>
      </c>
      <c r="O136" s="5">
        <f>NORMINV(RAND(), $L$6, $L$7)</f>
        <v/>
      </c>
      <c r="P136" s="5">
        <f>NORMINV(RAND(), $L$6, $L$7)</f>
        <v/>
      </c>
      <c r="Q136" s="5">
        <f>NORMINV(RAND(), $L$6, $L$7)</f>
        <v/>
      </c>
    </row>
    <row r="137">
      <c r="A137" t="inlineStr">
        <is>
          <t>2026-03-06</t>
        </is>
      </c>
      <c r="B137" s="7" t="n">
        <v>298.3</v>
      </c>
      <c r="C137" s="5">
        <f>(B137-B136)/B136</f>
        <v/>
      </c>
      <c r="D137" s="5">
        <f>NORMINV(RAND(), $C$6, $C$7)</f>
        <v/>
      </c>
      <c r="E137" s="5">
        <f>NORMINV(RAND(), $C$6, $C$7)</f>
        <v/>
      </c>
      <c r="F137" s="5">
        <f>NORMINV(RAND(), $C$6, $C$7)</f>
        <v/>
      </c>
      <c r="G137" s="5">
        <f>NORMINV(RAND(), $C$6, $C$7)</f>
        <v/>
      </c>
      <c r="H137" s="5">
        <f>NORMINV(RAND(), $C$6, $C$7)</f>
        <v/>
      </c>
      <c r="J137" t="inlineStr">
        <is>
          <t>2026-03-06</t>
        </is>
      </c>
      <c r="K137" s="7" t="n">
        <v>257.46</v>
      </c>
      <c r="L137" s="5">
        <f>(K137-K136)/K136</f>
        <v/>
      </c>
      <c r="M137" s="5">
        <f>NORMINV(RAND(), $L$6, $L$7)</f>
        <v/>
      </c>
      <c r="N137" s="5">
        <f>NORMINV(RAND(), $L$6, $L$7)</f>
        <v/>
      </c>
      <c r="O137" s="5">
        <f>NORMINV(RAND(), $L$6, $L$7)</f>
        <v/>
      </c>
      <c r="P137" s="5">
        <f>NORMINV(RAND(), $L$6, $L$7)</f>
        <v/>
      </c>
      <c r="Q137" s="5">
        <f>NORMINV(RAND(), $L$6, $L$7)</f>
        <v/>
      </c>
    </row>
    <row r="138">
      <c r="A138" t="inlineStr">
        <is>
          <t>2026-03-09</t>
        </is>
      </c>
      <c r="B138" s="7" t="n">
        <v>306.01</v>
      </c>
      <c r="C138" s="5">
        <f>(B138-B137)/B137</f>
        <v/>
      </c>
      <c r="D138" s="5">
        <f>NORMINV(RAND(), $C$6, $C$7)</f>
        <v/>
      </c>
      <c r="E138" s="5">
        <f>NORMINV(RAND(), $C$6, $C$7)</f>
        <v/>
      </c>
      <c r="F138" s="5">
        <f>NORMINV(RAND(), $C$6, $C$7)</f>
        <v/>
      </c>
      <c r="G138" s="5">
        <f>NORMINV(RAND(), $C$6, $C$7)</f>
        <v/>
      </c>
      <c r="H138" s="5">
        <f>NORMINV(RAND(), $C$6, $C$7)</f>
        <v/>
      </c>
      <c r="J138" t="inlineStr">
        <is>
          <t>2026-03-09</t>
        </is>
      </c>
      <c r="K138" s="7" t="n">
        <v>259.88</v>
      </c>
      <c r="L138" s="5">
        <f>(K138-K137)/K137</f>
        <v/>
      </c>
      <c r="M138" s="5">
        <f>NORMINV(RAND(), $L$6, $L$7)</f>
        <v/>
      </c>
      <c r="N138" s="5">
        <f>NORMINV(RAND(), $L$6, $L$7)</f>
        <v/>
      </c>
      <c r="O138" s="5">
        <f>NORMINV(RAND(), $L$6, $L$7)</f>
        <v/>
      </c>
      <c r="P138" s="5">
        <f>NORMINV(RAND(), $L$6, $L$7)</f>
        <v/>
      </c>
      <c r="Q138" s="5">
        <f>NORMINV(RAND(), $L$6, $L$7)</f>
        <v/>
      </c>
    </row>
    <row r="139">
      <c r="A139" t="inlineStr">
        <is>
          <t>2026-03-10</t>
        </is>
      </c>
      <c r="B139" s="7" t="n">
        <v>306.93</v>
      </c>
      <c r="C139" s="5">
        <f>(B139-B138)/B138</f>
        <v/>
      </c>
      <c r="D139" s="5">
        <f>NORMINV(RAND(), $C$6, $C$7)</f>
        <v/>
      </c>
      <c r="E139" s="5">
        <f>NORMINV(RAND(), $C$6, $C$7)</f>
        <v/>
      </c>
      <c r="F139" s="5">
        <f>NORMINV(RAND(), $C$6, $C$7)</f>
        <v/>
      </c>
      <c r="G139" s="5">
        <f>NORMINV(RAND(), $C$6, $C$7)</f>
        <v/>
      </c>
      <c r="H139" s="5">
        <f>NORMINV(RAND(), $C$6, $C$7)</f>
        <v/>
      </c>
      <c r="J139" t="inlineStr">
        <is>
          <t>2026-03-10</t>
        </is>
      </c>
      <c r="K139" s="7" t="n">
        <v>260.83</v>
      </c>
      <c r="L139" s="5">
        <f>(K139-K138)/K138</f>
        <v/>
      </c>
      <c r="M139" s="5">
        <f>NORMINV(RAND(), $L$6, $L$7)</f>
        <v/>
      </c>
      <c r="N139" s="5">
        <f>NORMINV(RAND(), $L$6, $L$7)</f>
        <v/>
      </c>
      <c r="O139" s="5">
        <f>NORMINV(RAND(), $L$6, $L$7)</f>
        <v/>
      </c>
      <c r="P139" s="5">
        <f>NORMINV(RAND(), $L$6, $L$7)</f>
        <v/>
      </c>
      <c r="Q139" s="5">
        <f>NORMINV(RAND(), $L$6, $L$7)</f>
        <v/>
      </c>
    </row>
    <row r="140">
      <c r="A140" t="inlineStr">
        <is>
          <t>2026-03-11</t>
        </is>
      </c>
      <c r="B140" s="7" t="n">
        <v>308.42</v>
      </c>
      <c r="C140" s="5">
        <f>(B140-B139)/B139</f>
        <v/>
      </c>
      <c r="D140" s="5">
        <f>NORMINV(RAND(), $C$6, $C$7)</f>
        <v/>
      </c>
      <c r="E140" s="5">
        <f>NORMINV(RAND(), $C$6, $C$7)</f>
        <v/>
      </c>
      <c r="F140" s="5">
        <f>NORMINV(RAND(), $C$6, $C$7)</f>
        <v/>
      </c>
      <c r="G140" s="5">
        <f>NORMINV(RAND(), $C$6, $C$7)</f>
        <v/>
      </c>
      <c r="H140" s="5">
        <f>NORMINV(RAND(), $C$6, $C$7)</f>
        <v/>
      </c>
      <c r="J140" t="inlineStr">
        <is>
          <t>2026-03-11</t>
        </is>
      </c>
      <c r="K140" s="7" t="n">
        <v>260.81</v>
      </c>
      <c r="L140" s="5">
        <f>(K140-K139)/K139</f>
        <v/>
      </c>
      <c r="M140" s="5">
        <f>NORMINV(RAND(), $L$6, $L$7)</f>
        <v/>
      </c>
      <c r="N140" s="5">
        <f>NORMINV(RAND(), $L$6, $L$7)</f>
        <v/>
      </c>
      <c r="O140" s="5">
        <f>NORMINV(RAND(), $L$6, $L$7)</f>
        <v/>
      </c>
      <c r="P140" s="5">
        <f>NORMINV(RAND(), $L$6, $L$7)</f>
        <v/>
      </c>
      <c r="Q140" s="5">
        <f>NORMINV(RAND(), $L$6, $L$7)</f>
        <v/>
      </c>
    </row>
    <row r="141">
      <c r="A141" t="inlineStr">
        <is>
          <t>2026-03-12</t>
        </is>
      </c>
      <c r="B141" s="7" t="n">
        <v>303.21</v>
      </c>
      <c r="C141" s="5">
        <f>(B141-B140)/B140</f>
        <v/>
      </c>
      <c r="D141" s="5">
        <f>NORMINV(RAND(), $C$6, $C$7)</f>
        <v/>
      </c>
      <c r="E141" s="5">
        <f>NORMINV(RAND(), $C$6, $C$7)</f>
        <v/>
      </c>
      <c r="F141" s="5">
        <f>NORMINV(RAND(), $C$6, $C$7)</f>
        <v/>
      </c>
      <c r="G141" s="5">
        <f>NORMINV(RAND(), $C$6, $C$7)</f>
        <v/>
      </c>
      <c r="H141" s="5">
        <f>NORMINV(RAND(), $C$6, $C$7)</f>
        <v/>
      </c>
      <c r="J141" t="inlineStr">
        <is>
          <t>2026-03-12</t>
        </is>
      </c>
      <c r="K141" s="7" t="n">
        <v>255.76</v>
      </c>
      <c r="L141" s="5">
        <f>(K141-K140)/K140</f>
        <v/>
      </c>
      <c r="M141" s="5">
        <f>NORMINV(RAND(), $L$6, $L$7)</f>
        <v/>
      </c>
      <c r="N141" s="5">
        <f>NORMINV(RAND(), $L$6, $L$7)</f>
        <v/>
      </c>
      <c r="O141" s="5">
        <f>NORMINV(RAND(), $L$6, $L$7)</f>
        <v/>
      </c>
      <c r="P141" s="5">
        <f>NORMINV(RAND(), $L$6, $L$7)</f>
        <v/>
      </c>
      <c r="Q141" s="5">
        <f>NORMINV(RAND(), $L$6, $L$7)</f>
        <v/>
      </c>
    </row>
    <row r="142">
      <c r="A142" t="inlineStr">
        <is>
          <t>2026-03-13</t>
        </is>
      </c>
      <c r="B142" s="7" t="n">
        <v>301.46</v>
      </c>
      <c r="C142" s="5">
        <f>(B142-B141)/B141</f>
        <v/>
      </c>
      <c r="D142" s="5">
        <f>NORMINV(RAND(), $C$6, $C$7)</f>
        <v/>
      </c>
      <c r="E142" s="5">
        <f>NORMINV(RAND(), $C$6, $C$7)</f>
        <v/>
      </c>
      <c r="F142" s="5">
        <f>NORMINV(RAND(), $C$6, $C$7)</f>
        <v/>
      </c>
      <c r="G142" s="5">
        <f>NORMINV(RAND(), $C$6, $C$7)</f>
        <v/>
      </c>
      <c r="H142" s="5">
        <f>NORMINV(RAND(), $C$6, $C$7)</f>
        <v/>
      </c>
      <c r="J142" t="inlineStr">
        <is>
          <t>2026-03-13</t>
        </is>
      </c>
      <c r="K142" s="7" t="n">
        <v>250.12</v>
      </c>
      <c r="L142" s="5">
        <f>(K142-K141)/K141</f>
        <v/>
      </c>
      <c r="M142" s="5">
        <f>NORMINV(RAND(), $L$6, $L$7)</f>
        <v/>
      </c>
      <c r="N142" s="5">
        <f>NORMINV(RAND(), $L$6, $L$7)</f>
        <v/>
      </c>
      <c r="O142" s="5">
        <f>NORMINV(RAND(), $L$6, $L$7)</f>
        <v/>
      </c>
      <c r="P142" s="5">
        <f>NORMINV(RAND(), $L$6, $L$7)</f>
        <v/>
      </c>
      <c r="Q142" s="5">
        <f>NORMINV(RAND(), $L$6, $L$7)</f>
        <v/>
      </c>
    </row>
    <row r="143">
      <c r="A143" t="inlineStr">
        <is>
          <t>2026-03-16</t>
        </is>
      </c>
      <c r="B143" s="7" t="n">
        <v>304.42</v>
      </c>
      <c r="C143" s="5">
        <f>(B143-B142)/B142</f>
        <v/>
      </c>
      <c r="D143" s="5">
        <f>NORMINV(RAND(), $C$6, $C$7)</f>
        <v/>
      </c>
      <c r="E143" s="5">
        <f>NORMINV(RAND(), $C$6, $C$7)</f>
        <v/>
      </c>
      <c r="F143" s="5">
        <f>NORMINV(RAND(), $C$6, $C$7)</f>
        <v/>
      </c>
      <c r="G143" s="5">
        <f>NORMINV(RAND(), $C$6, $C$7)</f>
        <v/>
      </c>
      <c r="H143" s="5">
        <f>NORMINV(RAND(), $C$6, $C$7)</f>
        <v/>
      </c>
      <c r="J143" t="inlineStr">
        <is>
          <t>2026-03-16</t>
        </is>
      </c>
      <c r="K143" s="7" t="n">
        <v>252.82</v>
      </c>
      <c r="L143" s="5">
        <f>(K143-K142)/K142</f>
        <v/>
      </c>
      <c r="M143" s="5">
        <f>NORMINV(RAND(), $L$6, $L$7)</f>
        <v/>
      </c>
      <c r="N143" s="5">
        <f>NORMINV(RAND(), $L$6, $L$7)</f>
        <v/>
      </c>
      <c r="O143" s="5">
        <f>NORMINV(RAND(), $L$6, $L$7)</f>
        <v/>
      </c>
      <c r="P143" s="5">
        <f>NORMINV(RAND(), $L$6, $L$7)</f>
        <v/>
      </c>
      <c r="Q143" s="5">
        <f>NORMINV(RAND(), $L$6, $L$7)</f>
        <v/>
      </c>
    </row>
    <row r="144">
      <c r="A144" t="inlineStr">
        <is>
          <t>2026-03-17</t>
        </is>
      </c>
      <c r="B144" s="7" t="n">
        <v>309.41</v>
      </c>
      <c r="C144" s="5">
        <f>(B144-B143)/B143</f>
        <v/>
      </c>
      <c r="D144" s="5">
        <f>NORMINV(RAND(), $C$6, $C$7)</f>
        <v/>
      </c>
      <c r="E144" s="5">
        <f>NORMINV(RAND(), $C$6, $C$7)</f>
        <v/>
      </c>
      <c r="F144" s="5">
        <f>NORMINV(RAND(), $C$6, $C$7)</f>
        <v/>
      </c>
      <c r="G144" s="5">
        <f>NORMINV(RAND(), $C$6, $C$7)</f>
        <v/>
      </c>
      <c r="H144" s="5">
        <f>NORMINV(RAND(), $C$6, $C$7)</f>
        <v/>
      </c>
      <c r="J144" t="inlineStr">
        <is>
          <t>2026-03-17</t>
        </is>
      </c>
      <c r="K144" s="7" t="n">
        <v>254.23</v>
      </c>
      <c r="L144" s="5">
        <f>(K144-K143)/K143</f>
        <v/>
      </c>
      <c r="M144" s="5">
        <f>NORMINV(RAND(), $L$6, $L$7)</f>
        <v/>
      </c>
      <c r="N144" s="5">
        <f>NORMINV(RAND(), $L$6, $L$7)</f>
        <v/>
      </c>
      <c r="O144" s="5">
        <f>NORMINV(RAND(), $L$6, $L$7)</f>
        <v/>
      </c>
      <c r="P144" s="5">
        <f>NORMINV(RAND(), $L$6, $L$7)</f>
        <v/>
      </c>
      <c r="Q144" s="5">
        <f>NORMINV(RAND(), $L$6, $L$7)</f>
        <v/>
      </c>
    </row>
    <row r="145">
      <c r="A145" t="inlineStr">
        <is>
          <t>2026-03-18</t>
        </is>
      </c>
      <c r="B145" s="7" t="n">
        <v>306.3</v>
      </c>
      <c r="C145" s="5">
        <f>(B145-B144)/B144</f>
        <v/>
      </c>
      <c r="D145" s="5">
        <f>NORMINV(RAND(), $C$6, $C$7)</f>
        <v/>
      </c>
      <c r="E145" s="5">
        <f>NORMINV(RAND(), $C$6, $C$7)</f>
        <v/>
      </c>
      <c r="F145" s="5">
        <f>NORMINV(RAND(), $C$6, $C$7)</f>
        <v/>
      </c>
      <c r="G145" s="5">
        <f>NORMINV(RAND(), $C$6, $C$7)</f>
        <v/>
      </c>
      <c r="H145" s="5">
        <f>NORMINV(RAND(), $C$6, $C$7)</f>
        <v/>
      </c>
      <c r="J145" t="inlineStr">
        <is>
          <t>2026-03-18</t>
        </is>
      </c>
      <c r="K145" s="7" t="n">
        <v>249.94</v>
      </c>
      <c r="L145" s="5">
        <f>(K145-K144)/K144</f>
        <v/>
      </c>
      <c r="M145" s="5">
        <f>NORMINV(RAND(), $L$6, $L$7)</f>
        <v/>
      </c>
      <c r="N145" s="5">
        <f>NORMINV(RAND(), $L$6, $L$7)</f>
        <v/>
      </c>
      <c r="O145" s="5">
        <f>NORMINV(RAND(), $L$6, $L$7)</f>
        <v/>
      </c>
      <c r="P145" s="5">
        <f>NORMINV(RAND(), $L$6, $L$7)</f>
        <v/>
      </c>
      <c r="Q145" s="5">
        <f>NORMINV(RAND(), $L$6, $L$7)</f>
        <v/>
      </c>
    </row>
    <row r="146">
      <c r="A146" t="inlineStr">
        <is>
          <t>2026-03-19</t>
        </is>
      </c>
      <c r="B146" s="7" t="n">
        <v>305.73</v>
      </c>
      <c r="C146" s="5">
        <f>(B146-B145)/B145</f>
        <v/>
      </c>
      <c r="D146" s="5">
        <f>NORMINV(RAND(), $C$6, $C$7)</f>
        <v/>
      </c>
      <c r="E146" s="5">
        <f>NORMINV(RAND(), $C$6, $C$7)</f>
        <v/>
      </c>
      <c r="F146" s="5">
        <f>NORMINV(RAND(), $C$6, $C$7)</f>
        <v/>
      </c>
      <c r="G146" s="5">
        <f>NORMINV(RAND(), $C$6, $C$7)</f>
        <v/>
      </c>
      <c r="H146" s="5">
        <f>NORMINV(RAND(), $C$6, $C$7)</f>
        <v/>
      </c>
      <c r="J146" t="inlineStr">
        <is>
          <t>2026-03-19</t>
        </is>
      </c>
      <c r="K146" s="7" t="n">
        <v>248.96</v>
      </c>
      <c r="L146" s="5">
        <f>(K146-K145)/K145</f>
        <v/>
      </c>
      <c r="M146" s="5">
        <f>NORMINV(RAND(), $L$6, $L$7)</f>
        <v/>
      </c>
      <c r="N146" s="5">
        <f>NORMINV(RAND(), $L$6, $L$7)</f>
        <v/>
      </c>
      <c r="O146" s="5">
        <f>NORMINV(RAND(), $L$6, $L$7)</f>
        <v/>
      </c>
      <c r="P146" s="5">
        <f>NORMINV(RAND(), $L$6, $L$7)</f>
        <v/>
      </c>
      <c r="Q146" s="5">
        <f>NORMINV(RAND(), $L$6, $L$7)</f>
        <v/>
      </c>
    </row>
    <row r="147">
      <c r="A147" t="inlineStr">
        <is>
          <t>2026-03-20</t>
        </is>
      </c>
      <c r="B147" s="7" t="n">
        <v>298.79</v>
      </c>
      <c r="C147" s="5">
        <f>(B147-B146)/B146</f>
        <v/>
      </c>
      <c r="D147" s="5">
        <f>NORMINV(RAND(), $C$6, $C$7)</f>
        <v/>
      </c>
      <c r="E147" s="5">
        <f>NORMINV(RAND(), $C$6, $C$7)</f>
        <v/>
      </c>
      <c r="F147" s="5">
        <f>NORMINV(RAND(), $C$6, $C$7)</f>
        <v/>
      </c>
      <c r="G147" s="5">
        <f>NORMINV(RAND(), $C$6, $C$7)</f>
        <v/>
      </c>
      <c r="H147" s="5">
        <f>NORMINV(RAND(), $C$6, $C$7)</f>
        <v/>
      </c>
      <c r="J147" t="inlineStr">
        <is>
          <t>2026-03-20</t>
        </is>
      </c>
      <c r="K147" s="7" t="n">
        <v>247.99</v>
      </c>
      <c r="L147" s="5">
        <f>(K147-K146)/K146</f>
        <v/>
      </c>
      <c r="M147" s="5">
        <f>NORMINV(RAND(), $L$6, $L$7)</f>
        <v/>
      </c>
      <c r="N147" s="5">
        <f>NORMINV(RAND(), $L$6, $L$7)</f>
        <v/>
      </c>
      <c r="O147" s="5">
        <f>NORMINV(RAND(), $L$6, $L$7)</f>
        <v/>
      </c>
      <c r="P147" s="5">
        <f>NORMINV(RAND(), $L$6, $L$7)</f>
        <v/>
      </c>
      <c r="Q147" s="5">
        <f>NORMINV(RAND(), $L$6, $L$7)</f>
        <v/>
      </c>
    </row>
    <row r="148">
      <c r="A148" t="inlineStr">
        <is>
          <t>2026-03-23</t>
        </is>
      </c>
      <c r="B148" s="7" t="n">
        <v>299.02</v>
      </c>
      <c r="C148" s="5">
        <f>(B148-B147)/B147</f>
        <v/>
      </c>
      <c r="D148" s="5">
        <f>NORMINV(RAND(), $C$6, $C$7)</f>
        <v/>
      </c>
      <c r="E148" s="5">
        <f>NORMINV(RAND(), $C$6, $C$7)</f>
        <v/>
      </c>
      <c r="F148" s="5">
        <f>NORMINV(RAND(), $C$6, $C$7)</f>
        <v/>
      </c>
      <c r="G148" s="5">
        <f>NORMINV(RAND(), $C$6, $C$7)</f>
        <v/>
      </c>
      <c r="H148" s="5">
        <f>NORMINV(RAND(), $C$6, $C$7)</f>
        <v/>
      </c>
      <c r="J148" t="inlineStr">
        <is>
          <t>2026-03-23</t>
        </is>
      </c>
      <c r="K148" s="7" t="n">
        <v>251.49</v>
      </c>
      <c r="L148" s="5">
        <f>(K148-K147)/K147</f>
        <v/>
      </c>
      <c r="M148" s="5">
        <f>NORMINV(RAND(), $L$6, $L$7)</f>
        <v/>
      </c>
      <c r="N148" s="5">
        <f>NORMINV(RAND(), $L$6, $L$7)</f>
        <v/>
      </c>
      <c r="O148" s="5">
        <f>NORMINV(RAND(), $L$6, $L$7)</f>
        <v/>
      </c>
      <c r="P148" s="5">
        <f>NORMINV(RAND(), $L$6, $L$7)</f>
        <v/>
      </c>
      <c r="Q148" s="5">
        <f>NORMINV(RAND(), $L$6, $L$7)</f>
        <v/>
      </c>
    </row>
    <row r="149">
      <c r="A149" t="inlineStr">
        <is>
          <t>2026-03-24</t>
        </is>
      </c>
      <c r="B149" s="7" t="n">
        <v>289.2</v>
      </c>
      <c r="C149" s="5">
        <f>(B149-B148)/B148</f>
        <v/>
      </c>
      <c r="D149" s="5">
        <f>NORMINV(RAND(), $C$6, $C$7)</f>
        <v/>
      </c>
      <c r="E149" s="5">
        <f>NORMINV(RAND(), $C$6, $C$7)</f>
        <v/>
      </c>
      <c r="F149" s="5">
        <f>NORMINV(RAND(), $C$6, $C$7)</f>
        <v/>
      </c>
      <c r="G149" s="5">
        <f>NORMINV(RAND(), $C$6, $C$7)</f>
        <v/>
      </c>
      <c r="H149" s="5">
        <f>NORMINV(RAND(), $C$6, $C$7)</f>
        <v/>
      </c>
      <c r="J149" t="inlineStr">
        <is>
          <t>2026-03-24</t>
        </is>
      </c>
      <c r="K149" s="7" t="n">
        <v>251.64</v>
      </c>
      <c r="L149" s="5">
        <f>(K149-K148)/K148</f>
        <v/>
      </c>
      <c r="M149" s="5">
        <f>NORMINV(RAND(), $L$6, $L$7)</f>
        <v/>
      </c>
      <c r="N149" s="5">
        <f>NORMINV(RAND(), $L$6, $L$7)</f>
        <v/>
      </c>
      <c r="O149" s="5">
        <f>NORMINV(RAND(), $L$6, $L$7)</f>
        <v/>
      </c>
      <c r="P149" s="5">
        <f>NORMINV(RAND(), $L$6, $L$7)</f>
        <v/>
      </c>
      <c r="Q149" s="5">
        <f>NORMINV(RAND(), $L$6, $L$7)</f>
        <v/>
      </c>
    </row>
    <row r="150">
      <c r="A150" t="inlineStr">
        <is>
          <t>2026-03-25</t>
        </is>
      </c>
      <c r="B150" s="7" t="n">
        <v>289.59</v>
      </c>
      <c r="C150" s="5">
        <f>(B150-B149)/B149</f>
        <v/>
      </c>
      <c r="D150" s="5">
        <f>NORMINV(RAND(), $C$6, $C$7)</f>
        <v/>
      </c>
      <c r="E150" s="5">
        <f>NORMINV(RAND(), $C$6, $C$7)</f>
        <v/>
      </c>
      <c r="F150" s="5">
        <f>NORMINV(RAND(), $C$6, $C$7)</f>
        <v/>
      </c>
      <c r="G150" s="5">
        <f>NORMINV(RAND(), $C$6, $C$7)</f>
        <v/>
      </c>
      <c r="H150" s="5">
        <f>NORMINV(RAND(), $C$6, $C$7)</f>
        <v/>
      </c>
      <c r="J150" t="inlineStr">
        <is>
          <t>2026-03-25</t>
        </is>
      </c>
      <c r="K150" s="7" t="n">
        <v>252.62</v>
      </c>
      <c r="L150" s="5">
        <f>(K150-K149)/K149</f>
        <v/>
      </c>
      <c r="M150" s="5">
        <f>NORMINV(RAND(), $L$6, $L$7)</f>
        <v/>
      </c>
      <c r="N150" s="5">
        <f>NORMINV(RAND(), $L$6, $L$7)</f>
        <v/>
      </c>
      <c r="O150" s="5">
        <f>NORMINV(RAND(), $L$6, $L$7)</f>
        <v/>
      </c>
      <c r="P150" s="5">
        <f>NORMINV(RAND(), $L$6, $L$7)</f>
        <v/>
      </c>
      <c r="Q150" s="5">
        <f>NORMINV(RAND(), $L$6, $L$7)</f>
        <v/>
      </c>
    </row>
    <row r="151">
      <c r="A151" t="inlineStr">
        <is>
          <t>2026-03-26</t>
        </is>
      </c>
      <c r="B151" s="7" t="n">
        <v>280.74</v>
      </c>
      <c r="C151" s="5">
        <f>(B151-B150)/B150</f>
        <v/>
      </c>
      <c r="D151" s="5">
        <f>NORMINV(RAND(), $C$6, $C$7)</f>
        <v/>
      </c>
      <c r="E151" s="5">
        <f>NORMINV(RAND(), $C$6, $C$7)</f>
        <v/>
      </c>
      <c r="F151" s="5">
        <f>NORMINV(RAND(), $C$6, $C$7)</f>
        <v/>
      </c>
      <c r="G151" s="5">
        <f>NORMINV(RAND(), $C$6, $C$7)</f>
        <v/>
      </c>
      <c r="H151" s="5">
        <f>NORMINV(RAND(), $C$6, $C$7)</f>
        <v/>
      </c>
      <c r="J151" t="inlineStr">
        <is>
          <t>2026-03-26</t>
        </is>
      </c>
      <c r="K151" s="7" t="n">
        <v>252.89</v>
      </c>
      <c r="L151" s="5">
        <f>(K151-K150)/K150</f>
        <v/>
      </c>
      <c r="M151" s="5">
        <f>NORMINV(RAND(), $L$6, $L$7)</f>
        <v/>
      </c>
      <c r="N151" s="5">
        <f>NORMINV(RAND(), $L$6, $L$7)</f>
        <v/>
      </c>
      <c r="O151" s="5">
        <f>NORMINV(RAND(), $L$6, $L$7)</f>
        <v/>
      </c>
      <c r="P151" s="5">
        <f>NORMINV(RAND(), $L$6, $L$7)</f>
        <v/>
      </c>
      <c r="Q151" s="5">
        <f>NORMINV(RAND(), $L$6, $L$7)</f>
        <v/>
      </c>
    </row>
    <row r="152">
      <c r="A152" t="inlineStr">
        <is>
          <t>2026-03-27</t>
        </is>
      </c>
      <c r="B152" s="7" t="n">
        <v>273.76</v>
      </c>
      <c r="C152" s="5">
        <f>(B152-B151)/B151</f>
        <v/>
      </c>
      <c r="D152" s="5">
        <f>NORMINV(RAND(), $C$6, $C$7)</f>
        <v/>
      </c>
      <c r="E152" s="5">
        <f>NORMINV(RAND(), $C$6, $C$7)</f>
        <v/>
      </c>
      <c r="F152" s="5">
        <f>NORMINV(RAND(), $C$6, $C$7)</f>
        <v/>
      </c>
      <c r="G152" s="5">
        <f>NORMINV(RAND(), $C$6, $C$7)</f>
        <v/>
      </c>
      <c r="H152" s="5">
        <f>NORMINV(RAND(), $C$6, $C$7)</f>
        <v/>
      </c>
      <c r="J152" t="inlineStr">
        <is>
          <t>2026-03-27</t>
        </is>
      </c>
      <c r="K152" s="7" t="n">
        <v>248.8</v>
      </c>
      <c r="L152" s="5">
        <f>(K152-K151)/K151</f>
        <v/>
      </c>
      <c r="M152" s="5">
        <f>NORMINV(RAND(), $L$6, $L$7)</f>
        <v/>
      </c>
      <c r="N152" s="5">
        <f>NORMINV(RAND(), $L$6, $L$7)</f>
        <v/>
      </c>
      <c r="O152" s="5">
        <f>NORMINV(RAND(), $L$6, $L$7)</f>
        <v/>
      </c>
      <c r="P152" s="5">
        <f>NORMINV(RAND(), $L$6, $L$7)</f>
        <v/>
      </c>
      <c r="Q152" s="5">
        <f>NORMINV(RAND(), $L$6, $L$7)</f>
        <v/>
      </c>
    </row>
    <row r="153">
      <c r="A153" t="inlineStr">
        <is>
          <t>2026-03-30</t>
        </is>
      </c>
      <c r="B153" s="7" t="n">
        <v>273.14</v>
      </c>
      <c r="C153" s="5">
        <f>(B153-B152)/B152</f>
        <v/>
      </c>
      <c r="D153" s="5">
        <f>NORMINV(RAND(), $C$6, $C$7)</f>
        <v/>
      </c>
      <c r="E153" s="5">
        <f>NORMINV(RAND(), $C$6, $C$7)</f>
        <v/>
      </c>
      <c r="F153" s="5">
        <f>NORMINV(RAND(), $C$6, $C$7)</f>
        <v/>
      </c>
      <c r="G153" s="5">
        <f>NORMINV(RAND(), $C$6, $C$7)</f>
        <v/>
      </c>
      <c r="H153" s="5">
        <f>NORMINV(RAND(), $C$6, $C$7)</f>
        <v/>
      </c>
      <c r="J153" t="inlineStr">
        <is>
          <t>2026-03-30</t>
        </is>
      </c>
      <c r="K153" s="7" t="n">
        <v>246.63</v>
      </c>
      <c r="L153" s="5">
        <f>(K153-K152)/K152</f>
        <v/>
      </c>
      <c r="M153" s="5">
        <f>NORMINV(RAND(), $L$6, $L$7)</f>
        <v/>
      </c>
      <c r="N153" s="5">
        <f>NORMINV(RAND(), $L$6, $L$7)</f>
        <v/>
      </c>
      <c r="O153" s="5">
        <f>NORMINV(RAND(), $L$6, $L$7)</f>
        <v/>
      </c>
      <c r="P153" s="5">
        <f>NORMINV(RAND(), $L$6, $L$7)</f>
        <v/>
      </c>
      <c r="Q153" s="5">
        <f>NORMINV(RAND(), $L$6, $L$7)</f>
        <v/>
      </c>
    </row>
    <row r="154">
      <c r="A154" t="inlineStr">
        <is>
          <t>2026-03-31</t>
        </is>
      </c>
      <c r="B154" s="7" t="n">
        <v>286.86</v>
      </c>
      <c r="C154" s="5">
        <f>(B154-B153)/B153</f>
        <v/>
      </c>
      <c r="D154" s="5">
        <f>NORMINV(RAND(), $C$6, $C$7)</f>
        <v/>
      </c>
      <c r="E154" s="5">
        <f>NORMINV(RAND(), $C$6, $C$7)</f>
        <v/>
      </c>
      <c r="F154" s="5">
        <f>NORMINV(RAND(), $C$6, $C$7)</f>
        <v/>
      </c>
      <c r="G154" s="5">
        <f>NORMINV(RAND(), $C$6, $C$7)</f>
        <v/>
      </c>
      <c r="H154" s="5">
        <f>NORMINV(RAND(), $C$6, $C$7)</f>
        <v/>
      </c>
      <c r="J154" t="inlineStr">
        <is>
          <t>2026-03-31</t>
        </is>
      </c>
      <c r="K154" s="7" t="n">
        <v>253.79</v>
      </c>
      <c r="L154" s="5">
        <f>(K154-K153)/K153</f>
        <v/>
      </c>
      <c r="M154" s="5">
        <f>NORMINV(RAND(), $L$6, $L$7)</f>
        <v/>
      </c>
      <c r="N154" s="5">
        <f>NORMINV(RAND(), $L$6, $L$7)</f>
        <v/>
      </c>
      <c r="O154" s="5">
        <f>NORMINV(RAND(), $L$6, $L$7)</f>
        <v/>
      </c>
      <c r="P154" s="5">
        <f>NORMINV(RAND(), $L$6, $L$7)</f>
        <v/>
      </c>
      <c r="Q154" s="5">
        <f>NORMINV(RAND(), $L$6, $L$7)</f>
        <v/>
      </c>
    </row>
    <row r="155">
      <c r="A155" t="inlineStr">
        <is>
          <t>2026-04-01</t>
        </is>
      </c>
      <c r="B155" s="7" t="n">
        <v>294.9</v>
      </c>
      <c r="C155" s="5">
        <f>(B155-B154)/B154</f>
        <v/>
      </c>
      <c r="D155" s="5">
        <f>NORMINV(RAND(), $C$6, $C$7)</f>
        <v/>
      </c>
      <c r="E155" s="5">
        <f>NORMINV(RAND(), $C$6, $C$7)</f>
        <v/>
      </c>
      <c r="F155" s="5">
        <f>NORMINV(RAND(), $C$6, $C$7)</f>
        <v/>
      </c>
      <c r="G155" s="5">
        <f>NORMINV(RAND(), $C$6, $C$7)</f>
        <v/>
      </c>
      <c r="H155" s="5">
        <f>NORMINV(RAND(), $C$6, $C$7)</f>
        <v/>
      </c>
      <c r="J155" t="inlineStr">
        <is>
          <t>2026-04-01</t>
        </is>
      </c>
      <c r="K155" s="7" t="n">
        <v>255.63</v>
      </c>
      <c r="L155" s="5">
        <f>(K155-K154)/K154</f>
        <v/>
      </c>
      <c r="M155" s="5">
        <f>NORMINV(RAND(), $L$6, $L$7)</f>
        <v/>
      </c>
      <c r="N155" s="5">
        <f>NORMINV(RAND(), $L$6, $L$7)</f>
        <v/>
      </c>
      <c r="O155" s="5">
        <f>NORMINV(RAND(), $L$6, $L$7)</f>
        <v/>
      </c>
      <c r="P155" s="5">
        <f>NORMINV(RAND(), $L$6, $L$7)</f>
        <v/>
      </c>
      <c r="Q155" s="5">
        <f>NORMINV(RAND(), $L$6, $L$7)</f>
        <v/>
      </c>
    </row>
    <row r="156">
      <c r="A156" t="inlineStr">
        <is>
          <t>2026-04-02</t>
        </is>
      </c>
      <c r="B156" s="7" t="n">
        <v>294.46</v>
      </c>
      <c r="C156" s="5">
        <f>(B156-B155)/B155</f>
        <v/>
      </c>
      <c r="D156" s="5">
        <f>NORMINV(RAND(), $C$6, $C$7)</f>
        <v/>
      </c>
      <c r="E156" s="5">
        <f>NORMINV(RAND(), $C$6, $C$7)</f>
        <v/>
      </c>
      <c r="F156" s="5">
        <f>NORMINV(RAND(), $C$6, $C$7)</f>
        <v/>
      </c>
      <c r="G156" s="5">
        <f>NORMINV(RAND(), $C$6, $C$7)</f>
        <v/>
      </c>
      <c r="H156" s="5">
        <f>NORMINV(RAND(), $C$6, $C$7)</f>
        <v/>
      </c>
      <c r="J156" t="inlineStr">
        <is>
          <t>2026-04-02</t>
        </is>
      </c>
      <c r="K156" s="7" t="n">
        <v>255.92</v>
      </c>
      <c r="L156" s="5">
        <f>(K156-K155)/K155</f>
        <v/>
      </c>
      <c r="M156" s="5">
        <f>NORMINV(RAND(), $L$6, $L$7)</f>
        <v/>
      </c>
      <c r="N156" s="5">
        <f>NORMINV(RAND(), $L$6, $L$7)</f>
        <v/>
      </c>
      <c r="O156" s="5">
        <f>NORMINV(RAND(), $L$6, $L$7)</f>
        <v/>
      </c>
      <c r="P156" s="5">
        <f>NORMINV(RAND(), $L$6, $L$7)</f>
        <v/>
      </c>
      <c r="Q156" s="5">
        <f>NORMINV(RAND(), $L$6, $L$7)</f>
        <v/>
      </c>
    </row>
    <row r="157">
      <c r="A157" t="inlineStr">
        <is>
          <t>2026-04-06</t>
        </is>
      </c>
      <c r="B157" s="7" t="n">
        <v>297.66</v>
      </c>
      <c r="C157" s="5">
        <f>(B157-B156)/B156</f>
        <v/>
      </c>
      <c r="D157" s="5">
        <f>NORMINV(RAND(), $C$6, $C$7)</f>
        <v/>
      </c>
      <c r="E157" s="5">
        <f>NORMINV(RAND(), $C$6, $C$7)</f>
        <v/>
      </c>
      <c r="F157" s="5">
        <f>NORMINV(RAND(), $C$6, $C$7)</f>
        <v/>
      </c>
      <c r="G157" s="5">
        <f>NORMINV(RAND(), $C$6, $C$7)</f>
        <v/>
      </c>
      <c r="H157" s="5">
        <f>NORMINV(RAND(), $C$6, $C$7)</f>
        <v/>
      </c>
      <c r="J157" t="inlineStr">
        <is>
          <t>2026-04-06</t>
        </is>
      </c>
      <c r="K157" s="7" t="n">
        <v>258.86</v>
      </c>
      <c r="L157" s="5">
        <f>(K157-K156)/K156</f>
        <v/>
      </c>
      <c r="M157" s="5">
        <f>NORMINV(RAND(), $L$6, $L$7)</f>
        <v/>
      </c>
      <c r="N157" s="5">
        <f>NORMINV(RAND(), $L$6, $L$7)</f>
        <v/>
      </c>
      <c r="O157" s="5">
        <f>NORMINV(RAND(), $L$6, $L$7)</f>
        <v/>
      </c>
      <c r="P157" s="5">
        <f>NORMINV(RAND(), $L$6, $L$7)</f>
        <v/>
      </c>
      <c r="Q157" s="5">
        <f>NORMINV(RAND(), $L$6, $L$7)</f>
        <v/>
      </c>
    </row>
    <row r="158">
      <c r="A158" t="inlineStr">
        <is>
          <t>2026-04-07</t>
        </is>
      </c>
      <c r="B158" s="7" t="n">
        <v>303.93</v>
      </c>
      <c r="C158" s="5">
        <f>(B158-B157)/B157</f>
        <v/>
      </c>
      <c r="D158" s="5">
        <f>NORMINV(RAND(), $C$6, $C$7)</f>
        <v/>
      </c>
      <c r="E158" s="5">
        <f>NORMINV(RAND(), $C$6, $C$7)</f>
        <v/>
      </c>
      <c r="F158" s="5">
        <f>NORMINV(RAND(), $C$6, $C$7)</f>
        <v/>
      </c>
      <c r="G158" s="5">
        <f>NORMINV(RAND(), $C$6, $C$7)</f>
        <v/>
      </c>
      <c r="H158" s="5">
        <f>NORMINV(RAND(), $C$6, $C$7)</f>
        <v/>
      </c>
      <c r="J158" t="inlineStr">
        <is>
          <t>2026-04-07</t>
        </is>
      </c>
      <c r="K158" s="7" t="n">
        <v>253.5</v>
      </c>
      <c r="L158" s="5">
        <f>(K158-K157)/K157</f>
        <v/>
      </c>
      <c r="M158" s="5">
        <f>NORMINV(RAND(), $L$6, $L$7)</f>
        <v/>
      </c>
      <c r="N158" s="5">
        <f>NORMINV(RAND(), $L$6, $L$7)</f>
        <v/>
      </c>
      <c r="O158" s="5">
        <f>NORMINV(RAND(), $L$6, $L$7)</f>
        <v/>
      </c>
      <c r="P158" s="5">
        <f>NORMINV(RAND(), $L$6, $L$7)</f>
        <v/>
      </c>
      <c r="Q158" s="5">
        <f>NORMINV(RAND(), $L$6, $L$7)</f>
        <v/>
      </c>
    </row>
    <row r="159">
      <c r="A159" t="inlineStr">
        <is>
          <t>2026-04-08</t>
        </is>
      </c>
      <c r="B159" s="7" t="n">
        <v>314.74</v>
      </c>
      <c r="C159" s="5">
        <f>(B159-B158)/B158</f>
        <v/>
      </c>
      <c r="D159" s="5">
        <f>NORMINV(RAND(), $C$6, $C$7)</f>
        <v/>
      </c>
      <c r="E159" s="5">
        <f>NORMINV(RAND(), $C$6, $C$7)</f>
        <v/>
      </c>
      <c r="F159" s="5">
        <f>NORMINV(RAND(), $C$6, $C$7)</f>
        <v/>
      </c>
      <c r="G159" s="5">
        <f>NORMINV(RAND(), $C$6, $C$7)</f>
        <v/>
      </c>
      <c r="H159" s="5">
        <f>NORMINV(RAND(), $C$6, $C$7)</f>
        <v/>
      </c>
      <c r="J159" t="inlineStr">
        <is>
          <t>2026-04-08</t>
        </is>
      </c>
      <c r="K159" s="7" t="n">
        <v>258.9</v>
      </c>
      <c r="L159" s="5">
        <f>(K159-K158)/K158</f>
        <v/>
      </c>
      <c r="M159" s="5">
        <f>NORMINV(RAND(), $L$6, $L$7)</f>
        <v/>
      </c>
      <c r="N159" s="5">
        <f>NORMINV(RAND(), $L$6, $L$7)</f>
        <v/>
      </c>
      <c r="O159" s="5">
        <f>NORMINV(RAND(), $L$6, $L$7)</f>
        <v/>
      </c>
      <c r="P159" s="5">
        <f>NORMINV(RAND(), $L$6, $L$7)</f>
        <v/>
      </c>
      <c r="Q159" s="5">
        <f>NORMINV(RAND(), $L$6, $L$7)</f>
        <v/>
      </c>
    </row>
    <row r="160">
      <c r="A160" t="inlineStr">
        <is>
          <t>2026-04-09</t>
        </is>
      </c>
      <c r="B160" s="7" t="n">
        <v>316.37</v>
      </c>
      <c r="C160" s="5">
        <f>(B160-B159)/B159</f>
        <v/>
      </c>
      <c r="D160" s="5">
        <f>NORMINV(RAND(), $C$6, $C$7)</f>
        <v/>
      </c>
      <c r="E160" s="5">
        <f>NORMINV(RAND(), $C$6, $C$7)</f>
        <v/>
      </c>
      <c r="F160" s="5">
        <f>NORMINV(RAND(), $C$6, $C$7)</f>
        <v/>
      </c>
      <c r="G160" s="5">
        <f>NORMINV(RAND(), $C$6, $C$7)</f>
        <v/>
      </c>
      <c r="H160" s="5">
        <f>NORMINV(RAND(), $C$6, $C$7)</f>
        <v/>
      </c>
      <c r="J160" t="inlineStr">
        <is>
          <t>2026-04-09</t>
        </is>
      </c>
      <c r="K160" s="7" t="n">
        <v>260.49</v>
      </c>
      <c r="L160" s="5">
        <f>(K160-K159)/K159</f>
        <v/>
      </c>
      <c r="M160" s="5">
        <f>NORMINV(RAND(), $L$6, $L$7)</f>
        <v/>
      </c>
      <c r="N160" s="5">
        <f>NORMINV(RAND(), $L$6, $L$7)</f>
        <v/>
      </c>
      <c r="O160" s="5">
        <f>NORMINV(RAND(), $L$6, $L$7)</f>
        <v/>
      </c>
      <c r="P160" s="5">
        <f>NORMINV(RAND(), $L$6, $L$7)</f>
        <v/>
      </c>
      <c r="Q160" s="5">
        <f>NORMINV(RAND(), $L$6, $L$7)</f>
        <v/>
      </c>
    </row>
    <row r="161">
      <c r="A161" t="inlineStr">
        <is>
          <t>2026-04-10</t>
        </is>
      </c>
      <c r="B161" s="7" t="n">
        <v>315.72</v>
      </c>
      <c r="C161" s="5">
        <f>(B161-B160)/B160</f>
        <v/>
      </c>
      <c r="D161" s="5">
        <f>NORMINV(RAND(), $C$6, $C$7)</f>
        <v/>
      </c>
      <c r="E161" s="5">
        <f>NORMINV(RAND(), $C$6, $C$7)</f>
        <v/>
      </c>
      <c r="F161" s="5">
        <f>NORMINV(RAND(), $C$6, $C$7)</f>
        <v/>
      </c>
      <c r="G161" s="5">
        <f>NORMINV(RAND(), $C$6, $C$7)</f>
        <v/>
      </c>
      <c r="H161" s="5">
        <f>NORMINV(RAND(), $C$6, $C$7)</f>
        <v/>
      </c>
      <c r="J161" t="inlineStr">
        <is>
          <t>2026-04-10</t>
        </is>
      </c>
      <c r="K161" s="7" t="n">
        <v>260.48</v>
      </c>
      <c r="L161" s="5">
        <f>(K161-K160)/K160</f>
        <v/>
      </c>
      <c r="M161" s="5">
        <f>NORMINV(RAND(), $L$6, $L$7)</f>
        <v/>
      </c>
      <c r="N161" s="5">
        <f>NORMINV(RAND(), $L$6, $L$7)</f>
        <v/>
      </c>
      <c r="O161" s="5">
        <f>NORMINV(RAND(), $L$6, $L$7)</f>
        <v/>
      </c>
      <c r="P161" s="5">
        <f>NORMINV(RAND(), $L$6, $L$7)</f>
        <v/>
      </c>
      <c r="Q161" s="5">
        <f>NORMINV(RAND(), $L$6, $L$7)</f>
        <v/>
      </c>
    </row>
    <row r="162">
      <c r="A162" t="inlineStr">
        <is>
          <t>2026-04-13</t>
        </is>
      </c>
      <c r="B162" s="7" t="n">
        <v>319.21</v>
      </c>
      <c r="C162" s="5">
        <f>(B162-B161)/B161</f>
        <v/>
      </c>
      <c r="D162" s="5">
        <f>NORMINV(RAND(), $C$6, $C$7)</f>
        <v/>
      </c>
      <c r="E162" s="5">
        <f>NORMINV(RAND(), $C$6, $C$7)</f>
        <v/>
      </c>
      <c r="F162" s="5">
        <f>NORMINV(RAND(), $C$6, $C$7)</f>
        <v/>
      </c>
      <c r="G162" s="5">
        <f>NORMINV(RAND(), $C$6, $C$7)</f>
        <v/>
      </c>
      <c r="H162" s="5">
        <f>NORMINV(RAND(), $C$6, $C$7)</f>
        <v/>
      </c>
      <c r="J162" t="inlineStr">
        <is>
          <t>2026-04-13</t>
        </is>
      </c>
      <c r="K162" s="7" t="n">
        <v>259.2</v>
      </c>
      <c r="L162" s="5">
        <f>(K162-K161)/K161</f>
        <v/>
      </c>
      <c r="M162" s="5">
        <f>NORMINV(RAND(), $L$6, $L$7)</f>
        <v/>
      </c>
      <c r="N162" s="5">
        <f>NORMINV(RAND(), $L$6, $L$7)</f>
        <v/>
      </c>
      <c r="O162" s="5">
        <f>NORMINV(RAND(), $L$6, $L$7)</f>
        <v/>
      </c>
      <c r="P162" s="5">
        <f>NORMINV(RAND(), $L$6, $L$7)</f>
        <v/>
      </c>
      <c r="Q162" s="5">
        <f>NORMINV(RAND(), $L$6, $L$7)</f>
        <v/>
      </c>
    </row>
    <row r="163">
      <c r="A163" t="inlineStr">
        <is>
          <t>2026-04-14</t>
        </is>
      </c>
      <c r="B163" s="7" t="n">
        <v>330.58</v>
      </c>
      <c r="C163" s="5">
        <f>(B163-B162)/B162</f>
        <v/>
      </c>
      <c r="D163" s="5">
        <f>NORMINV(RAND(), $C$6, $C$7)</f>
        <v/>
      </c>
      <c r="E163" s="5">
        <f>NORMINV(RAND(), $C$6, $C$7)</f>
        <v/>
      </c>
      <c r="F163" s="5">
        <f>NORMINV(RAND(), $C$6, $C$7)</f>
        <v/>
      </c>
      <c r="G163" s="5">
        <f>NORMINV(RAND(), $C$6, $C$7)</f>
        <v/>
      </c>
      <c r="H163" s="5">
        <f>NORMINV(RAND(), $C$6, $C$7)</f>
        <v/>
      </c>
      <c r="J163" t="inlineStr">
        <is>
          <t>2026-04-14</t>
        </is>
      </c>
      <c r="K163" s="7" t="n">
        <v>258.83</v>
      </c>
      <c r="L163" s="5">
        <f>(K163-K162)/K162</f>
        <v/>
      </c>
      <c r="M163" s="5">
        <f>NORMINV(RAND(), $L$6, $L$7)</f>
        <v/>
      </c>
      <c r="N163" s="5">
        <f>NORMINV(RAND(), $L$6, $L$7)</f>
        <v/>
      </c>
      <c r="O163" s="5">
        <f>NORMINV(RAND(), $L$6, $L$7)</f>
        <v/>
      </c>
      <c r="P163" s="5">
        <f>NORMINV(RAND(), $L$6, $L$7)</f>
        <v/>
      </c>
      <c r="Q163" s="5">
        <f>NORMINV(RAND(), $L$6, $L$7)</f>
        <v/>
      </c>
    </row>
    <row r="164">
      <c r="A164" t="inlineStr">
        <is>
          <t>2026-04-15</t>
        </is>
      </c>
      <c r="B164" s="7" t="n">
        <v>334.47</v>
      </c>
      <c r="C164" s="5">
        <f>(B164-B163)/B163</f>
        <v/>
      </c>
      <c r="D164" s="5">
        <f>NORMINV(RAND(), $C$6, $C$7)</f>
        <v/>
      </c>
      <c r="E164" s="5">
        <f>NORMINV(RAND(), $C$6, $C$7)</f>
        <v/>
      </c>
      <c r="F164" s="5">
        <f>NORMINV(RAND(), $C$6, $C$7)</f>
        <v/>
      </c>
      <c r="G164" s="5">
        <f>NORMINV(RAND(), $C$6, $C$7)</f>
        <v/>
      </c>
      <c r="H164" s="5">
        <f>NORMINV(RAND(), $C$6, $C$7)</f>
        <v/>
      </c>
      <c r="J164" t="inlineStr">
        <is>
          <t>2026-04-15</t>
        </is>
      </c>
      <c r="K164" s="7" t="n">
        <v>266.43</v>
      </c>
      <c r="L164" s="5">
        <f>(K164-K163)/K163</f>
        <v/>
      </c>
      <c r="M164" s="5">
        <f>NORMINV(RAND(), $L$6, $L$7)</f>
        <v/>
      </c>
      <c r="N164" s="5">
        <f>NORMINV(RAND(), $L$6, $L$7)</f>
        <v/>
      </c>
      <c r="O164" s="5">
        <f>NORMINV(RAND(), $L$6, $L$7)</f>
        <v/>
      </c>
      <c r="P164" s="5">
        <f>NORMINV(RAND(), $L$6, $L$7)</f>
        <v/>
      </c>
      <c r="Q164" s="5">
        <f>NORMINV(RAND(), $L$6, $L$7)</f>
        <v/>
      </c>
    </row>
    <row r="165">
      <c r="A165" t="inlineStr">
        <is>
          <t>2026-04-16</t>
        </is>
      </c>
      <c r="B165" s="7" t="n">
        <v>332.77</v>
      </c>
      <c r="C165" s="5">
        <f>(B165-B164)/B164</f>
        <v/>
      </c>
      <c r="D165" s="5">
        <f>NORMINV(RAND(), $C$6, $C$7)</f>
        <v/>
      </c>
      <c r="E165" s="5">
        <f>NORMINV(RAND(), $C$6, $C$7)</f>
        <v/>
      </c>
      <c r="F165" s="5">
        <f>NORMINV(RAND(), $C$6, $C$7)</f>
        <v/>
      </c>
      <c r="G165" s="5">
        <f>NORMINV(RAND(), $C$6, $C$7)</f>
        <v/>
      </c>
      <c r="H165" s="5">
        <f>NORMINV(RAND(), $C$6, $C$7)</f>
        <v/>
      </c>
      <c r="J165" t="inlineStr">
        <is>
          <t>2026-04-16</t>
        </is>
      </c>
      <c r="K165" s="7" t="n">
        <v>263.4</v>
      </c>
      <c r="L165" s="5">
        <f>(K165-K164)/K164</f>
        <v/>
      </c>
      <c r="M165" s="5">
        <f>NORMINV(RAND(), $L$6, $L$7)</f>
        <v/>
      </c>
      <c r="N165" s="5">
        <f>NORMINV(RAND(), $L$6, $L$7)</f>
        <v/>
      </c>
      <c r="O165" s="5">
        <f>NORMINV(RAND(), $L$6, $L$7)</f>
        <v/>
      </c>
      <c r="P165" s="5">
        <f>NORMINV(RAND(), $L$6, $L$7)</f>
        <v/>
      </c>
      <c r="Q165" s="5">
        <f>NORMINV(RAND(), $L$6, $L$7)</f>
        <v/>
      </c>
    </row>
    <row r="166">
      <c r="A166" t="inlineStr">
        <is>
          <t>2026-04-17</t>
        </is>
      </c>
      <c r="B166" s="7" t="n">
        <v>339.4</v>
      </c>
      <c r="C166" s="5">
        <f>(B166-B165)/B165</f>
        <v/>
      </c>
      <c r="D166" s="5">
        <f>NORMINV(RAND(), $C$6, $C$7)</f>
        <v/>
      </c>
      <c r="E166" s="5">
        <f>NORMINV(RAND(), $C$6, $C$7)</f>
        <v/>
      </c>
      <c r="F166" s="5">
        <f>NORMINV(RAND(), $C$6, $C$7)</f>
        <v/>
      </c>
      <c r="G166" s="5">
        <f>NORMINV(RAND(), $C$6, $C$7)</f>
        <v/>
      </c>
      <c r="H166" s="5">
        <f>NORMINV(RAND(), $C$6, $C$7)</f>
        <v/>
      </c>
      <c r="J166" t="inlineStr">
        <is>
          <t>2026-04-17</t>
        </is>
      </c>
      <c r="K166" s="7" t="n">
        <v>270.23</v>
      </c>
      <c r="L166" s="5">
        <f>(K166-K165)/K165</f>
        <v/>
      </c>
      <c r="M166" s="5">
        <f>NORMINV(RAND(), $L$6, $L$7)</f>
        <v/>
      </c>
      <c r="N166" s="5">
        <f>NORMINV(RAND(), $L$6, $L$7)</f>
        <v/>
      </c>
      <c r="O166" s="5">
        <f>NORMINV(RAND(), $L$6, $L$7)</f>
        <v/>
      </c>
      <c r="P166" s="5">
        <f>NORMINV(RAND(), $L$6, $L$7)</f>
        <v/>
      </c>
      <c r="Q166" s="5">
        <f>NORMINV(RAND(), $L$6, $L$7)</f>
        <v/>
      </c>
    </row>
    <row r="167">
      <c r="A167" t="inlineStr">
        <is>
          <t>2026-04-20</t>
        </is>
      </c>
      <c r="B167" s="7" t="n">
        <v>335.4</v>
      </c>
      <c r="C167" s="5">
        <f>(B167-B166)/B166</f>
        <v/>
      </c>
      <c r="D167" s="5">
        <f>NORMINV(RAND(), $C$6, $C$7)</f>
        <v/>
      </c>
      <c r="E167" s="5">
        <f>NORMINV(RAND(), $C$6, $C$7)</f>
        <v/>
      </c>
      <c r="F167" s="5">
        <f>NORMINV(RAND(), $C$6, $C$7)</f>
        <v/>
      </c>
      <c r="G167" s="5">
        <f>NORMINV(RAND(), $C$6, $C$7)</f>
        <v/>
      </c>
      <c r="H167" s="5">
        <f>NORMINV(RAND(), $C$6, $C$7)</f>
        <v/>
      </c>
      <c r="J167" t="inlineStr">
        <is>
          <t>2026-04-20</t>
        </is>
      </c>
      <c r="K167" s="7" t="n">
        <v>273.05</v>
      </c>
      <c r="L167" s="5">
        <f>(K167-K166)/K166</f>
        <v/>
      </c>
      <c r="M167" s="5">
        <f>NORMINV(RAND(), $L$6, $L$7)</f>
        <v/>
      </c>
      <c r="N167" s="5">
        <f>NORMINV(RAND(), $L$6, $L$7)</f>
        <v/>
      </c>
      <c r="O167" s="5">
        <f>NORMINV(RAND(), $L$6, $L$7)</f>
        <v/>
      </c>
      <c r="P167" s="5">
        <f>NORMINV(RAND(), $L$6, $L$7)</f>
        <v/>
      </c>
      <c r="Q167" s="5">
        <f>NORMINV(RAND(), $L$6, $L$7)</f>
        <v/>
      </c>
    </row>
    <row r="168">
      <c r="A168" t="inlineStr">
        <is>
          <t>2026-04-21</t>
        </is>
      </c>
      <c r="B168" s="7" t="n">
        <v>330.47</v>
      </c>
      <c r="C168" s="5">
        <f>(B168-B167)/B167</f>
        <v/>
      </c>
      <c r="D168" s="5">
        <f>NORMINV(RAND(), $C$6, $C$7)</f>
        <v/>
      </c>
      <c r="E168" s="5">
        <f>NORMINV(RAND(), $C$6, $C$7)</f>
        <v/>
      </c>
      <c r="F168" s="5">
        <f>NORMINV(RAND(), $C$6, $C$7)</f>
        <v/>
      </c>
      <c r="G168" s="5">
        <f>NORMINV(RAND(), $C$6, $C$7)</f>
        <v/>
      </c>
      <c r="H168" s="5">
        <f>NORMINV(RAND(), $C$6, $C$7)</f>
        <v/>
      </c>
      <c r="J168" t="inlineStr">
        <is>
          <t>2026-04-21</t>
        </is>
      </c>
      <c r="K168" s="7" t="n">
        <v>266.17</v>
      </c>
      <c r="L168" s="5">
        <f>(K168-K167)/K167</f>
        <v/>
      </c>
      <c r="M168" s="5">
        <f>NORMINV(RAND(), $L$6, $L$7)</f>
        <v/>
      </c>
      <c r="N168" s="5">
        <f>NORMINV(RAND(), $L$6, $L$7)</f>
        <v/>
      </c>
      <c r="O168" s="5">
        <f>NORMINV(RAND(), $L$6, $L$7)</f>
        <v/>
      </c>
      <c r="P168" s="5">
        <f>NORMINV(RAND(), $L$6, $L$7)</f>
        <v/>
      </c>
      <c r="Q168" s="5">
        <f>NORMINV(RAND(), $L$6, $L$7)</f>
        <v/>
      </c>
    </row>
    <row r="169">
      <c r="A169" t="inlineStr">
        <is>
          <t>2026-04-22</t>
        </is>
      </c>
      <c r="B169" s="7" t="n">
        <v>337.73</v>
      </c>
      <c r="C169" s="5">
        <f>(B169-B168)/B168</f>
        <v/>
      </c>
      <c r="D169" s="5">
        <f>NORMINV(RAND(), $C$6, $C$7)</f>
        <v/>
      </c>
      <c r="E169" s="5">
        <f>NORMINV(RAND(), $C$6, $C$7)</f>
        <v/>
      </c>
      <c r="F169" s="5">
        <f>NORMINV(RAND(), $C$6, $C$7)</f>
        <v/>
      </c>
      <c r="G169" s="5">
        <f>NORMINV(RAND(), $C$6, $C$7)</f>
        <v/>
      </c>
      <c r="H169" s="5">
        <f>NORMINV(RAND(), $C$6, $C$7)</f>
        <v/>
      </c>
      <c r="J169" t="inlineStr">
        <is>
          <t>2026-04-22</t>
        </is>
      </c>
      <c r="K169" s="7" t="n">
        <v>273.17</v>
      </c>
      <c r="L169" s="5">
        <f>(K169-K168)/K168</f>
        <v/>
      </c>
      <c r="M169" s="5">
        <f>NORMINV(RAND(), $L$6, $L$7)</f>
        <v/>
      </c>
      <c r="N169" s="5">
        <f>NORMINV(RAND(), $L$6, $L$7)</f>
        <v/>
      </c>
      <c r="O169" s="5">
        <f>NORMINV(RAND(), $L$6, $L$7)</f>
        <v/>
      </c>
      <c r="P169" s="5">
        <f>NORMINV(RAND(), $L$6, $L$7)</f>
        <v/>
      </c>
      <c r="Q169" s="5">
        <f>NORMINV(RAND(), $L$6, $L$7)</f>
        <v/>
      </c>
    </row>
    <row r="170">
      <c r="A170" t="inlineStr">
        <is>
          <t>2026-04-23</t>
        </is>
      </c>
      <c r="B170" s="7" t="n">
        <v>337.75</v>
      </c>
      <c r="C170" s="5">
        <f>(B170-B169)/B169</f>
        <v/>
      </c>
      <c r="D170" s="5">
        <f>NORMINV(RAND(), $C$6, $C$7)</f>
        <v/>
      </c>
      <c r="E170" s="5">
        <f>NORMINV(RAND(), $C$6, $C$7)</f>
        <v/>
      </c>
      <c r="F170" s="5">
        <f>NORMINV(RAND(), $C$6, $C$7)</f>
        <v/>
      </c>
      <c r="G170" s="5">
        <f>NORMINV(RAND(), $C$6, $C$7)</f>
        <v/>
      </c>
      <c r="H170" s="5">
        <f>NORMINV(RAND(), $C$6, $C$7)</f>
        <v/>
      </c>
      <c r="J170" t="inlineStr">
        <is>
          <t>2026-04-23</t>
        </is>
      </c>
      <c r="K170" s="7" t="n">
        <v>273.43</v>
      </c>
      <c r="L170" s="5">
        <f>(K170-K169)/K169</f>
        <v/>
      </c>
      <c r="M170" s="5">
        <f>NORMINV(RAND(), $L$6, $L$7)</f>
        <v/>
      </c>
      <c r="N170" s="5">
        <f>NORMINV(RAND(), $L$6, $L$7)</f>
        <v/>
      </c>
      <c r="O170" s="5">
        <f>NORMINV(RAND(), $L$6, $L$7)</f>
        <v/>
      </c>
      <c r="P170" s="5">
        <f>NORMINV(RAND(), $L$6, $L$7)</f>
        <v/>
      </c>
      <c r="Q170" s="5">
        <f>NORMINV(RAND(), $L$6, $L$7)</f>
        <v/>
      </c>
    </row>
    <row r="171">
      <c r="A171" t="inlineStr">
        <is>
          <t>2026-04-24</t>
        </is>
      </c>
      <c r="B171" s="7" t="n">
        <v>342.32</v>
      </c>
      <c r="C171" s="5">
        <f>(B171-B170)/B170</f>
        <v/>
      </c>
      <c r="D171" s="5">
        <f>NORMINV(RAND(), $C$6, $C$7)</f>
        <v/>
      </c>
      <c r="E171" s="5">
        <f>NORMINV(RAND(), $C$6, $C$7)</f>
        <v/>
      </c>
      <c r="F171" s="5">
        <f>NORMINV(RAND(), $C$6, $C$7)</f>
        <v/>
      </c>
      <c r="G171" s="5">
        <f>NORMINV(RAND(), $C$6, $C$7)</f>
        <v/>
      </c>
      <c r="H171" s="5">
        <f>NORMINV(RAND(), $C$6, $C$7)</f>
        <v/>
      </c>
      <c r="J171" t="inlineStr">
        <is>
          <t>2026-04-24</t>
        </is>
      </c>
      <c r="K171" s="7" t="n">
        <v>271.06</v>
      </c>
      <c r="L171" s="5">
        <f>(K171-K170)/K170</f>
        <v/>
      </c>
      <c r="M171" s="5">
        <f>NORMINV(RAND(), $L$6, $L$7)</f>
        <v/>
      </c>
      <c r="N171" s="5">
        <f>NORMINV(RAND(), $L$6, $L$7)</f>
        <v/>
      </c>
      <c r="O171" s="5">
        <f>NORMINV(RAND(), $L$6, $L$7)</f>
        <v/>
      </c>
      <c r="P171" s="5">
        <f>NORMINV(RAND(), $L$6, $L$7)</f>
        <v/>
      </c>
      <c r="Q171" s="5">
        <f>NORMINV(RAND(), $L$6, $L$7)</f>
        <v/>
      </c>
    </row>
    <row r="172">
      <c r="A172" t="inlineStr">
        <is>
          <t>2026-04-27</t>
        </is>
      </c>
      <c r="B172" s="7" t="n">
        <v>348.52</v>
      </c>
      <c r="C172" s="5">
        <f>(B172-B171)/B171</f>
        <v/>
      </c>
      <c r="D172" s="5">
        <f>NORMINV(RAND(), $C$6, $C$7)</f>
        <v/>
      </c>
      <c r="E172" s="5">
        <f>NORMINV(RAND(), $C$6, $C$7)</f>
        <v/>
      </c>
      <c r="F172" s="5">
        <f>NORMINV(RAND(), $C$6, $C$7)</f>
        <v/>
      </c>
      <c r="G172" s="5">
        <f>NORMINV(RAND(), $C$6, $C$7)</f>
        <v/>
      </c>
      <c r="H172" s="5">
        <f>NORMINV(RAND(), $C$6, $C$7)</f>
        <v/>
      </c>
      <c r="J172" t="inlineStr">
        <is>
          <t>2026-04-27</t>
        </is>
      </c>
      <c r="K172" s="7" t="n">
        <v>267.61</v>
      </c>
      <c r="L172" s="5">
        <f>(K172-K171)/K171</f>
        <v/>
      </c>
      <c r="M172" s="5">
        <f>NORMINV(RAND(), $L$6, $L$7)</f>
        <v/>
      </c>
      <c r="N172" s="5">
        <f>NORMINV(RAND(), $L$6, $L$7)</f>
        <v/>
      </c>
      <c r="O172" s="5">
        <f>NORMINV(RAND(), $L$6, $L$7)</f>
        <v/>
      </c>
      <c r="P172" s="5">
        <f>NORMINV(RAND(), $L$6, $L$7)</f>
        <v/>
      </c>
      <c r="Q172" s="5">
        <f>NORMINV(RAND(), $L$6, $L$7)</f>
        <v/>
      </c>
    </row>
    <row r="173">
      <c r="A173" t="inlineStr">
        <is>
          <t>2026-04-28</t>
        </is>
      </c>
      <c r="B173" s="7" t="n">
        <v>347.5</v>
      </c>
      <c r="C173" s="5">
        <f>(B173-B172)/B172</f>
        <v/>
      </c>
      <c r="D173" s="5">
        <f>NORMINV(RAND(), $C$6, $C$7)</f>
        <v/>
      </c>
      <c r="E173" s="5">
        <f>NORMINV(RAND(), $C$6, $C$7)</f>
        <v/>
      </c>
      <c r="F173" s="5">
        <f>NORMINV(RAND(), $C$6, $C$7)</f>
        <v/>
      </c>
      <c r="G173" s="5">
        <f>NORMINV(RAND(), $C$6, $C$7)</f>
        <v/>
      </c>
      <c r="H173" s="5">
        <f>NORMINV(RAND(), $C$6, $C$7)</f>
        <v/>
      </c>
      <c r="J173" t="inlineStr">
        <is>
          <t>2026-04-28</t>
        </is>
      </c>
      <c r="K173" s="7" t="n">
        <v>270.71</v>
      </c>
      <c r="L173" s="5">
        <f>(K173-K172)/K172</f>
        <v/>
      </c>
      <c r="M173" s="5">
        <f>NORMINV(RAND(), $L$6, $L$7)</f>
        <v/>
      </c>
      <c r="N173" s="5">
        <f>NORMINV(RAND(), $L$6, $L$7)</f>
        <v/>
      </c>
      <c r="O173" s="5">
        <f>NORMINV(RAND(), $L$6, $L$7)</f>
        <v/>
      </c>
      <c r="P173" s="5">
        <f>NORMINV(RAND(), $L$6, $L$7)</f>
        <v/>
      </c>
      <c r="Q173" s="5">
        <f>NORMINV(RAND(), $L$6, $L$7)</f>
        <v/>
      </c>
    </row>
    <row r="174">
      <c r="A174" t="inlineStr">
        <is>
          <t>2026-04-29</t>
        </is>
      </c>
      <c r="B174" s="7" t="n">
        <v>347.31</v>
      </c>
      <c r="C174" s="5">
        <f>(B174-B173)/B173</f>
        <v/>
      </c>
      <c r="D174" s="5">
        <f>NORMINV(RAND(), $C$6, $C$7)</f>
        <v/>
      </c>
      <c r="E174" s="5">
        <f>NORMINV(RAND(), $C$6, $C$7)</f>
        <v/>
      </c>
      <c r="F174" s="5">
        <f>NORMINV(RAND(), $C$6, $C$7)</f>
        <v/>
      </c>
      <c r="G174" s="5">
        <f>NORMINV(RAND(), $C$6, $C$7)</f>
        <v/>
      </c>
      <c r="H174" s="5">
        <f>NORMINV(RAND(), $C$6, $C$7)</f>
        <v/>
      </c>
      <c r="J174" t="inlineStr">
        <is>
          <t>2026-04-29</t>
        </is>
      </c>
      <c r="K174" s="7" t="n">
        <v>270.17</v>
      </c>
      <c r="L174" s="5">
        <f>(K174-K173)/K173</f>
        <v/>
      </c>
      <c r="M174" s="5">
        <f>NORMINV(RAND(), $L$6, $L$7)</f>
        <v/>
      </c>
      <c r="N174" s="5">
        <f>NORMINV(RAND(), $L$6, $L$7)</f>
        <v/>
      </c>
      <c r="O174" s="5">
        <f>NORMINV(RAND(), $L$6, $L$7)</f>
        <v/>
      </c>
      <c r="P174" s="5">
        <f>NORMINV(RAND(), $L$6, $L$7)</f>
        <v/>
      </c>
      <c r="Q174" s="5">
        <f>NORMINV(RAND(), $L$6, $L$7)</f>
        <v/>
      </c>
    </row>
    <row r="175">
      <c r="A175" t="inlineStr">
        <is>
          <t>2026-04-30</t>
        </is>
      </c>
      <c r="B175" s="7" t="n">
        <v>381.94</v>
      </c>
      <c r="C175" s="5">
        <f>(B175-B174)/B174</f>
        <v/>
      </c>
      <c r="D175" s="5">
        <f>NORMINV(RAND(), $C$6, $C$7)</f>
        <v/>
      </c>
      <c r="E175" s="5">
        <f>NORMINV(RAND(), $C$6, $C$7)</f>
        <v/>
      </c>
      <c r="F175" s="5">
        <f>NORMINV(RAND(), $C$6, $C$7)</f>
        <v/>
      </c>
      <c r="G175" s="5">
        <f>NORMINV(RAND(), $C$6, $C$7)</f>
        <v/>
      </c>
      <c r="H175" s="5">
        <f>NORMINV(RAND(), $C$6, $C$7)</f>
        <v/>
      </c>
      <c r="J175" t="inlineStr">
        <is>
          <t>2026-04-30</t>
        </is>
      </c>
      <c r="K175" s="7" t="n">
        <v>271.35</v>
      </c>
      <c r="L175" s="5">
        <f>(K175-K174)/K174</f>
        <v/>
      </c>
      <c r="M175" s="5">
        <f>NORMINV(RAND(), $L$6, $L$7)</f>
        <v/>
      </c>
      <c r="N175" s="5">
        <f>NORMINV(RAND(), $L$6, $L$7)</f>
        <v/>
      </c>
      <c r="O175" s="5">
        <f>NORMINV(RAND(), $L$6, $L$7)</f>
        <v/>
      </c>
      <c r="P175" s="5">
        <f>NORMINV(RAND(), $L$6, $L$7)</f>
        <v/>
      </c>
      <c r="Q175" s="5">
        <f>NORMINV(RAND(), $L$6, $L$7)</f>
        <v/>
      </c>
    </row>
    <row r="176">
      <c r="A176" t="inlineStr">
        <is>
          <t>2026-05-01</t>
        </is>
      </c>
      <c r="B176" s="7" t="n">
        <v>383.22</v>
      </c>
      <c r="C176" s="5">
        <f>(B176-B175)/B175</f>
        <v/>
      </c>
      <c r="D176" s="5">
        <f>NORMINV(RAND(), $C$6, $C$7)</f>
        <v/>
      </c>
      <c r="E176" s="5">
        <f>NORMINV(RAND(), $C$6, $C$7)</f>
        <v/>
      </c>
      <c r="F176" s="5">
        <f>NORMINV(RAND(), $C$6, $C$7)</f>
        <v/>
      </c>
      <c r="G176" s="5">
        <f>NORMINV(RAND(), $C$6, $C$7)</f>
        <v/>
      </c>
      <c r="H176" s="5">
        <f>NORMINV(RAND(), $C$6, $C$7)</f>
        <v/>
      </c>
      <c r="J176" t="inlineStr">
        <is>
          <t>2026-05-01</t>
        </is>
      </c>
      <c r="K176" s="7" t="n">
        <v>280.14</v>
      </c>
      <c r="L176" s="5">
        <f>(K176-K175)/K175</f>
        <v/>
      </c>
      <c r="M176" s="5">
        <f>NORMINV(RAND(), $L$6, $L$7)</f>
        <v/>
      </c>
      <c r="N176" s="5">
        <f>NORMINV(RAND(), $L$6, $L$7)</f>
        <v/>
      </c>
      <c r="O176" s="5">
        <f>NORMINV(RAND(), $L$6, $L$7)</f>
        <v/>
      </c>
      <c r="P176" s="5">
        <f>NORMINV(RAND(), $L$6, $L$7)</f>
        <v/>
      </c>
      <c r="Q176" s="5">
        <f>NORMINV(RAND(), $L$6, $L$7)</f>
        <v/>
      </c>
    </row>
    <row r="177">
      <c r="A177" t="inlineStr">
        <is>
          <t>2026-05-04</t>
        </is>
      </c>
      <c r="B177" s="7" t="n">
        <v>379.64</v>
      </c>
      <c r="C177" s="5">
        <f>(B177-B176)/B176</f>
        <v/>
      </c>
      <c r="D177" s="5">
        <f>NORMINV(RAND(), $C$6, $C$7)</f>
        <v/>
      </c>
      <c r="E177" s="5">
        <f>NORMINV(RAND(), $C$6, $C$7)</f>
        <v/>
      </c>
      <c r="F177" s="5">
        <f>NORMINV(RAND(), $C$6, $C$7)</f>
        <v/>
      </c>
      <c r="G177" s="5">
        <f>NORMINV(RAND(), $C$6, $C$7)</f>
        <v/>
      </c>
      <c r="H177" s="5">
        <f>NORMINV(RAND(), $C$6, $C$7)</f>
        <v/>
      </c>
      <c r="J177" t="inlineStr">
        <is>
          <t>2026-05-04</t>
        </is>
      </c>
      <c r="K177" s="7" t="n">
        <v>276.83</v>
      </c>
      <c r="L177" s="5">
        <f>(K177-K176)/K176</f>
        <v/>
      </c>
      <c r="M177" s="5">
        <f>NORMINV(RAND(), $L$6, $L$7)</f>
        <v/>
      </c>
      <c r="N177" s="5">
        <f>NORMINV(RAND(), $L$6, $L$7)</f>
        <v/>
      </c>
      <c r="O177" s="5">
        <f>NORMINV(RAND(), $L$6, $L$7)</f>
        <v/>
      </c>
      <c r="P177" s="5">
        <f>NORMINV(RAND(), $L$6, $L$7)</f>
        <v/>
      </c>
      <c r="Q177" s="5">
        <f>NORMINV(RAND(), $L$6, $L$7)</f>
        <v/>
      </c>
    </row>
    <row r="178">
      <c r="A178" t="inlineStr">
        <is>
          <t>2026-05-05</t>
        </is>
      </c>
      <c r="B178" s="7" t="n">
        <v>384.27</v>
      </c>
      <c r="C178" s="5">
        <f>(B178-B177)/B177</f>
        <v/>
      </c>
      <c r="D178" s="5">
        <f>NORMINV(RAND(), $C$6, $C$7)</f>
        <v/>
      </c>
      <c r="E178" s="5">
        <f>NORMINV(RAND(), $C$6, $C$7)</f>
        <v/>
      </c>
      <c r="F178" s="5">
        <f>NORMINV(RAND(), $C$6, $C$7)</f>
        <v/>
      </c>
      <c r="G178" s="5">
        <f>NORMINV(RAND(), $C$6, $C$7)</f>
        <v/>
      </c>
      <c r="H178" s="5">
        <f>NORMINV(RAND(), $C$6, $C$7)</f>
        <v/>
      </c>
      <c r="J178" t="inlineStr">
        <is>
          <t>2026-05-05</t>
        </is>
      </c>
      <c r="K178" s="7" t="n">
        <v>284.18</v>
      </c>
      <c r="L178" s="5">
        <f>(K178-K177)/K177</f>
        <v/>
      </c>
      <c r="M178" s="5">
        <f>NORMINV(RAND(), $L$6, $L$7)</f>
        <v/>
      </c>
      <c r="N178" s="5">
        <f>NORMINV(RAND(), $L$6, $L$7)</f>
        <v/>
      </c>
      <c r="O178" s="5">
        <f>NORMINV(RAND(), $L$6, $L$7)</f>
        <v/>
      </c>
      <c r="P178" s="5">
        <f>NORMINV(RAND(), $L$6, $L$7)</f>
        <v/>
      </c>
      <c r="Q178" s="5">
        <f>NORMINV(RAND(), $L$6, $L$7)</f>
        <v/>
      </c>
    </row>
    <row r="179">
      <c r="A179" t="inlineStr">
        <is>
          <t>2026-05-06</t>
        </is>
      </c>
      <c r="B179" s="7" t="n">
        <v>395.14</v>
      </c>
      <c r="C179" s="5">
        <f>(B179-B178)/B178</f>
        <v/>
      </c>
      <c r="D179" s="5">
        <f>NORMINV(RAND(), $C$6, $C$7)</f>
        <v/>
      </c>
      <c r="E179" s="5">
        <f>NORMINV(RAND(), $C$6, $C$7)</f>
        <v/>
      </c>
      <c r="F179" s="5">
        <f>NORMINV(RAND(), $C$6, $C$7)</f>
        <v/>
      </c>
      <c r="G179" s="5">
        <f>NORMINV(RAND(), $C$6, $C$7)</f>
        <v/>
      </c>
      <c r="H179" s="5">
        <f>NORMINV(RAND(), $C$6, $C$7)</f>
        <v/>
      </c>
      <c r="J179" t="inlineStr">
        <is>
          <t>2026-05-06</t>
        </is>
      </c>
      <c r="K179" s="7" t="n">
        <v>287.51</v>
      </c>
      <c r="L179" s="5">
        <f>(K179-K178)/K178</f>
        <v/>
      </c>
      <c r="M179" s="5">
        <f>NORMINV(RAND(), $L$6, $L$7)</f>
        <v/>
      </c>
      <c r="N179" s="5">
        <f>NORMINV(RAND(), $L$6, $L$7)</f>
        <v/>
      </c>
      <c r="O179" s="5">
        <f>NORMINV(RAND(), $L$6, $L$7)</f>
        <v/>
      </c>
      <c r="P179" s="5">
        <f>NORMINV(RAND(), $L$6, $L$7)</f>
        <v/>
      </c>
      <c r="Q179" s="5">
        <f>NORMINV(RAND(), $L$6, $L$7)</f>
        <v/>
      </c>
    </row>
    <row r="180">
      <c r="A180" t="inlineStr">
        <is>
          <t>2026-05-07</t>
        </is>
      </c>
      <c r="B180" s="7" t="n">
        <v>395.3</v>
      </c>
      <c r="C180" s="5">
        <f>(B180-B179)/B179</f>
        <v/>
      </c>
      <c r="D180" s="5">
        <f>NORMINV(RAND(), $C$6, $C$7)</f>
        <v/>
      </c>
      <c r="E180" s="5">
        <f>NORMINV(RAND(), $C$6, $C$7)</f>
        <v/>
      </c>
      <c r="F180" s="5">
        <f>NORMINV(RAND(), $C$6, $C$7)</f>
        <v/>
      </c>
      <c r="G180" s="5">
        <f>NORMINV(RAND(), $C$6, $C$7)</f>
        <v/>
      </c>
      <c r="H180" s="5">
        <f>NORMINV(RAND(), $C$6, $C$7)</f>
        <v/>
      </c>
      <c r="J180" t="inlineStr">
        <is>
          <t>2026-05-07</t>
        </is>
      </c>
      <c r="K180" s="7" t="n">
        <v>287.44</v>
      </c>
      <c r="L180" s="5">
        <f>(K180-K179)/K179</f>
        <v/>
      </c>
      <c r="M180" s="5">
        <f>NORMINV(RAND(), $L$6, $L$7)</f>
        <v/>
      </c>
      <c r="N180" s="5">
        <f>NORMINV(RAND(), $L$6, $L$7)</f>
        <v/>
      </c>
      <c r="O180" s="5">
        <f>NORMINV(RAND(), $L$6, $L$7)</f>
        <v/>
      </c>
      <c r="P180" s="5">
        <f>NORMINV(RAND(), $L$6, $L$7)</f>
        <v/>
      </c>
      <c r="Q180" s="5">
        <f>NORMINV(RAND(), $L$6, $L$7)</f>
        <v/>
      </c>
    </row>
    <row r="181">
      <c r="A181" t="inlineStr">
        <is>
          <t>2026-05-08</t>
        </is>
      </c>
      <c r="B181" s="7" t="n">
        <v>397.05</v>
      </c>
      <c r="C181" s="5">
        <f>(B181-B180)/B180</f>
        <v/>
      </c>
      <c r="D181" s="5">
        <f>NORMINV(RAND(), $C$6, $C$7)</f>
        <v/>
      </c>
      <c r="E181" s="5">
        <f>NORMINV(RAND(), $C$6, $C$7)</f>
        <v/>
      </c>
      <c r="F181" s="5">
        <f>NORMINV(RAND(), $C$6, $C$7)</f>
        <v/>
      </c>
      <c r="G181" s="5">
        <f>NORMINV(RAND(), $C$6, $C$7)</f>
        <v/>
      </c>
      <c r="H181" s="5">
        <f>NORMINV(RAND(), $C$6, $C$7)</f>
        <v/>
      </c>
      <c r="J181" t="inlineStr">
        <is>
          <t>2026-05-08</t>
        </is>
      </c>
      <c r="K181" s="7" t="n">
        <v>293.32</v>
      </c>
      <c r="L181" s="5">
        <f>(K181-K180)/K180</f>
        <v/>
      </c>
      <c r="M181" s="5">
        <f>NORMINV(RAND(), $L$6, $L$7)</f>
        <v/>
      </c>
      <c r="N181" s="5">
        <f>NORMINV(RAND(), $L$6, $L$7)</f>
        <v/>
      </c>
      <c r="O181" s="5">
        <f>NORMINV(RAND(), $L$6, $L$7)</f>
        <v/>
      </c>
      <c r="P181" s="5">
        <f>NORMINV(RAND(), $L$6, $L$7)</f>
        <v/>
      </c>
      <c r="Q181" s="5">
        <f>NORMINV(RAND(), $L$6, $L$7)</f>
        <v/>
      </c>
    </row>
    <row r="182">
      <c r="A182" t="inlineStr">
        <is>
          <t>2026-05-11</t>
        </is>
      </c>
      <c r="B182" s="7" t="n">
        <v>386.77</v>
      </c>
      <c r="C182" s="5">
        <f>(B182-B181)/B181</f>
        <v/>
      </c>
      <c r="D182" s="5">
        <f>NORMINV(RAND(), $C$6, $C$7)</f>
        <v/>
      </c>
      <c r="E182" s="5">
        <f>NORMINV(RAND(), $C$6, $C$7)</f>
        <v/>
      </c>
      <c r="F182" s="5">
        <f>NORMINV(RAND(), $C$6, $C$7)</f>
        <v/>
      </c>
      <c r="G182" s="5">
        <f>NORMINV(RAND(), $C$6, $C$7)</f>
        <v/>
      </c>
      <c r="H182" s="5">
        <f>NORMINV(RAND(), $C$6, $C$7)</f>
        <v/>
      </c>
      <c r="J182" t="inlineStr">
        <is>
          <t>2026-05-11</t>
        </is>
      </c>
      <c r="K182" s="7" t="n">
        <v>292.68</v>
      </c>
      <c r="L182" s="5">
        <f>(K182-K181)/K181</f>
        <v/>
      </c>
      <c r="M182" s="5">
        <f>NORMINV(RAND(), $L$6, $L$7)</f>
        <v/>
      </c>
      <c r="N182" s="5">
        <f>NORMINV(RAND(), $L$6, $L$7)</f>
        <v/>
      </c>
      <c r="O182" s="5">
        <f>NORMINV(RAND(), $L$6, $L$7)</f>
        <v/>
      </c>
      <c r="P182" s="5">
        <f>NORMINV(RAND(), $L$6, $L$7)</f>
        <v/>
      </c>
      <c r="Q182" s="5">
        <f>NORMINV(RAND(), $L$6, $L$7)</f>
        <v/>
      </c>
    </row>
    <row r="183">
      <c r="A183" t="inlineStr">
        <is>
          <t>2026-05-12</t>
        </is>
      </c>
      <c r="B183" s="7" t="n">
        <v>383.82</v>
      </c>
      <c r="C183" s="5">
        <f>(B183-B182)/B182</f>
        <v/>
      </c>
      <c r="D183" s="5">
        <f>NORMINV(RAND(), $C$6, $C$7)</f>
        <v/>
      </c>
      <c r="E183" s="5">
        <f>NORMINV(RAND(), $C$6, $C$7)</f>
        <v/>
      </c>
      <c r="F183" s="5">
        <f>NORMINV(RAND(), $C$6, $C$7)</f>
        <v/>
      </c>
      <c r="G183" s="5">
        <f>NORMINV(RAND(), $C$6, $C$7)</f>
        <v/>
      </c>
      <c r="H183" s="5">
        <f>NORMINV(RAND(), $C$6, $C$7)</f>
        <v/>
      </c>
      <c r="J183" t="inlineStr">
        <is>
          <t>2026-05-12</t>
        </is>
      </c>
      <c r="K183" s="7" t="n">
        <v>294.8</v>
      </c>
      <c r="L183" s="5">
        <f>(K183-K182)/K182</f>
        <v/>
      </c>
      <c r="M183" s="5">
        <f>NORMINV(RAND(), $L$6, $L$7)</f>
        <v/>
      </c>
      <c r="N183" s="5">
        <f>NORMINV(RAND(), $L$6, $L$7)</f>
        <v/>
      </c>
      <c r="O183" s="5">
        <f>NORMINV(RAND(), $L$6, $L$7)</f>
        <v/>
      </c>
      <c r="P183" s="5">
        <f>NORMINV(RAND(), $L$6, $L$7)</f>
        <v/>
      </c>
      <c r="Q183" s="5">
        <f>NORMINV(RAND(), $L$6, $L$7)</f>
        <v/>
      </c>
    </row>
    <row r="184">
      <c r="A184" t="inlineStr">
        <is>
          <t>2026-05-13</t>
        </is>
      </c>
      <c r="B184" s="7" t="n">
        <v>399.04</v>
      </c>
      <c r="C184" s="5">
        <f>(B184-B183)/B183</f>
        <v/>
      </c>
      <c r="D184" s="5">
        <f>NORMINV(RAND(), $C$6, $C$7)</f>
        <v/>
      </c>
      <c r="E184" s="5">
        <f>NORMINV(RAND(), $C$6, $C$7)</f>
        <v/>
      </c>
      <c r="F184" s="5">
        <f>NORMINV(RAND(), $C$6, $C$7)</f>
        <v/>
      </c>
      <c r="G184" s="5">
        <f>NORMINV(RAND(), $C$6, $C$7)</f>
        <v/>
      </c>
      <c r="H184" s="5">
        <f>NORMINV(RAND(), $C$6, $C$7)</f>
        <v/>
      </c>
      <c r="J184" t="inlineStr">
        <is>
          <t>2026-05-13</t>
        </is>
      </c>
      <c r="K184" s="7" t="n">
        <v>298.87</v>
      </c>
      <c r="L184" s="5">
        <f>(K184-K183)/K183</f>
        <v/>
      </c>
      <c r="M184" s="5">
        <f>NORMINV(RAND(), $L$6, $L$7)</f>
        <v/>
      </c>
      <c r="N184" s="5">
        <f>NORMINV(RAND(), $L$6, $L$7)</f>
        <v/>
      </c>
      <c r="O184" s="5">
        <f>NORMINV(RAND(), $L$6, $L$7)</f>
        <v/>
      </c>
      <c r="P184" s="5">
        <f>NORMINV(RAND(), $L$6, $L$7)</f>
        <v/>
      </c>
      <c r="Q184" s="5">
        <f>NORMINV(RAND(), $L$6, $L$7)</f>
        <v/>
      </c>
    </row>
    <row r="185">
      <c r="A185" t="inlineStr">
        <is>
          <t>2026-05-14</t>
        </is>
      </c>
      <c r="B185" s="7" t="n">
        <v>397.17</v>
      </c>
      <c r="C185" s="5">
        <f>(B185-B184)/B184</f>
        <v/>
      </c>
      <c r="D185" s="5">
        <f>NORMINV(RAND(), $C$6, $C$7)</f>
        <v/>
      </c>
      <c r="E185" s="5">
        <f>NORMINV(RAND(), $C$6, $C$7)</f>
        <v/>
      </c>
      <c r="F185" s="5">
        <f>NORMINV(RAND(), $C$6, $C$7)</f>
        <v/>
      </c>
      <c r="G185" s="5">
        <f>NORMINV(RAND(), $C$6, $C$7)</f>
        <v/>
      </c>
      <c r="H185" s="5">
        <f>NORMINV(RAND(), $C$6, $C$7)</f>
        <v/>
      </c>
      <c r="J185" t="inlineStr">
        <is>
          <t>2026-05-14</t>
        </is>
      </c>
      <c r="K185" s="7" t="n">
        <v>298.21</v>
      </c>
      <c r="L185" s="5">
        <f>(K185-K184)/K184</f>
        <v/>
      </c>
      <c r="M185" s="5">
        <f>NORMINV(RAND(), $L$6, $L$7)</f>
        <v/>
      </c>
      <c r="N185" s="5">
        <f>NORMINV(RAND(), $L$6, $L$7)</f>
        <v/>
      </c>
      <c r="O185" s="5">
        <f>NORMINV(RAND(), $L$6, $L$7)</f>
        <v/>
      </c>
      <c r="P185" s="5">
        <f>NORMINV(RAND(), $L$6, $L$7)</f>
        <v/>
      </c>
      <c r="Q185" s="5">
        <f>NORMINV(RAND(), $L$6, $L$7)</f>
        <v/>
      </c>
    </row>
    <row r="186">
      <c r="A186" t="inlineStr">
        <is>
          <t>2026-05-15</t>
        </is>
      </c>
      <c r="B186" s="7" t="n">
        <v>393.32</v>
      </c>
      <c r="C186" s="5">
        <f>(B186-B185)/B185</f>
        <v/>
      </c>
      <c r="D186" s="5">
        <f>NORMINV(RAND(), $C$6, $C$7)</f>
        <v/>
      </c>
      <c r="E186" s="5">
        <f>NORMINV(RAND(), $C$6, $C$7)</f>
        <v/>
      </c>
      <c r="F186" s="5">
        <f>NORMINV(RAND(), $C$6, $C$7)</f>
        <v/>
      </c>
      <c r="G186" s="5">
        <f>NORMINV(RAND(), $C$6, $C$7)</f>
        <v/>
      </c>
      <c r="H186" s="5">
        <f>NORMINV(RAND(), $C$6, $C$7)</f>
        <v/>
      </c>
      <c r="J186" t="inlineStr">
        <is>
          <t>2026-05-15</t>
        </is>
      </c>
      <c r="K186" s="7" t="n">
        <v>300.23</v>
      </c>
      <c r="L186" s="5">
        <f>(K186-K185)/K185</f>
        <v/>
      </c>
      <c r="M186" s="5">
        <f>NORMINV(RAND(), $L$6, $L$7)</f>
        <v/>
      </c>
      <c r="N186" s="5">
        <f>NORMINV(RAND(), $L$6, $L$7)</f>
        <v/>
      </c>
      <c r="O186" s="5">
        <f>NORMINV(RAND(), $L$6, $L$7)</f>
        <v/>
      </c>
      <c r="P186" s="5">
        <f>NORMINV(RAND(), $L$6, $L$7)</f>
        <v/>
      </c>
      <c r="Q186" s="5">
        <f>NORMINV(RAND(), $L$6, $L$7)</f>
        <v/>
      </c>
    </row>
    <row r="187">
      <c r="A187" t="inlineStr">
        <is>
          <t>2026-05-18</t>
        </is>
      </c>
      <c r="B187" s="7" t="n">
        <v>393.11</v>
      </c>
      <c r="C187" s="5">
        <f>(B187-B186)/B186</f>
        <v/>
      </c>
      <c r="D187" s="5">
        <f>NORMINV(RAND(), $C$6, $C$7)</f>
        <v/>
      </c>
      <c r="E187" s="5">
        <f>NORMINV(RAND(), $C$6, $C$7)</f>
        <v/>
      </c>
      <c r="F187" s="5">
        <f>NORMINV(RAND(), $C$6, $C$7)</f>
        <v/>
      </c>
      <c r="G187" s="5">
        <f>NORMINV(RAND(), $C$6, $C$7)</f>
        <v/>
      </c>
      <c r="H187" s="5">
        <f>NORMINV(RAND(), $C$6, $C$7)</f>
        <v/>
      </c>
      <c r="J187" t="inlineStr">
        <is>
          <t>2026-05-18</t>
        </is>
      </c>
      <c r="K187" s="7" t="n">
        <v>297.84</v>
      </c>
      <c r="L187" s="5">
        <f>(K187-K186)/K186</f>
        <v/>
      </c>
      <c r="M187" s="5">
        <f>NORMINV(RAND(), $L$6, $L$7)</f>
        <v/>
      </c>
      <c r="N187" s="5">
        <f>NORMINV(RAND(), $L$6, $L$7)</f>
        <v/>
      </c>
      <c r="O187" s="5">
        <f>NORMINV(RAND(), $L$6, $L$7)</f>
        <v/>
      </c>
      <c r="P187" s="5">
        <f>NORMINV(RAND(), $L$6, $L$7)</f>
        <v/>
      </c>
      <c r="Q187" s="5">
        <f>NORMINV(RAND(), $L$6, $L$7)</f>
        <v/>
      </c>
    </row>
    <row r="188">
      <c r="A188" t="inlineStr">
        <is>
          <t>2026-05-19</t>
        </is>
      </c>
      <c r="B188" s="7" t="n">
        <v>384.9</v>
      </c>
      <c r="C188" s="5">
        <f>(B188-B187)/B187</f>
        <v/>
      </c>
      <c r="D188" s="5">
        <f>NORMINV(RAND(), $C$6, $C$7)</f>
        <v/>
      </c>
      <c r="E188" s="5">
        <f>NORMINV(RAND(), $C$6, $C$7)</f>
        <v/>
      </c>
      <c r="F188" s="5">
        <f>NORMINV(RAND(), $C$6, $C$7)</f>
        <v/>
      </c>
      <c r="G188" s="5">
        <f>NORMINV(RAND(), $C$6, $C$7)</f>
        <v/>
      </c>
      <c r="H188" s="5">
        <f>NORMINV(RAND(), $C$6, $C$7)</f>
        <v/>
      </c>
      <c r="J188" t="inlineStr">
        <is>
          <t>2026-05-19</t>
        </is>
      </c>
      <c r="K188" s="7" t="n">
        <v>298.97</v>
      </c>
      <c r="L188" s="5">
        <f>(K188-K187)/K187</f>
        <v/>
      </c>
      <c r="M188" s="5">
        <f>NORMINV(RAND(), $L$6, $L$7)</f>
        <v/>
      </c>
      <c r="N188" s="5">
        <f>NORMINV(RAND(), $L$6, $L$7)</f>
        <v/>
      </c>
      <c r="O188" s="5">
        <f>NORMINV(RAND(), $L$6, $L$7)</f>
        <v/>
      </c>
      <c r="P188" s="5">
        <f>NORMINV(RAND(), $L$6, $L$7)</f>
        <v/>
      </c>
      <c r="Q188" s="5">
        <f>NORMINV(RAND(), $L$6, $L$7)</f>
        <v/>
      </c>
    </row>
    <row r="189">
      <c r="A189" t="inlineStr">
        <is>
          <t>2026-05-20</t>
        </is>
      </c>
      <c r="B189" s="7" t="n">
        <v>384.9</v>
      </c>
      <c r="C189" s="5">
        <f>(B189-B188)/B188</f>
        <v/>
      </c>
      <c r="D189" s="5">
        <f>NORMINV(RAND(), $C$6, $C$7)</f>
        <v/>
      </c>
      <c r="E189" s="5">
        <f>NORMINV(RAND(), $C$6, $C$7)</f>
        <v/>
      </c>
      <c r="F189" s="5">
        <f>NORMINV(RAND(), $C$6, $C$7)</f>
        <v/>
      </c>
      <c r="G189" s="5">
        <f>NORMINV(RAND(), $C$6, $C$7)</f>
        <v/>
      </c>
      <c r="H189" s="5">
        <f>NORMINV(RAND(), $C$6, $C$7)</f>
        <v/>
      </c>
      <c r="J189" t="inlineStr">
        <is>
          <t>2026-05-20</t>
        </is>
      </c>
      <c r="K189" s="7" t="n">
        <v>302.25</v>
      </c>
      <c r="L189" s="5">
        <f>(K189-K188)/K188</f>
        <v/>
      </c>
      <c r="M189" s="5">
        <f>NORMINV(RAND(), $L$6, $L$7)</f>
        <v/>
      </c>
      <c r="N189" s="5">
        <f>NORMINV(RAND(), $L$6, $L$7)</f>
        <v/>
      </c>
      <c r="O189" s="5">
        <f>NORMINV(RAND(), $L$6, $L$7)</f>
        <v/>
      </c>
      <c r="P189" s="5">
        <f>NORMINV(RAND(), $L$6, $L$7)</f>
        <v/>
      </c>
      <c r="Q189" s="5">
        <f>NORMINV(RAND(), $L$6, $L$7)</f>
        <v/>
      </c>
    </row>
    <row r="190">
      <c r="A190" t="inlineStr">
        <is>
          <t>2026-05-21</t>
        </is>
      </c>
      <c r="B190" s="7" t="n">
        <v>383.47</v>
      </c>
      <c r="C190" s="5">
        <f>(B190-B189)/B189</f>
        <v/>
      </c>
      <c r="D190" s="5">
        <f>NORMINV(RAND(), $C$6, $C$7)</f>
        <v/>
      </c>
      <c r="E190" s="5">
        <f>NORMINV(RAND(), $C$6, $C$7)</f>
        <v/>
      </c>
      <c r="F190" s="5">
        <f>NORMINV(RAND(), $C$6, $C$7)</f>
        <v/>
      </c>
      <c r="G190" s="5">
        <f>NORMINV(RAND(), $C$6, $C$7)</f>
        <v/>
      </c>
      <c r="H190" s="5">
        <f>NORMINV(RAND(), $C$6, $C$7)</f>
        <v/>
      </c>
      <c r="J190" t="inlineStr">
        <is>
          <t>2026-05-21</t>
        </is>
      </c>
      <c r="K190" s="7" t="n">
        <v>304.99</v>
      </c>
      <c r="L190" s="5">
        <f>(K190-K189)/K189</f>
        <v/>
      </c>
      <c r="M190" s="5">
        <f>NORMINV(RAND(), $L$6, $L$7)</f>
        <v/>
      </c>
      <c r="N190" s="5">
        <f>NORMINV(RAND(), $L$6, $L$7)</f>
        <v/>
      </c>
      <c r="O190" s="5">
        <f>NORMINV(RAND(), $L$6, $L$7)</f>
        <v/>
      </c>
      <c r="P190" s="5">
        <f>NORMINV(RAND(), $L$6, $L$7)</f>
        <v/>
      </c>
      <c r="Q190" s="5">
        <f>NORMINV(RAND(), $L$6, $L$7)</f>
        <v/>
      </c>
    </row>
    <row r="191">
      <c r="A191" t="inlineStr">
        <is>
          <t>2026-05-22</t>
        </is>
      </c>
      <c r="B191" s="7" t="n">
        <v>379.38</v>
      </c>
      <c r="C191" s="5">
        <f>(B191-B190)/B190</f>
        <v/>
      </c>
      <c r="D191" s="5">
        <f>NORMINV(RAND(), $C$6, $C$7)</f>
        <v/>
      </c>
      <c r="E191" s="5">
        <f>NORMINV(RAND(), $C$6, $C$7)</f>
        <v/>
      </c>
      <c r="F191" s="5">
        <f>NORMINV(RAND(), $C$6, $C$7)</f>
        <v/>
      </c>
      <c r="G191" s="5">
        <f>NORMINV(RAND(), $C$6, $C$7)</f>
        <v/>
      </c>
      <c r="H191" s="5">
        <f>NORMINV(RAND(), $C$6, $C$7)</f>
        <v/>
      </c>
      <c r="J191" t="inlineStr">
        <is>
          <t>2026-05-22</t>
        </is>
      </c>
      <c r="K191" s="7" t="n">
        <v>308.82</v>
      </c>
      <c r="L191" s="5">
        <f>(K191-K190)/K190</f>
        <v/>
      </c>
      <c r="M191" s="5">
        <f>NORMINV(RAND(), $L$6, $L$7)</f>
        <v/>
      </c>
      <c r="N191" s="5">
        <f>NORMINV(RAND(), $L$6, $L$7)</f>
        <v/>
      </c>
      <c r="O191" s="5">
        <f>NORMINV(RAND(), $L$6, $L$7)</f>
        <v/>
      </c>
      <c r="P191" s="5">
        <f>NORMINV(RAND(), $L$6, $L$7)</f>
        <v/>
      </c>
      <c r="Q191" s="5">
        <f>NORMINV(RAND(), $L$6, $L$7)</f>
        <v/>
      </c>
    </row>
    <row r="192">
      <c r="A192" t="inlineStr">
        <is>
          <t>2026-05-26</t>
        </is>
      </c>
      <c r="B192" s="7" t="n">
        <v>384.84</v>
      </c>
      <c r="C192" s="5">
        <f>(B192-B191)/B191</f>
        <v/>
      </c>
      <c r="D192" s="5">
        <f>NORMINV(RAND(), $C$6, $C$7)</f>
        <v/>
      </c>
      <c r="E192" s="5">
        <f>NORMINV(RAND(), $C$6, $C$7)</f>
        <v/>
      </c>
      <c r="F192" s="5">
        <f>NORMINV(RAND(), $C$6, $C$7)</f>
        <v/>
      </c>
      <c r="G192" s="5">
        <f>NORMINV(RAND(), $C$6, $C$7)</f>
        <v/>
      </c>
      <c r="H192" s="5">
        <f>NORMINV(RAND(), $C$6, $C$7)</f>
        <v/>
      </c>
      <c r="J192" t="inlineStr">
        <is>
          <t>2026-05-26</t>
        </is>
      </c>
      <c r="K192" s="7" t="n">
        <v>308.33</v>
      </c>
      <c r="L192" s="5">
        <f>(K192-K191)/K191</f>
        <v/>
      </c>
      <c r="M192" s="5">
        <f>NORMINV(RAND(), $L$6, $L$7)</f>
        <v/>
      </c>
      <c r="N192" s="5">
        <f>NORMINV(RAND(), $L$6, $L$7)</f>
        <v/>
      </c>
      <c r="O192" s="5">
        <f>NORMINV(RAND(), $L$6, $L$7)</f>
        <v/>
      </c>
      <c r="P192" s="5">
        <f>NORMINV(RAND(), $L$6, $L$7)</f>
        <v/>
      </c>
      <c r="Q192" s="5">
        <f>NORMINV(RAND(), $L$6, $L$7)</f>
        <v/>
      </c>
    </row>
    <row r="193">
      <c r="A193" t="inlineStr">
        <is>
          <t>2026-05-27</t>
        </is>
      </c>
      <c r="B193" s="7" t="n">
        <v>384.83</v>
      </c>
      <c r="C193" s="5">
        <f>(B193-B192)/B192</f>
        <v/>
      </c>
      <c r="D193" s="5">
        <f>NORMINV(RAND(), $C$6, $C$7)</f>
        <v/>
      </c>
      <c r="E193" s="5">
        <f>NORMINV(RAND(), $C$6, $C$7)</f>
        <v/>
      </c>
      <c r="F193" s="5">
        <f>NORMINV(RAND(), $C$6, $C$7)</f>
        <v/>
      </c>
      <c r="G193" s="5">
        <f>NORMINV(RAND(), $C$6, $C$7)</f>
        <v/>
      </c>
      <c r="H193" s="5">
        <f>NORMINV(RAND(), $C$6, $C$7)</f>
        <v/>
      </c>
      <c r="J193" t="inlineStr">
        <is>
          <t>2026-05-27</t>
        </is>
      </c>
      <c r="K193" s="7" t="n">
        <v>310.85</v>
      </c>
      <c r="L193" s="5">
        <f>(K193-K192)/K192</f>
        <v/>
      </c>
      <c r="M193" s="5">
        <f>NORMINV(RAND(), $L$6, $L$7)</f>
        <v/>
      </c>
      <c r="N193" s="5">
        <f>NORMINV(RAND(), $L$6, $L$7)</f>
        <v/>
      </c>
      <c r="O193" s="5">
        <f>NORMINV(RAND(), $L$6, $L$7)</f>
        <v/>
      </c>
      <c r="P193" s="5">
        <f>NORMINV(RAND(), $L$6, $L$7)</f>
        <v/>
      </c>
      <c r="Q193" s="5">
        <f>NORMINV(RAND(), $L$6, $L$7)</f>
        <v/>
      </c>
    </row>
    <row r="194">
      <c r="A194" t="inlineStr">
        <is>
          <t>2026-05-28</t>
        </is>
      </c>
      <c r="B194" s="7" t="n">
        <v>386.12</v>
      </c>
      <c r="C194" s="5">
        <f>(B194-B193)/B193</f>
        <v/>
      </c>
      <c r="D194" s="5">
        <f>NORMINV(RAND(), $C$6, $C$7)</f>
        <v/>
      </c>
      <c r="E194" s="5">
        <f>NORMINV(RAND(), $C$6, $C$7)</f>
        <v/>
      </c>
      <c r="F194" s="5">
        <f>NORMINV(RAND(), $C$6, $C$7)</f>
        <v/>
      </c>
      <c r="G194" s="5">
        <f>NORMINV(RAND(), $C$6, $C$7)</f>
        <v/>
      </c>
      <c r="H194" s="5">
        <f>NORMINV(RAND(), $C$6, $C$7)</f>
        <v/>
      </c>
      <c r="J194" t="inlineStr">
        <is>
          <t>2026-05-28</t>
        </is>
      </c>
      <c r="K194" s="7" t="n">
        <v>312.51</v>
      </c>
      <c r="L194" s="5">
        <f>(K194-K193)/K193</f>
        <v/>
      </c>
      <c r="M194" s="5">
        <f>NORMINV(RAND(), $L$6, $L$7)</f>
        <v/>
      </c>
      <c r="N194" s="5">
        <f>NORMINV(RAND(), $L$6, $L$7)</f>
        <v/>
      </c>
      <c r="O194" s="5">
        <f>NORMINV(RAND(), $L$6, $L$7)</f>
        <v/>
      </c>
      <c r="P194" s="5">
        <f>NORMINV(RAND(), $L$6, $L$7)</f>
        <v/>
      </c>
      <c r="Q194" s="5">
        <f>NORMINV(RAND(), $L$6, $L$7)</f>
        <v/>
      </c>
    </row>
    <row r="195">
      <c r="A195" t="inlineStr">
        <is>
          <t>2026-05-29</t>
        </is>
      </c>
      <c r="B195" s="7" t="n">
        <v>376.43</v>
      </c>
      <c r="C195" s="5">
        <f>(B195-B194)/B194</f>
        <v/>
      </c>
      <c r="D195" s="5">
        <f>NORMINV(RAND(), $C$6, $C$7)</f>
        <v/>
      </c>
      <c r="E195" s="5">
        <f>NORMINV(RAND(), $C$6, $C$7)</f>
        <v/>
      </c>
      <c r="F195" s="5">
        <f>NORMINV(RAND(), $C$6, $C$7)</f>
        <v/>
      </c>
      <c r="G195" s="5">
        <f>NORMINV(RAND(), $C$6, $C$7)</f>
        <v/>
      </c>
      <c r="H195" s="5">
        <f>NORMINV(RAND(), $C$6, $C$7)</f>
        <v/>
      </c>
      <c r="J195" t="inlineStr">
        <is>
          <t>2026-05-29</t>
        </is>
      </c>
      <c r="K195" s="7" t="n">
        <v>312.06</v>
      </c>
      <c r="L195" s="5">
        <f>(K195-K194)/K194</f>
        <v/>
      </c>
      <c r="M195" s="5">
        <f>NORMINV(RAND(), $L$6, $L$7)</f>
        <v/>
      </c>
      <c r="N195" s="5">
        <f>NORMINV(RAND(), $L$6, $L$7)</f>
        <v/>
      </c>
      <c r="O195" s="5">
        <f>NORMINV(RAND(), $L$6, $L$7)</f>
        <v/>
      </c>
      <c r="P195" s="5">
        <f>NORMINV(RAND(), $L$6, $L$7)</f>
        <v/>
      </c>
      <c r="Q195" s="5">
        <f>NORMINV(RAND(), $L$6, $L$7)</f>
        <v/>
      </c>
    </row>
    <row r="196">
      <c r="A196" t="inlineStr">
        <is>
          <t>2026-06-01</t>
        </is>
      </c>
      <c r="B196" s="7" t="n">
        <v>372.58</v>
      </c>
      <c r="C196" s="5">
        <f>(B196-B195)/B195</f>
        <v/>
      </c>
      <c r="D196" s="5">
        <f>NORMINV(RAND(), $C$6, $C$7)</f>
        <v/>
      </c>
      <c r="E196" s="5">
        <f>NORMINV(RAND(), $C$6, $C$7)</f>
        <v/>
      </c>
      <c r="F196" s="5">
        <f>NORMINV(RAND(), $C$6, $C$7)</f>
        <v/>
      </c>
      <c r="G196" s="5">
        <f>NORMINV(RAND(), $C$6, $C$7)</f>
        <v/>
      </c>
      <c r="H196" s="5">
        <f>NORMINV(RAND(), $C$6, $C$7)</f>
        <v/>
      </c>
      <c r="J196" t="inlineStr">
        <is>
          <t>2026-06-01</t>
        </is>
      </c>
      <c r="K196" s="7" t="n">
        <v>306.31</v>
      </c>
      <c r="L196" s="5">
        <f>(K196-K195)/K195</f>
        <v/>
      </c>
      <c r="M196" s="5">
        <f>NORMINV(RAND(), $L$6, $L$7)</f>
        <v/>
      </c>
      <c r="N196" s="5">
        <f>NORMINV(RAND(), $L$6, $L$7)</f>
        <v/>
      </c>
      <c r="O196" s="5">
        <f>NORMINV(RAND(), $L$6, $L$7)</f>
        <v/>
      </c>
      <c r="P196" s="5">
        <f>NORMINV(RAND(), $L$6, $L$7)</f>
        <v/>
      </c>
      <c r="Q196" s="5">
        <f>NORMINV(RAND(), $L$6, $L$7)</f>
        <v/>
      </c>
    </row>
    <row r="197">
      <c r="A197" t="inlineStr">
        <is>
          <t>2026-06-02</t>
        </is>
      </c>
      <c r="B197" s="7" t="n">
        <v>358.39</v>
      </c>
      <c r="C197" s="5">
        <f>(B197-B196)/B196</f>
        <v/>
      </c>
      <c r="D197" s="5">
        <f>NORMINV(RAND(), $C$6, $C$7)</f>
        <v/>
      </c>
      <c r="E197" s="5">
        <f>NORMINV(RAND(), $C$6, $C$7)</f>
        <v/>
      </c>
      <c r="F197" s="5">
        <f>NORMINV(RAND(), $C$6, $C$7)</f>
        <v/>
      </c>
      <c r="G197" s="5">
        <f>NORMINV(RAND(), $C$6, $C$7)</f>
        <v/>
      </c>
      <c r="H197" s="5">
        <f>NORMINV(RAND(), $C$6, $C$7)</f>
        <v/>
      </c>
      <c r="J197" t="inlineStr">
        <is>
          <t>2026-06-02</t>
        </is>
      </c>
      <c r="K197" s="7" t="n">
        <v>315.2</v>
      </c>
      <c r="L197" s="5">
        <f>(K197-K196)/K196</f>
        <v/>
      </c>
      <c r="M197" s="5">
        <f>NORMINV(RAND(), $L$6, $L$7)</f>
        <v/>
      </c>
      <c r="N197" s="5">
        <f>NORMINV(RAND(), $L$6, $L$7)</f>
        <v/>
      </c>
      <c r="O197" s="5">
        <f>NORMINV(RAND(), $L$6, $L$7)</f>
        <v/>
      </c>
      <c r="P197" s="5">
        <f>NORMINV(RAND(), $L$6, $L$7)</f>
        <v/>
      </c>
      <c r="Q197" s="5">
        <f>NORMINV(RAND(), $L$6, $L$7)</f>
        <v/>
      </c>
    </row>
    <row r="198">
      <c r="A198" t="inlineStr">
        <is>
          <t>2026-06-03</t>
        </is>
      </c>
      <c r="B198" s="7" t="n">
        <v>355.68</v>
      </c>
      <c r="C198" s="5">
        <f>(B198-B197)/B197</f>
        <v/>
      </c>
      <c r="D198" s="5">
        <f>NORMINV(RAND(), $C$6, $C$7)</f>
        <v/>
      </c>
      <c r="E198" s="5">
        <f>NORMINV(RAND(), $C$6, $C$7)</f>
        <v/>
      </c>
      <c r="F198" s="5">
        <f>NORMINV(RAND(), $C$6, $C$7)</f>
        <v/>
      </c>
      <c r="G198" s="5">
        <f>NORMINV(RAND(), $C$6, $C$7)</f>
        <v/>
      </c>
      <c r="H198" s="5">
        <f>NORMINV(RAND(), $C$6, $C$7)</f>
        <v/>
      </c>
      <c r="J198" t="inlineStr">
        <is>
          <t>2026-06-03</t>
        </is>
      </c>
      <c r="K198" s="7" t="n">
        <v>310.26</v>
      </c>
      <c r="L198" s="5">
        <f>(K198-K197)/K197</f>
        <v/>
      </c>
      <c r="M198" s="5">
        <f>NORMINV(RAND(), $L$6, $L$7)</f>
        <v/>
      </c>
      <c r="N198" s="5">
        <f>NORMINV(RAND(), $L$6, $L$7)</f>
        <v/>
      </c>
      <c r="O198" s="5">
        <f>NORMINV(RAND(), $L$6, $L$7)</f>
        <v/>
      </c>
      <c r="P198" s="5">
        <f>NORMINV(RAND(), $L$6, $L$7)</f>
        <v/>
      </c>
      <c r="Q198" s="5">
        <f>NORMINV(RAND(), $L$6, $L$7)</f>
        <v/>
      </c>
    </row>
    <row r="199">
      <c r="A199" t="inlineStr">
        <is>
          <t>2026-06-04</t>
        </is>
      </c>
      <c r="B199" s="7" t="n">
        <v>369.27</v>
      </c>
      <c r="C199" s="5">
        <f>(B199-B198)/B198</f>
        <v/>
      </c>
      <c r="D199" s="5">
        <f>NORMINV(RAND(), $C$6, $C$7)</f>
        <v/>
      </c>
      <c r="E199" s="5">
        <f>NORMINV(RAND(), $C$6, $C$7)</f>
        <v/>
      </c>
      <c r="F199" s="5">
        <f>NORMINV(RAND(), $C$6, $C$7)</f>
        <v/>
      </c>
      <c r="G199" s="5">
        <f>NORMINV(RAND(), $C$6, $C$7)</f>
        <v/>
      </c>
      <c r="H199" s="5">
        <f>NORMINV(RAND(), $C$6, $C$7)</f>
        <v/>
      </c>
      <c r="J199" t="inlineStr">
        <is>
          <t>2026-06-04</t>
        </is>
      </c>
      <c r="K199" s="7" t="n">
        <v>311.23</v>
      </c>
      <c r="L199" s="5">
        <f>(K199-K198)/K198</f>
        <v/>
      </c>
      <c r="M199" s="5">
        <f>NORMINV(RAND(), $L$6, $L$7)</f>
        <v/>
      </c>
      <c r="N199" s="5">
        <f>NORMINV(RAND(), $L$6, $L$7)</f>
        <v/>
      </c>
      <c r="O199" s="5">
        <f>NORMINV(RAND(), $L$6, $L$7)</f>
        <v/>
      </c>
      <c r="P199" s="5">
        <f>NORMINV(RAND(), $L$6, $L$7)</f>
        <v/>
      </c>
      <c r="Q199" s="5">
        <f>NORMINV(RAND(), $L$6, $L$7)</f>
        <v/>
      </c>
    </row>
    <row r="200">
      <c r="A200" t="inlineStr">
        <is>
          <t>2026-06-05</t>
        </is>
      </c>
      <c r="B200" s="7" t="n">
        <v>365.76</v>
      </c>
      <c r="C200" s="5">
        <f>(B200-B199)/B199</f>
        <v/>
      </c>
      <c r="D200" s="5">
        <f>NORMINV(RAND(), $C$6, $C$7)</f>
        <v/>
      </c>
      <c r="E200" s="5">
        <f>NORMINV(RAND(), $C$6, $C$7)</f>
        <v/>
      </c>
      <c r="F200" s="5">
        <f>NORMINV(RAND(), $C$6, $C$7)</f>
        <v/>
      </c>
      <c r="G200" s="5">
        <f>NORMINV(RAND(), $C$6, $C$7)</f>
        <v/>
      </c>
      <c r="H200" s="5">
        <f>NORMINV(RAND(), $C$6, $C$7)</f>
        <v/>
      </c>
      <c r="J200" t="inlineStr">
        <is>
          <t>2026-06-05</t>
        </is>
      </c>
      <c r="K200" s="7" t="n">
        <v>307.34</v>
      </c>
      <c r="L200" s="5">
        <f>(K200-K199)/K199</f>
        <v/>
      </c>
      <c r="M200" s="5">
        <f>NORMINV(RAND(), $L$6, $L$7)</f>
        <v/>
      </c>
      <c r="N200" s="5">
        <f>NORMINV(RAND(), $L$6, $L$7)</f>
        <v/>
      </c>
      <c r="O200" s="5">
        <f>NORMINV(RAND(), $L$6, $L$7)</f>
        <v/>
      </c>
      <c r="P200" s="5">
        <f>NORMINV(RAND(), $L$6, $L$7)</f>
        <v/>
      </c>
      <c r="Q200" s="5">
        <f>NORMINV(RAND(), $L$6, $L$7)</f>
        <v/>
      </c>
    </row>
    <row r="201">
      <c r="A201" t="inlineStr">
        <is>
          <t>2026-06-08</t>
        </is>
      </c>
      <c r="B201" s="7" t="n">
        <v>361.17</v>
      </c>
      <c r="C201" s="5">
        <f>(B201-B200)/B200</f>
        <v/>
      </c>
      <c r="D201" s="5">
        <f>NORMINV(RAND(), $C$6, $C$7)</f>
        <v/>
      </c>
      <c r="E201" s="5">
        <f>NORMINV(RAND(), $C$6, $C$7)</f>
        <v/>
      </c>
      <c r="F201" s="5">
        <f>NORMINV(RAND(), $C$6, $C$7)</f>
        <v/>
      </c>
      <c r="G201" s="5">
        <f>NORMINV(RAND(), $C$6, $C$7)</f>
        <v/>
      </c>
      <c r="H201" s="5">
        <f>NORMINV(RAND(), $C$6, $C$7)</f>
        <v/>
      </c>
      <c r="J201" t="inlineStr">
        <is>
          <t>2026-06-08</t>
        </is>
      </c>
      <c r="K201" s="7" t="n">
        <v>301.54</v>
      </c>
      <c r="L201" s="5">
        <f>(K201-K200)/K200</f>
        <v/>
      </c>
      <c r="M201" s="5">
        <f>NORMINV(RAND(), $L$6, $L$7)</f>
        <v/>
      </c>
      <c r="N201" s="5">
        <f>NORMINV(RAND(), $L$6, $L$7)</f>
        <v/>
      </c>
      <c r="O201" s="5">
        <f>NORMINV(RAND(), $L$6, $L$7)</f>
        <v/>
      </c>
      <c r="P201" s="5">
        <f>NORMINV(RAND(), $L$6, $L$7)</f>
        <v/>
      </c>
      <c r="Q201" s="5">
        <f>NORMINV(RAND(), $L$6, $L$7)</f>
        <v/>
      </c>
    </row>
    <row r="202">
      <c r="A202" t="inlineStr">
        <is>
          <t>2026-06-09</t>
        </is>
      </c>
      <c r="B202" s="7" t="n">
        <v>362.29</v>
      </c>
      <c r="C202" s="5">
        <f>(B202-B201)/B201</f>
        <v/>
      </c>
      <c r="D202" s="5">
        <f>NORMINV(RAND(), $C$6, $C$7)</f>
        <v/>
      </c>
      <c r="E202" s="5">
        <f>NORMINV(RAND(), $C$6, $C$7)</f>
        <v/>
      </c>
      <c r="F202" s="5">
        <f>NORMINV(RAND(), $C$6, $C$7)</f>
        <v/>
      </c>
      <c r="G202" s="5">
        <f>NORMINV(RAND(), $C$6, $C$7)</f>
        <v/>
      </c>
      <c r="H202" s="5">
        <f>NORMINV(RAND(), $C$6, $C$7)</f>
        <v/>
      </c>
      <c r="J202" t="inlineStr">
        <is>
          <t>2026-06-09</t>
        </is>
      </c>
      <c r="K202" s="7" t="n">
        <v>290.55</v>
      </c>
      <c r="L202" s="5">
        <f>(K202-K201)/K201</f>
        <v/>
      </c>
      <c r="M202" s="5">
        <f>NORMINV(RAND(), $L$6, $L$7)</f>
        <v/>
      </c>
      <c r="N202" s="5">
        <f>NORMINV(RAND(), $L$6, $L$7)</f>
        <v/>
      </c>
      <c r="O202" s="5">
        <f>NORMINV(RAND(), $L$6, $L$7)</f>
        <v/>
      </c>
      <c r="P202" s="5">
        <f>NORMINV(RAND(), $L$6, $L$7)</f>
        <v/>
      </c>
      <c r="Q202" s="5">
        <f>NORMINV(RAND(), $L$6, $L$7)</f>
        <v/>
      </c>
    </row>
    <row r="203">
      <c r="A203" t="inlineStr">
        <is>
          <t>2026-06-10</t>
        </is>
      </c>
      <c r="B203" s="7" t="n">
        <v>353.32</v>
      </c>
      <c r="C203" s="5">
        <f>(B203-B202)/B202</f>
        <v/>
      </c>
      <c r="D203" s="5">
        <f>NORMINV(RAND(), $C$6, $C$7)</f>
        <v/>
      </c>
      <c r="E203" s="5">
        <f>NORMINV(RAND(), $C$6, $C$7)</f>
        <v/>
      </c>
      <c r="F203" s="5">
        <f>NORMINV(RAND(), $C$6, $C$7)</f>
        <v/>
      </c>
      <c r="G203" s="5">
        <f>NORMINV(RAND(), $C$6, $C$7)</f>
        <v/>
      </c>
      <c r="H203" s="5">
        <f>NORMINV(RAND(), $C$6, $C$7)</f>
        <v/>
      </c>
      <c r="J203" t="inlineStr">
        <is>
          <t>2026-06-10</t>
        </is>
      </c>
      <c r="K203" s="7" t="n">
        <v>291.58</v>
      </c>
      <c r="L203" s="5">
        <f>(K203-K202)/K202</f>
        <v/>
      </c>
      <c r="M203" s="5">
        <f>NORMINV(RAND(), $L$6, $L$7)</f>
        <v/>
      </c>
      <c r="N203" s="5">
        <f>NORMINV(RAND(), $L$6, $L$7)</f>
        <v/>
      </c>
      <c r="O203" s="5">
        <f>NORMINV(RAND(), $L$6, $L$7)</f>
        <v/>
      </c>
      <c r="P203" s="5">
        <f>NORMINV(RAND(), $L$6, $L$7)</f>
        <v/>
      </c>
      <c r="Q203" s="5">
        <f>NORMINV(RAND(), $L$6, $L$7)</f>
        <v/>
      </c>
    </row>
    <row r="204">
      <c r="A204" t="inlineStr">
        <is>
          <t>2026-06-11</t>
        </is>
      </c>
      <c r="B204" s="7" t="n">
        <v>356.56</v>
      </c>
      <c r="C204" s="5">
        <f>(B204-B203)/B203</f>
        <v/>
      </c>
      <c r="D204" s="5">
        <f>NORMINV(RAND(), $C$6, $C$7)</f>
        <v/>
      </c>
      <c r="E204" s="5">
        <f>NORMINV(RAND(), $C$6, $C$7)</f>
        <v/>
      </c>
      <c r="F204" s="5">
        <f>NORMINV(RAND(), $C$6, $C$7)</f>
        <v/>
      </c>
      <c r="G204" s="5">
        <f>NORMINV(RAND(), $C$6, $C$7)</f>
        <v/>
      </c>
      <c r="H204" s="5">
        <f>NORMINV(RAND(), $C$6, $C$7)</f>
        <v/>
      </c>
      <c r="J204" t="inlineStr">
        <is>
          <t>2026-06-11</t>
        </is>
      </c>
      <c r="K204" s="7" t="n">
        <v>295.63</v>
      </c>
      <c r="L204" s="5">
        <f>(K204-K203)/K203</f>
        <v/>
      </c>
      <c r="M204" s="5">
        <f>NORMINV(RAND(), $L$6, $L$7)</f>
        <v/>
      </c>
      <c r="N204" s="5">
        <f>NORMINV(RAND(), $L$6, $L$7)</f>
        <v/>
      </c>
      <c r="O204" s="5">
        <f>NORMINV(RAND(), $L$6, $L$7)</f>
        <v/>
      </c>
      <c r="P204" s="5">
        <f>NORMINV(RAND(), $L$6, $L$7)</f>
        <v/>
      </c>
      <c r="Q204" s="5">
        <f>NORMINV(RAND(), $L$6, $L$7)</f>
        <v/>
      </c>
    </row>
    <row r="205">
      <c r="A205" t="inlineStr">
        <is>
          <t>2026-06-12</t>
        </is>
      </c>
      <c r="B205" s="7" t="n">
        <v>358.16</v>
      </c>
      <c r="C205" s="5">
        <f>(B205-B204)/B204</f>
        <v/>
      </c>
      <c r="D205" s="5">
        <f>NORMINV(RAND(), $C$6, $C$7)</f>
        <v/>
      </c>
      <c r="E205" s="5">
        <f>NORMINV(RAND(), $C$6, $C$7)</f>
        <v/>
      </c>
      <c r="F205" s="5">
        <f>NORMINV(RAND(), $C$6, $C$7)</f>
        <v/>
      </c>
      <c r="G205" s="5">
        <f>NORMINV(RAND(), $C$6, $C$7)</f>
        <v/>
      </c>
      <c r="H205" s="5">
        <f>NORMINV(RAND(), $C$6, $C$7)</f>
        <v/>
      </c>
      <c r="J205" t="inlineStr">
        <is>
          <t>2026-06-12</t>
        </is>
      </c>
      <c r="K205" s="7" t="n">
        <v>291.13</v>
      </c>
      <c r="L205" s="5">
        <f>(K205-K204)/K204</f>
        <v/>
      </c>
      <c r="M205" s="5">
        <f>NORMINV(RAND(), $L$6, $L$7)</f>
        <v/>
      </c>
      <c r="N205" s="5">
        <f>NORMINV(RAND(), $L$6, $L$7)</f>
        <v/>
      </c>
      <c r="O205" s="5">
        <f>NORMINV(RAND(), $L$6, $L$7)</f>
        <v/>
      </c>
      <c r="P205" s="5">
        <f>NORMINV(RAND(), $L$6, $L$7)</f>
        <v/>
      </c>
      <c r="Q205" s="5">
        <f>NORMINV(RAND(), $L$6, $L$7)</f>
        <v/>
      </c>
    </row>
    <row r="206">
      <c r="A206" t="inlineStr">
        <is>
          <t>2026-06-15</t>
        </is>
      </c>
      <c r="B206" s="7" t="n">
        <v>367.11</v>
      </c>
      <c r="C206" s="5">
        <f>(B206-B205)/B205</f>
        <v/>
      </c>
      <c r="D206" s="5">
        <f>NORMINV(RAND(), $C$6, $C$7)</f>
        <v/>
      </c>
      <c r="E206" s="5">
        <f>NORMINV(RAND(), $C$6, $C$7)</f>
        <v/>
      </c>
      <c r="F206" s="5">
        <f>NORMINV(RAND(), $C$6, $C$7)</f>
        <v/>
      </c>
      <c r="G206" s="5">
        <f>NORMINV(RAND(), $C$6, $C$7)</f>
        <v/>
      </c>
      <c r="H206" s="5">
        <f>NORMINV(RAND(), $C$6, $C$7)</f>
        <v/>
      </c>
      <c r="J206" t="inlineStr">
        <is>
          <t>2026-06-15</t>
        </is>
      </c>
      <c r="K206" s="7" t="n">
        <v>296.42</v>
      </c>
      <c r="L206" s="5">
        <f>(K206-K205)/K205</f>
        <v/>
      </c>
      <c r="M206" s="5">
        <f>NORMINV(RAND(), $L$6, $L$7)</f>
        <v/>
      </c>
      <c r="N206" s="5">
        <f>NORMINV(RAND(), $L$6, $L$7)</f>
        <v/>
      </c>
      <c r="O206" s="5">
        <f>NORMINV(RAND(), $L$6, $L$7)</f>
        <v/>
      </c>
      <c r="P206" s="5">
        <f>NORMINV(RAND(), $L$6, $L$7)</f>
        <v/>
      </c>
      <c r="Q206" s="5">
        <f>NORMINV(RAND(), $L$6, $L$7)</f>
        <v/>
      </c>
    </row>
    <row r="207">
      <c r="A207" t="inlineStr">
        <is>
          <t>2026-06-16</t>
        </is>
      </c>
      <c r="B207" s="7" t="n">
        <v>371.1</v>
      </c>
      <c r="C207" s="5">
        <f>(B207-B206)/B206</f>
        <v/>
      </c>
      <c r="D207" s="5">
        <f>NORMINV(RAND(), $C$6, $C$7)</f>
        <v/>
      </c>
      <c r="E207" s="5">
        <f>NORMINV(RAND(), $C$6, $C$7)</f>
        <v/>
      </c>
      <c r="F207" s="5">
        <f>NORMINV(RAND(), $C$6, $C$7)</f>
        <v/>
      </c>
      <c r="G207" s="5">
        <f>NORMINV(RAND(), $C$6, $C$7)</f>
        <v/>
      </c>
      <c r="H207" s="5">
        <f>NORMINV(RAND(), $C$6, $C$7)</f>
        <v/>
      </c>
      <c r="J207" t="inlineStr">
        <is>
          <t>2026-06-16</t>
        </is>
      </c>
      <c r="K207" s="7" t="n">
        <v>299.24</v>
      </c>
      <c r="L207" s="5">
        <f>(K207-K206)/K206</f>
        <v/>
      </c>
      <c r="M207" s="5">
        <f>NORMINV(RAND(), $L$6, $L$7)</f>
        <v/>
      </c>
      <c r="N207" s="5">
        <f>NORMINV(RAND(), $L$6, $L$7)</f>
        <v/>
      </c>
      <c r="O207" s="5">
        <f>NORMINV(RAND(), $L$6, $L$7)</f>
        <v/>
      </c>
      <c r="P207" s="5">
        <f>NORMINV(RAND(), $L$6, $L$7)</f>
        <v/>
      </c>
      <c r="Q207" s="5">
        <f>NORMINV(RAND(), $L$6, $L$7)</f>
        <v/>
      </c>
    </row>
    <row r="208">
      <c r="A208" t="inlineStr">
        <is>
          <t>2026-06-17</t>
        </is>
      </c>
      <c r="B208" s="7" t="n">
        <v>362.1</v>
      </c>
      <c r="C208" s="5">
        <f>(B208-B207)/B207</f>
        <v/>
      </c>
      <c r="D208" s="5">
        <f>NORMINV(RAND(), $C$6, $C$7)</f>
        <v/>
      </c>
      <c r="E208" s="5">
        <f>NORMINV(RAND(), $C$6, $C$7)</f>
        <v/>
      </c>
      <c r="F208" s="5">
        <f>NORMINV(RAND(), $C$6, $C$7)</f>
        <v/>
      </c>
      <c r="G208" s="5">
        <f>NORMINV(RAND(), $C$6, $C$7)</f>
        <v/>
      </c>
      <c r="H208" s="5">
        <f>NORMINV(RAND(), $C$6, $C$7)</f>
        <v/>
      </c>
      <c r="J208" t="inlineStr">
        <is>
          <t>2026-06-17</t>
        </is>
      </c>
      <c r="K208" s="7" t="n">
        <v>295.95</v>
      </c>
      <c r="L208" s="5">
        <f>(K208-K207)/K207</f>
        <v/>
      </c>
      <c r="M208" s="5">
        <f>NORMINV(RAND(), $L$6, $L$7)</f>
        <v/>
      </c>
      <c r="N208" s="5">
        <f>NORMINV(RAND(), $L$6, $L$7)</f>
        <v/>
      </c>
      <c r="O208" s="5">
        <f>NORMINV(RAND(), $L$6, $L$7)</f>
        <v/>
      </c>
      <c r="P208" s="5">
        <f>NORMINV(RAND(), $L$6, $L$7)</f>
        <v/>
      </c>
      <c r="Q208" s="5">
        <f>NORMINV(RAND(), $L$6, $L$7)</f>
        <v/>
      </c>
    </row>
    <row r="209">
      <c r="A209" t="inlineStr">
        <is>
          <t>2026-06-18</t>
        </is>
      </c>
      <c r="B209" s="7" t="n">
        <v>367.46</v>
      </c>
      <c r="C209" s="5">
        <f>(B209-B208)/B208</f>
        <v/>
      </c>
      <c r="D209" s="5">
        <f>NORMINV(RAND(), $C$6, $C$7)</f>
        <v/>
      </c>
      <c r="E209" s="5">
        <f>NORMINV(RAND(), $C$6, $C$7)</f>
        <v/>
      </c>
      <c r="F209" s="5">
        <f>NORMINV(RAND(), $C$6, $C$7)</f>
        <v/>
      </c>
      <c r="G209" s="5">
        <f>NORMINV(RAND(), $C$6, $C$7)</f>
        <v/>
      </c>
      <c r="H209" s="5">
        <f>NORMINV(RAND(), $C$6, $C$7)</f>
        <v/>
      </c>
      <c r="J209" t="inlineStr">
        <is>
          <t>2026-06-18</t>
        </is>
      </c>
      <c r="K209" s="7" t="n">
        <v>298.01</v>
      </c>
      <c r="L209" s="5">
        <f>(K209-K208)/K208</f>
        <v/>
      </c>
      <c r="M209" s="5">
        <f>NORMINV(RAND(), $L$6, $L$7)</f>
        <v/>
      </c>
      <c r="N209" s="5">
        <f>NORMINV(RAND(), $L$6, $L$7)</f>
        <v/>
      </c>
      <c r="O209" s="5">
        <f>NORMINV(RAND(), $L$6, $L$7)</f>
        <v/>
      </c>
      <c r="P209" s="5">
        <f>NORMINV(RAND(), $L$6, $L$7)</f>
        <v/>
      </c>
      <c r="Q209" s="5">
        <f>NORMINV(RAND(), $L$6, $L$7)</f>
        <v/>
      </c>
    </row>
    <row r="210">
      <c r="A210" t="inlineStr">
        <is>
          <t>2026-06-22</t>
        </is>
      </c>
      <c r="B210" s="7" t="n">
        <v>348.78</v>
      </c>
      <c r="C210" s="5">
        <f>(B210-B209)/B209</f>
        <v/>
      </c>
      <c r="D210" s="5">
        <f>NORMINV(RAND(), $C$6, $C$7)</f>
        <v/>
      </c>
      <c r="E210" s="5">
        <f>NORMINV(RAND(), $C$6, $C$7)</f>
        <v/>
      </c>
      <c r="F210" s="5">
        <f>NORMINV(RAND(), $C$6, $C$7)</f>
        <v/>
      </c>
      <c r="G210" s="5">
        <f>NORMINV(RAND(), $C$6, $C$7)</f>
        <v/>
      </c>
      <c r="H210" s="5">
        <f>NORMINV(RAND(), $C$6, $C$7)</f>
        <v/>
      </c>
      <c r="J210" t="inlineStr">
        <is>
          <t>2026-06-22</t>
        </is>
      </c>
      <c r="K210" s="7" t="n">
        <v>297.01</v>
      </c>
      <c r="L210" s="5">
        <f>(K210-K209)/K209</f>
        <v/>
      </c>
      <c r="M210" s="5">
        <f>NORMINV(RAND(), $L$6, $L$7)</f>
        <v/>
      </c>
      <c r="N210" s="5">
        <f>NORMINV(RAND(), $L$6, $L$7)</f>
        <v/>
      </c>
      <c r="O210" s="5">
        <f>NORMINV(RAND(), $L$6, $L$7)</f>
        <v/>
      </c>
      <c r="P210" s="5">
        <f>NORMINV(RAND(), $L$6, $L$7)</f>
        <v/>
      </c>
      <c r="Q210" s="5">
        <f>NORMINV(RAND(), $L$6, $L$7)</f>
        <v/>
      </c>
    </row>
    <row r="211">
      <c r="A211" t="inlineStr">
        <is>
          <t>2026-06-23</t>
        </is>
      </c>
      <c r="B211" s="7" t="n">
        <v>346.08</v>
      </c>
      <c r="C211" s="5">
        <f>(B211-B210)/B210</f>
        <v/>
      </c>
      <c r="D211" s="5">
        <f>NORMINV(RAND(), $C$6, $C$7)</f>
        <v/>
      </c>
      <c r="E211" s="5">
        <f>NORMINV(RAND(), $C$6, $C$7)</f>
        <v/>
      </c>
      <c r="F211" s="5">
        <f>NORMINV(RAND(), $C$6, $C$7)</f>
        <v/>
      </c>
      <c r="G211" s="5">
        <f>NORMINV(RAND(), $C$6, $C$7)</f>
        <v/>
      </c>
      <c r="H211" s="5">
        <f>NORMINV(RAND(), $C$6, $C$7)</f>
        <v/>
      </c>
      <c r="J211" t="inlineStr">
        <is>
          <t>2026-06-23</t>
        </is>
      </c>
      <c r="K211" s="7" t="n">
        <v>294.3</v>
      </c>
      <c r="L211" s="5">
        <f>(K211-K210)/K210</f>
        <v/>
      </c>
      <c r="M211" s="5">
        <f>NORMINV(RAND(), $L$6, $L$7)</f>
        <v/>
      </c>
      <c r="N211" s="5">
        <f>NORMINV(RAND(), $L$6, $L$7)</f>
        <v/>
      </c>
      <c r="O211" s="5">
        <f>NORMINV(RAND(), $L$6, $L$7)</f>
        <v/>
      </c>
      <c r="P211" s="5">
        <f>NORMINV(RAND(), $L$6, $L$7)</f>
        <v/>
      </c>
      <c r="Q211" s="5">
        <f>NORMINV(RAND(), $L$6, $L$7)</f>
        <v/>
      </c>
    </row>
    <row r="212">
      <c r="A212" t="inlineStr">
        <is>
          <t>2026-06-24</t>
        </is>
      </c>
      <c r="B212" s="7" t="n">
        <v>345.04</v>
      </c>
      <c r="C212" s="5">
        <f>(B212-B211)/B211</f>
        <v/>
      </c>
      <c r="D212" s="5">
        <f>NORMINV(RAND(), $C$6, $C$7)</f>
        <v/>
      </c>
      <c r="E212" s="5">
        <f>NORMINV(RAND(), $C$6, $C$7)</f>
        <v/>
      </c>
      <c r="F212" s="5">
        <f>NORMINV(RAND(), $C$6, $C$7)</f>
        <v/>
      </c>
      <c r="G212" s="5">
        <f>NORMINV(RAND(), $C$6, $C$7)</f>
        <v/>
      </c>
      <c r="H212" s="5">
        <f>NORMINV(RAND(), $C$6, $C$7)</f>
        <v/>
      </c>
      <c r="J212" t="inlineStr">
        <is>
          <t>2026-06-24</t>
        </is>
      </c>
      <c r="K212" s="7" t="n">
        <v>293.08</v>
      </c>
      <c r="L212" s="5">
        <f>(K212-K211)/K211</f>
        <v/>
      </c>
      <c r="M212" s="5">
        <f>NORMINV(RAND(), $L$6, $L$7)</f>
        <v/>
      </c>
      <c r="N212" s="5">
        <f>NORMINV(RAND(), $L$6, $L$7)</f>
        <v/>
      </c>
      <c r="O212" s="5">
        <f>NORMINV(RAND(), $L$6, $L$7)</f>
        <v/>
      </c>
      <c r="P212" s="5">
        <f>NORMINV(RAND(), $L$6, $L$7)</f>
        <v/>
      </c>
      <c r="Q212" s="5">
        <f>NORMINV(RAND(), $L$6, $L$7)</f>
        <v/>
      </c>
    </row>
    <row r="213">
      <c r="A213" t="inlineStr">
        <is>
          <t>2026-06-25</t>
        </is>
      </c>
      <c r="B213" s="7" t="n">
        <v>342.19</v>
      </c>
      <c r="C213" s="5">
        <f>(B213-B212)/B212</f>
        <v/>
      </c>
      <c r="D213" s="5">
        <f>NORMINV(RAND(), $C$6, $C$7)</f>
        <v/>
      </c>
      <c r="E213" s="5">
        <f>NORMINV(RAND(), $C$6, $C$7)</f>
        <v/>
      </c>
      <c r="F213" s="5">
        <f>NORMINV(RAND(), $C$6, $C$7)</f>
        <v/>
      </c>
      <c r="G213" s="5">
        <f>NORMINV(RAND(), $C$6, $C$7)</f>
        <v/>
      </c>
      <c r="H213" s="5">
        <f>NORMINV(RAND(), $C$6, $C$7)</f>
        <v/>
      </c>
      <c r="J213" t="inlineStr">
        <is>
          <t>2026-06-25</t>
        </is>
      </c>
      <c r="K213" s="7" t="n">
        <v>275.15</v>
      </c>
      <c r="L213" s="5">
        <f>(K213-K212)/K212</f>
        <v/>
      </c>
      <c r="M213" s="5">
        <f>NORMINV(RAND(), $L$6, $L$7)</f>
        <v/>
      </c>
      <c r="N213" s="5">
        <f>NORMINV(RAND(), $L$6, $L$7)</f>
        <v/>
      </c>
      <c r="O213" s="5">
        <f>NORMINV(RAND(), $L$6, $L$7)</f>
        <v/>
      </c>
      <c r="P213" s="5">
        <f>NORMINV(RAND(), $L$6, $L$7)</f>
        <v/>
      </c>
      <c r="Q213" s="5">
        <f>NORMINV(RAND(), $L$6, $L$7)</f>
        <v/>
      </c>
    </row>
    <row r="214">
      <c r="A214" t="inlineStr">
        <is>
          <t>2026-06-26</t>
        </is>
      </c>
      <c r="B214" s="7" t="n">
        <v>334.69</v>
      </c>
      <c r="C214" s="5">
        <f>(B214-B213)/B213</f>
        <v/>
      </c>
      <c r="D214" s="5">
        <f>NORMINV(RAND(), $C$6, $C$7)</f>
        <v/>
      </c>
      <c r="E214" s="5">
        <f>NORMINV(RAND(), $C$6, $C$7)</f>
        <v/>
      </c>
      <c r="F214" s="5">
        <f>NORMINV(RAND(), $C$6, $C$7)</f>
        <v/>
      </c>
      <c r="G214" s="5">
        <f>NORMINV(RAND(), $C$6, $C$7)</f>
        <v/>
      </c>
      <c r="H214" s="5">
        <f>NORMINV(RAND(), $C$6, $C$7)</f>
        <v/>
      </c>
      <c r="J214" t="inlineStr">
        <is>
          <t>2026-06-26</t>
        </is>
      </c>
      <c r="K214" s="7" t="n">
        <v>283.78</v>
      </c>
      <c r="L214" s="5">
        <f>(K214-K213)/K213</f>
        <v/>
      </c>
      <c r="M214" s="5">
        <f>NORMINV(RAND(), $L$6, $L$7)</f>
        <v/>
      </c>
      <c r="N214" s="5">
        <f>NORMINV(RAND(), $L$6, $L$7)</f>
        <v/>
      </c>
      <c r="O214" s="5">
        <f>NORMINV(RAND(), $L$6, $L$7)</f>
        <v/>
      </c>
      <c r="P214" s="5">
        <f>NORMINV(RAND(), $L$6, $L$7)</f>
        <v/>
      </c>
      <c r="Q214" s="5">
        <f>NORMINV(RAND(), $L$6, $L$7)</f>
        <v/>
      </c>
    </row>
    <row r="215">
      <c r="A215" t="inlineStr">
        <is>
          <t>2026-06-29</t>
        </is>
      </c>
      <c r="B215" s="7" t="n">
        <v>351.28</v>
      </c>
      <c r="C215" s="5">
        <f>(B215-B214)/B214</f>
        <v/>
      </c>
      <c r="D215" s="5">
        <f>NORMINV(RAND(), $C$6, $C$7)</f>
        <v/>
      </c>
      <c r="E215" s="5">
        <f>NORMINV(RAND(), $C$6, $C$7)</f>
        <v/>
      </c>
      <c r="F215" s="5">
        <f>NORMINV(RAND(), $C$6, $C$7)</f>
        <v/>
      </c>
      <c r="G215" s="5">
        <f>NORMINV(RAND(), $C$6, $C$7)</f>
        <v/>
      </c>
      <c r="H215" s="5">
        <f>NORMINV(RAND(), $C$6, $C$7)</f>
        <v/>
      </c>
      <c r="J215" t="inlineStr">
        <is>
          <t>2026-06-29</t>
        </is>
      </c>
      <c r="K215" s="7" t="n">
        <v>281.74</v>
      </c>
      <c r="L215" s="5">
        <f>(K215-K214)/K214</f>
        <v/>
      </c>
      <c r="M215" s="5">
        <f>NORMINV(RAND(), $L$6, $L$7)</f>
        <v/>
      </c>
      <c r="N215" s="5">
        <f>NORMINV(RAND(), $L$6, $L$7)</f>
        <v/>
      </c>
      <c r="O215" s="5">
        <f>NORMINV(RAND(), $L$6, $L$7)</f>
        <v/>
      </c>
      <c r="P215" s="5">
        <f>NORMINV(RAND(), $L$6, $L$7)</f>
        <v/>
      </c>
      <c r="Q215" s="5">
        <f>NORMINV(RAND(), $L$6, $L$7)</f>
        <v/>
      </c>
    </row>
    <row r="216">
      <c r="A216" t="inlineStr">
        <is>
          <t>2026-06-30</t>
        </is>
      </c>
      <c r="B216" s="7" t="n">
        <v>353.33</v>
      </c>
      <c r="C216" s="5">
        <f>(B216-B215)/B215</f>
        <v/>
      </c>
      <c r="D216" s="5">
        <f>NORMINV(RAND(), $C$6, $C$7)</f>
        <v/>
      </c>
      <c r="E216" s="5">
        <f>NORMINV(RAND(), $C$6, $C$7)</f>
        <v/>
      </c>
      <c r="F216" s="5">
        <f>NORMINV(RAND(), $C$6, $C$7)</f>
        <v/>
      </c>
      <c r="G216" s="5">
        <f>NORMINV(RAND(), $C$6, $C$7)</f>
        <v/>
      </c>
      <c r="H216" s="5">
        <f>NORMINV(RAND(), $C$6, $C$7)</f>
        <v/>
      </c>
      <c r="J216" t="inlineStr">
        <is>
          <t>2026-06-30</t>
        </is>
      </c>
      <c r="K216" s="7" t="n">
        <v>289.36</v>
      </c>
      <c r="L216" s="5">
        <f>(K216-K215)/K215</f>
        <v/>
      </c>
      <c r="M216" s="5">
        <f>NORMINV(RAND(), $L$6, $L$7)</f>
        <v/>
      </c>
      <c r="N216" s="5">
        <f>NORMINV(RAND(), $L$6, $L$7)</f>
        <v/>
      </c>
      <c r="O216" s="5">
        <f>NORMINV(RAND(), $L$6, $L$7)</f>
        <v/>
      </c>
      <c r="P216" s="5">
        <f>NORMINV(RAND(), $L$6, $L$7)</f>
        <v/>
      </c>
      <c r="Q216" s="5">
        <f>NORMINV(RAND(), $L$6, $L$7)</f>
        <v/>
      </c>
    </row>
    <row r="217">
      <c r="A217" t="inlineStr">
        <is>
          <t>2026-07-01</t>
        </is>
      </c>
      <c r="B217" s="7" t="n">
        <v>357.89</v>
      </c>
      <c r="C217" s="5">
        <f>(B217-B216)/B216</f>
        <v/>
      </c>
      <c r="D217" s="5">
        <f>NORMINV(RAND(), $C$6, $C$7)</f>
        <v/>
      </c>
      <c r="E217" s="5">
        <f>NORMINV(RAND(), $C$6, $C$7)</f>
        <v/>
      </c>
      <c r="F217" s="5">
        <f>NORMINV(RAND(), $C$6, $C$7)</f>
        <v/>
      </c>
      <c r="G217" s="5">
        <f>NORMINV(RAND(), $C$6, $C$7)</f>
        <v/>
      </c>
      <c r="H217" s="5">
        <f>NORMINV(RAND(), $C$6, $C$7)</f>
        <v/>
      </c>
      <c r="J217" t="inlineStr">
        <is>
          <t>2026-07-01</t>
        </is>
      </c>
      <c r="K217" s="7" t="n">
        <v>294.38</v>
      </c>
      <c r="L217" s="5">
        <f>(K217-K216)/K216</f>
        <v/>
      </c>
      <c r="M217" s="5">
        <f>NORMINV(RAND(), $L$6, $L$7)</f>
        <v/>
      </c>
      <c r="N217" s="5">
        <f>NORMINV(RAND(), $L$6, $L$7)</f>
        <v/>
      </c>
      <c r="O217" s="5">
        <f>NORMINV(RAND(), $L$6, $L$7)</f>
        <v/>
      </c>
      <c r="P217" s="5">
        <f>NORMINV(RAND(), $L$6, $L$7)</f>
        <v/>
      </c>
      <c r="Q217" s="5">
        <f>NORMINV(RAND(), $L$6, $L$7)</f>
        <v/>
      </c>
    </row>
    <row r="218">
      <c r="A218" t="inlineStr">
        <is>
          <t>2026-07-02</t>
        </is>
      </c>
      <c r="B218" s="7" t="n">
        <v>356.18</v>
      </c>
      <c r="C218" s="5">
        <f>(B218-B217)/B217</f>
        <v/>
      </c>
      <c r="D218" s="5">
        <f>NORMINV(RAND(), $C$6, $C$7)</f>
        <v/>
      </c>
      <c r="E218" s="5">
        <f>NORMINV(RAND(), $C$6, $C$7)</f>
        <v/>
      </c>
      <c r="F218" s="5">
        <f>NORMINV(RAND(), $C$6, $C$7)</f>
        <v/>
      </c>
      <c r="G218" s="5">
        <f>NORMINV(RAND(), $C$6, $C$7)</f>
        <v/>
      </c>
      <c r="H218" s="5">
        <f>NORMINV(RAND(), $C$6, $C$7)</f>
        <v/>
      </c>
      <c r="J218" t="inlineStr">
        <is>
          <t>2026-07-02</t>
        </is>
      </c>
      <c r="K218" s="7" t="n">
        <v>308.63</v>
      </c>
      <c r="L218" s="5">
        <f>(K218-K217)/K217</f>
        <v/>
      </c>
      <c r="M218" s="5">
        <f>NORMINV(RAND(), $L$6, $L$7)</f>
        <v/>
      </c>
      <c r="N218" s="5">
        <f>NORMINV(RAND(), $L$6, $L$7)</f>
        <v/>
      </c>
      <c r="O218" s="5">
        <f>NORMINV(RAND(), $L$6, $L$7)</f>
        <v/>
      </c>
      <c r="P218" s="5">
        <f>NORMINV(RAND(), $L$6, $L$7)</f>
        <v/>
      </c>
      <c r="Q218" s="5">
        <f>NORMINV(RAND(), $L$6, $L$7)</f>
        <v/>
      </c>
    </row>
    <row r="219">
      <c r="A219" t="inlineStr">
        <is>
          <t>2026-07-06</t>
        </is>
      </c>
      <c r="B219" s="7" t="n">
        <v>364.9</v>
      </c>
      <c r="C219" s="5">
        <f>(B219-B218)/B218</f>
        <v/>
      </c>
      <c r="D219" s="5">
        <f>NORMINV(RAND(), $C$6, $C$7)</f>
        <v/>
      </c>
      <c r="E219" s="5">
        <f>NORMINV(RAND(), $C$6, $C$7)</f>
        <v/>
      </c>
      <c r="F219" s="5">
        <f>NORMINV(RAND(), $C$6, $C$7)</f>
        <v/>
      </c>
      <c r="G219" s="5">
        <f>NORMINV(RAND(), $C$6, $C$7)</f>
        <v/>
      </c>
      <c r="H219" s="5">
        <f>NORMINV(RAND(), $C$6, $C$7)</f>
        <v/>
      </c>
      <c r="J219" t="inlineStr">
        <is>
          <t>2026-07-06</t>
        </is>
      </c>
      <c r="K219" s="7" t="n">
        <v>312.66</v>
      </c>
      <c r="L219" s="5">
        <f>(K219-K218)/K218</f>
        <v/>
      </c>
      <c r="M219" s="5">
        <f>NORMINV(RAND(), $L$6, $L$7)</f>
        <v/>
      </c>
      <c r="N219" s="5">
        <f>NORMINV(RAND(), $L$6, $L$7)</f>
        <v/>
      </c>
      <c r="O219" s="5">
        <f>NORMINV(RAND(), $L$6, $L$7)</f>
        <v/>
      </c>
      <c r="P219" s="5">
        <f>NORMINV(RAND(), $L$6, $L$7)</f>
        <v/>
      </c>
      <c r="Q219" s="5">
        <f>NORMINV(RAND(), $L$6, $L$7)</f>
        <v/>
      </c>
    </row>
    <row r="220">
      <c r="A220" t="inlineStr">
        <is>
          <t>2026-07-07</t>
        </is>
      </c>
      <c r="B220" s="7" t="n">
        <v>363.62</v>
      </c>
      <c r="C220" s="5">
        <f>(B220-B219)/B219</f>
        <v/>
      </c>
      <c r="D220" s="5">
        <f>NORMINV(RAND(), $C$6, $C$7)</f>
        <v/>
      </c>
      <c r="E220" s="5">
        <f>NORMINV(RAND(), $C$6, $C$7)</f>
        <v/>
      </c>
      <c r="F220" s="5">
        <f>NORMINV(RAND(), $C$6, $C$7)</f>
        <v/>
      </c>
      <c r="G220" s="5">
        <f>NORMINV(RAND(), $C$6, $C$7)</f>
        <v/>
      </c>
      <c r="H220" s="5">
        <f>NORMINV(RAND(), $C$6, $C$7)</f>
        <v/>
      </c>
      <c r="J220" t="inlineStr">
        <is>
          <t>2026-07-07</t>
        </is>
      </c>
      <c r="K220" s="7" t="n">
        <v>310.66</v>
      </c>
      <c r="L220" s="5">
        <f>(K220-K219)/K219</f>
        <v/>
      </c>
      <c r="M220" s="5">
        <f>NORMINV(RAND(), $L$6, $L$7)</f>
        <v/>
      </c>
      <c r="N220" s="5">
        <f>NORMINV(RAND(), $L$6, $L$7)</f>
        <v/>
      </c>
      <c r="O220" s="5">
        <f>NORMINV(RAND(), $L$6, $L$7)</f>
        <v/>
      </c>
      <c r="P220" s="5">
        <f>NORMINV(RAND(), $L$6, $L$7)</f>
        <v/>
      </c>
      <c r="Q220" s="5">
        <f>NORMINV(RAND(), $L$6, $L$7)</f>
        <v/>
      </c>
    </row>
    <row r="221">
      <c r="A221" t="inlineStr">
        <is>
          <t>2026-07-08</t>
        </is>
      </c>
      <c r="B221" s="7" t="n">
        <v>358.71</v>
      </c>
      <c r="C221" s="5">
        <f>(B221-B220)/B220</f>
        <v/>
      </c>
      <c r="D221" s="5">
        <f>NORMINV(RAND(), $C$6, $C$7)</f>
        <v/>
      </c>
      <c r="E221" s="5">
        <f>NORMINV(RAND(), $C$6, $C$7)</f>
        <v/>
      </c>
      <c r="F221" s="5">
        <f>NORMINV(RAND(), $C$6, $C$7)</f>
        <v/>
      </c>
      <c r="G221" s="5">
        <f>NORMINV(RAND(), $C$6, $C$7)</f>
        <v/>
      </c>
      <c r="H221" s="5">
        <f>NORMINV(RAND(), $C$6, $C$7)</f>
        <v/>
      </c>
      <c r="J221" t="inlineStr">
        <is>
          <t>2026-07-08</t>
        </is>
      </c>
      <c r="K221" s="7" t="n">
        <v>313.39</v>
      </c>
      <c r="L221" s="5">
        <f>(K221-K220)/K220</f>
        <v/>
      </c>
      <c r="M221" s="5">
        <f>NORMINV(RAND(), $L$6, $L$7)</f>
        <v/>
      </c>
      <c r="N221" s="5">
        <f>NORMINV(RAND(), $L$6, $L$7)</f>
        <v/>
      </c>
      <c r="O221" s="5">
        <f>NORMINV(RAND(), $L$6, $L$7)</f>
        <v/>
      </c>
      <c r="P221" s="5">
        <f>NORMINV(RAND(), $L$6, $L$7)</f>
        <v/>
      </c>
      <c r="Q221" s="5">
        <f>NORMINV(RAND(), $L$6, $L$7)</f>
        <v/>
      </c>
    </row>
    <row r="222">
      <c r="A222" t="inlineStr">
        <is>
          <t>2026-07-09</t>
        </is>
      </c>
      <c r="B222" s="7" t="n">
        <v>356.24</v>
      </c>
      <c r="C222" s="5">
        <f>(B222-B221)/B221</f>
        <v/>
      </c>
      <c r="D222" s="5">
        <f>NORMINV(RAND(), $C$6, $C$7)</f>
        <v/>
      </c>
      <c r="E222" s="5">
        <f>NORMINV(RAND(), $C$6, $C$7)</f>
        <v/>
      </c>
      <c r="F222" s="5">
        <f>NORMINV(RAND(), $C$6, $C$7)</f>
        <v/>
      </c>
      <c r="G222" s="5">
        <f>NORMINV(RAND(), $C$6, $C$7)</f>
        <v/>
      </c>
      <c r="H222" s="5">
        <f>NORMINV(RAND(), $C$6, $C$7)</f>
        <v/>
      </c>
      <c r="J222" t="inlineStr">
        <is>
          <t>2026-07-09</t>
        </is>
      </c>
      <c r="K222" s="7" t="n">
        <v>316.22</v>
      </c>
      <c r="L222" s="5">
        <f>(K222-K221)/K221</f>
        <v/>
      </c>
      <c r="M222" s="5">
        <f>NORMINV(RAND(), $L$6, $L$7)</f>
        <v/>
      </c>
      <c r="N222" s="5">
        <f>NORMINV(RAND(), $L$6, $L$7)</f>
        <v/>
      </c>
      <c r="O222" s="5">
        <f>NORMINV(RAND(), $L$6, $L$7)</f>
        <v/>
      </c>
      <c r="P222" s="5">
        <f>NORMINV(RAND(), $L$6, $L$7)</f>
        <v/>
      </c>
      <c r="Q222" s="5">
        <f>NORMINV(RAND(), $L$6, $L$7)</f>
        <v/>
      </c>
    </row>
    <row r="223">
      <c r="A223" t="inlineStr">
        <is>
          <t>2026-07-10</t>
        </is>
      </c>
      <c r="B223" s="7" t="n">
        <v>355.03</v>
      </c>
      <c r="C223" s="5">
        <f>(B223-B222)/B222</f>
        <v/>
      </c>
      <c r="D223" s="5">
        <f>NORMINV(RAND(), $C$6, $C$7)</f>
        <v/>
      </c>
      <c r="E223" s="5">
        <f>NORMINV(RAND(), $C$6, $C$7)</f>
        <v/>
      </c>
      <c r="F223" s="5">
        <f>NORMINV(RAND(), $C$6, $C$7)</f>
        <v/>
      </c>
      <c r="G223" s="5">
        <f>NORMINV(RAND(), $C$6, $C$7)</f>
        <v/>
      </c>
      <c r="H223" s="5">
        <f>NORMINV(RAND(), $C$6, $C$7)</f>
        <v/>
      </c>
      <c r="J223" t="inlineStr">
        <is>
          <t>2026-07-10</t>
        </is>
      </c>
      <c r="K223" s="7" t="n">
        <v>315.32</v>
      </c>
      <c r="L223" s="5">
        <f>(K223-K222)/K222</f>
        <v/>
      </c>
      <c r="M223" s="5">
        <f>NORMINV(RAND(), $L$6, $L$7)</f>
        <v/>
      </c>
      <c r="N223" s="5">
        <f>NORMINV(RAND(), $L$6, $L$7)</f>
        <v/>
      </c>
      <c r="O223" s="5">
        <f>NORMINV(RAND(), $L$6, $L$7)</f>
        <v/>
      </c>
      <c r="P223" s="5">
        <f>NORMINV(RAND(), $L$6, $L$7)</f>
        <v/>
      </c>
      <c r="Q223" s="5">
        <f>NORMINV(RAND(), $L$6, $L$7)</f>
        <v/>
      </c>
    </row>
    <row r="224">
      <c r="A224" t="inlineStr">
        <is>
          <t>2026-07-13</t>
        </is>
      </c>
      <c r="B224" s="7" t="n">
        <v>350.67</v>
      </c>
      <c r="C224" s="5">
        <f>(B224-B223)/B223</f>
        <v/>
      </c>
      <c r="D224" s="5">
        <f>NORMINV(RAND(), $C$6, $C$7)</f>
        <v/>
      </c>
      <c r="E224" s="5">
        <f>NORMINV(RAND(), $C$6, $C$7)</f>
        <v/>
      </c>
      <c r="F224" s="5">
        <f>NORMINV(RAND(), $C$6, $C$7)</f>
        <v/>
      </c>
      <c r="G224" s="5">
        <f>NORMINV(RAND(), $C$6, $C$7)</f>
        <v/>
      </c>
      <c r="H224" s="5">
        <f>NORMINV(RAND(), $C$6, $C$7)</f>
        <v/>
      </c>
      <c r="J224" t="inlineStr">
        <is>
          <t>2026-07-13</t>
        </is>
      </c>
      <c r="K224" s="7" t="n">
        <v>317.31</v>
      </c>
      <c r="L224" s="5">
        <f>(K224-K223)/K223</f>
        <v/>
      </c>
      <c r="M224" s="5">
        <f>NORMINV(RAND(), $L$6, $L$7)</f>
        <v/>
      </c>
      <c r="N224" s="5">
        <f>NORMINV(RAND(), $L$6, $L$7)</f>
        <v/>
      </c>
      <c r="O224" s="5">
        <f>NORMINV(RAND(), $L$6, $L$7)</f>
        <v/>
      </c>
      <c r="P224" s="5">
        <f>NORMINV(RAND(), $L$6, $L$7)</f>
        <v/>
      </c>
      <c r="Q224" s="5">
        <f>NORMINV(RAND(), $L$6, $L$7)</f>
        <v/>
      </c>
    </row>
    <row r="225">
      <c r="A225" t="inlineStr">
        <is>
          <t>2026-07-14</t>
        </is>
      </c>
      <c r="B225" s="7" t="n">
        <v>357.33</v>
      </c>
      <c r="C225" s="5">
        <f>(B225-B224)/B224</f>
        <v/>
      </c>
      <c r="D225" s="5">
        <f>NORMINV(RAND(), $C$6, $C$7)</f>
        <v/>
      </c>
      <c r="E225" s="5">
        <f>NORMINV(RAND(), $C$6, $C$7)</f>
        <v/>
      </c>
      <c r="F225" s="5">
        <f>NORMINV(RAND(), $C$6, $C$7)</f>
        <v/>
      </c>
      <c r="G225" s="5">
        <f>NORMINV(RAND(), $C$6, $C$7)</f>
        <v/>
      </c>
      <c r="H225" s="5">
        <f>NORMINV(RAND(), $C$6, $C$7)</f>
        <v/>
      </c>
      <c r="J225" t="inlineStr">
        <is>
          <t>2026-07-14</t>
        </is>
      </c>
      <c r="K225" s="7" t="n">
        <v>314.86</v>
      </c>
      <c r="L225" s="5">
        <f>(K225-K224)/K224</f>
        <v/>
      </c>
      <c r="M225" s="5">
        <f>NORMINV(RAND(), $L$6, $L$7)</f>
        <v/>
      </c>
      <c r="N225" s="5">
        <f>NORMINV(RAND(), $L$6, $L$7)</f>
        <v/>
      </c>
      <c r="O225" s="5">
        <f>NORMINV(RAND(), $L$6, $L$7)</f>
        <v/>
      </c>
      <c r="P225" s="5">
        <f>NORMINV(RAND(), $L$6, $L$7)</f>
        <v/>
      </c>
      <c r="Q225" s="5">
        <f>NORMINV(RAND(), $L$6, $L$7)</f>
        <v/>
      </c>
    </row>
    <row r="226">
      <c r="A226" t="inlineStr">
        <is>
          <t>2026-07-15</t>
        </is>
      </c>
      <c r="B226" s="7" t="n">
        <v>370.21</v>
      </c>
      <c r="C226" s="5">
        <f>(B226-B225)/B225</f>
        <v/>
      </c>
      <c r="D226" s="5">
        <f>NORMINV(RAND(), $C$6, $C$7)</f>
        <v/>
      </c>
      <c r="E226" s="5">
        <f>NORMINV(RAND(), $C$6, $C$7)</f>
        <v/>
      </c>
      <c r="F226" s="5">
        <f>NORMINV(RAND(), $C$6, $C$7)</f>
        <v/>
      </c>
      <c r="G226" s="5">
        <f>NORMINV(RAND(), $C$6, $C$7)</f>
        <v/>
      </c>
      <c r="H226" s="5">
        <f>NORMINV(RAND(), $C$6, $C$7)</f>
        <v/>
      </c>
      <c r="J226" t="inlineStr">
        <is>
          <t>2026-07-15</t>
        </is>
      </c>
      <c r="K226" s="7" t="n">
        <v>327.5</v>
      </c>
      <c r="L226" s="5">
        <f>(K226-K225)/K225</f>
        <v/>
      </c>
      <c r="M226" s="5">
        <f>NORMINV(RAND(), $L$6, $L$7)</f>
        <v/>
      </c>
      <c r="N226" s="5">
        <f>NORMINV(RAND(), $L$6, $L$7)</f>
        <v/>
      </c>
      <c r="O226" s="5">
        <f>NORMINV(RAND(), $L$6, $L$7)</f>
        <v/>
      </c>
      <c r="P226" s="5">
        <f>NORMINV(RAND(), $L$6, $L$7)</f>
        <v/>
      </c>
      <c r="Q226" s="5">
        <f>NORMINV(RAND(), $L$6, $L$7)</f>
        <v/>
      </c>
    </row>
    <row r="227">
      <c r="A227" t="inlineStr">
        <is>
          <t>2026-07-16</t>
        </is>
      </c>
      <c r="B227" s="7" t="n">
        <v>353.81</v>
      </c>
      <c r="C227" s="5">
        <f>(B227-B226)/B226</f>
        <v/>
      </c>
      <c r="D227" s="5">
        <f>NORMINV(RAND(), $C$6, $C$7)</f>
        <v/>
      </c>
      <c r="E227" s="5">
        <f>NORMINV(RAND(), $C$6, $C$7)</f>
        <v/>
      </c>
      <c r="F227" s="5">
        <f>NORMINV(RAND(), $C$6, $C$7)</f>
        <v/>
      </c>
      <c r="G227" s="5">
        <f>NORMINV(RAND(), $C$6, $C$7)</f>
        <v/>
      </c>
      <c r="H227" s="5">
        <f>NORMINV(RAND(), $C$6, $C$7)</f>
        <v/>
      </c>
      <c r="J227" t="inlineStr">
        <is>
          <t>2026-07-16</t>
        </is>
      </c>
      <c r="K227" s="7" t="n">
        <v>333.26</v>
      </c>
      <c r="L227" s="5">
        <f>(K227-K226)/K226</f>
        <v/>
      </c>
      <c r="M227" s="5">
        <f>NORMINV(RAND(), $L$6, $L$7)</f>
        <v/>
      </c>
      <c r="N227" s="5">
        <f>NORMINV(RAND(), $L$6, $L$7)</f>
        <v/>
      </c>
      <c r="O227" s="5">
        <f>NORMINV(RAND(), $L$6, $L$7)</f>
        <v/>
      </c>
      <c r="P227" s="5">
        <f>NORMINV(RAND(), $L$6, $L$7)</f>
        <v/>
      </c>
      <c r="Q227" s="5">
        <f>NORMINV(RAND(), $L$6, $L$7)</f>
        <v/>
      </c>
    </row>
    <row r="228">
      <c r="A228" t="inlineStr">
        <is>
          <t>2026-07-17</t>
        </is>
      </c>
      <c r="B228" s="7" t="n">
        <v>346.12</v>
      </c>
      <c r="C228" s="5">
        <f>(B228-B227)/B227</f>
        <v/>
      </c>
      <c r="D228" s="5">
        <f>NORMINV(RAND(), $C$6, $C$7)</f>
        <v/>
      </c>
      <c r="E228" s="5">
        <f>NORMINV(RAND(), $C$6, $C$7)</f>
        <v/>
      </c>
      <c r="F228" s="5">
        <f>NORMINV(RAND(), $C$6, $C$7)</f>
        <v/>
      </c>
      <c r="G228" s="5">
        <f>NORMINV(RAND(), $C$6, $C$7)</f>
        <v/>
      </c>
      <c r="H228" s="5">
        <f>NORMINV(RAND(), $C$6, $C$7)</f>
        <v/>
      </c>
      <c r="J228" t="inlineStr">
        <is>
          <t>2026-07-17</t>
        </is>
      </c>
      <c r="K228" s="7" t="n">
        <v>333.74</v>
      </c>
      <c r="L228" s="5">
        <f>(K228-K227)/K227</f>
        <v/>
      </c>
      <c r="M228" s="5">
        <f>NORMINV(RAND(), $L$6, $L$7)</f>
        <v/>
      </c>
      <c r="N228" s="5">
        <f>NORMINV(RAND(), $L$6, $L$7)</f>
        <v/>
      </c>
      <c r="O228" s="5">
        <f>NORMINV(RAND(), $L$6, $L$7)</f>
        <v/>
      </c>
      <c r="P228" s="5">
        <f>NORMINV(RAND(), $L$6, $L$7)</f>
        <v/>
      </c>
      <c r="Q228" s="5">
        <f>NORMINV(RAND(), $L$6, $L$7)</f>
        <v/>
      </c>
    </row>
    <row r="229">
      <c r="A229" t="inlineStr">
        <is>
          <t>2026-07-20</t>
        </is>
      </c>
      <c r="B229" s="7" t="n">
        <v>351.37</v>
      </c>
      <c r="C229" s="5">
        <f>(B229-B228)/B228</f>
        <v/>
      </c>
      <c r="D229" s="5">
        <f>NORMINV(RAND(), $C$6, $C$7)</f>
        <v/>
      </c>
      <c r="E229" s="5">
        <f>NORMINV(RAND(), $C$6, $C$7)</f>
        <v/>
      </c>
      <c r="F229" s="5">
        <f>NORMINV(RAND(), $C$6, $C$7)</f>
        <v/>
      </c>
      <c r="G229" s="5">
        <f>NORMINV(RAND(), $C$6, $C$7)</f>
        <v/>
      </c>
      <c r="H229" s="5">
        <f>NORMINV(RAND(), $C$6, $C$7)</f>
        <v/>
      </c>
      <c r="J229" t="inlineStr">
        <is>
          <t>2026-07-20</t>
        </is>
      </c>
      <c r="K229" s="7" t="n">
        <v>326.59</v>
      </c>
      <c r="L229" s="5">
        <f>(K229-K228)/K228</f>
        <v/>
      </c>
      <c r="M229" s="5">
        <f>NORMINV(RAND(), $L$6, $L$7)</f>
        <v/>
      </c>
      <c r="N229" s="5">
        <f>NORMINV(RAND(), $L$6, $L$7)</f>
        <v/>
      </c>
      <c r="O229" s="5">
        <f>NORMINV(RAND(), $L$6, $L$7)</f>
        <v/>
      </c>
      <c r="P229" s="5">
        <f>NORMINV(RAND(), $L$6, $L$7)</f>
        <v/>
      </c>
      <c r="Q229" s="5">
        <f>NORMINV(RAND(), $L$6, $L$7)</f>
        <v/>
      </c>
    </row>
    <row r="230">
      <c r="A230" t="inlineStr">
        <is>
          <t>2026-07-21</t>
        </is>
      </c>
      <c r="B230" s="7" t="n">
        <v>346.19</v>
      </c>
      <c r="C230" s="5">
        <f>(B230-B229)/B229</f>
        <v/>
      </c>
      <c r="D230" s="5">
        <f>NORMINV(RAND(), $C$6, $C$7)</f>
        <v/>
      </c>
      <c r="E230" s="5">
        <f>NORMINV(RAND(), $C$6, $C$7)</f>
        <v/>
      </c>
      <c r="F230" s="5">
        <f>NORMINV(RAND(), $C$6, $C$7)</f>
        <v/>
      </c>
      <c r="G230" s="5">
        <f>NORMINV(RAND(), $C$6, $C$7)</f>
        <v/>
      </c>
      <c r="H230" s="5">
        <f>NORMINV(RAND(), $C$6, $C$7)</f>
        <v/>
      </c>
      <c r="J230" t="inlineStr">
        <is>
          <t>2026-07-21</t>
        </is>
      </c>
      <c r="K230" s="7" t="n">
        <v>327.74</v>
      </c>
      <c r="L230" s="5">
        <f>(K230-K229)/K229</f>
        <v/>
      </c>
      <c r="M230" s="5">
        <f>NORMINV(RAND(), $L$6, $L$7)</f>
        <v/>
      </c>
      <c r="N230" s="5">
        <f>NORMINV(RAND(), $L$6, $L$7)</f>
        <v/>
      </c>
      <c r="O230" s="5">
        <f>NORMINV(RAND(), $L$6, $L$7)</f>
        <v/>
      </c>
      <c r="P230" s="5">
        <f>NORMINV(RAND(), $L$6, $L$7)</f>
        <v/>
      </c>
      <c r="Q230" s="5">
        <f>NORMINV(RAND(), $L$6, $L$7)</f>
        <v/>
      </c>
    </row>
    <row r="231">
      <c r="A231" t="inlineStr">
        <is>
          <t>2026-07-22</t>
        </is>
      </c>
      <c r="B231" s="7" t="n">
        <v>341.91</v>
      </c>
      <c r="C231" s="5">
        <f>(B231-B230)/B230</f>
        <v/>
      </c>
      <c r="D231" s="5">
        <f>NORMINV(RAND(), $C$6, $C$7)</f>
        <v/>
      </c>
      <c r="E231" s="5">
        <f>NORMINV(RAND(), $C$6, $C$7)</f>
        <v/>
      </c>
      <c r="F231" s="5">
        <f>NORMINV(RAND(), $C$6, $C$7)</f>
        <v/>
      </c>
      <c r="G231" s="5">
        <f>NORMINV(RAND(), $C$6, $C$7)</f>
        <v/>
      </c>
      <c r="H231" s="5">
        <f>NORMINV(RAND(), $C$6, $C$7)</f>
        <v/>
      </c>
      <c r="J231" t="inlineStr">
        <is>
          <t>2026-07-22</t>
        </is>
      </c>
      <c r="K231" s="7" t="n">
        <v>325.89</v>
      </c>
      <c r="L231" s="5">
        <f>(K231-K230)/K230</f>
        <v/>
      </c>
      <c r="M231" s="5">
        <f>NORMINV(RAND(), $L$6, $L$7)</f>
        <v/>
      </c>
      <c r="N231" s="5">
        <f>NORMINV(RAND(), $L$6, $L$7)</f>
        <v/>
      </c>
      <c r="O231" s="5">
        <f>NORMINV(RAND(), $L$6, $L$7)</f>
        <v/>
      </c>
      <c r="P231" s="5">
        <f>NORMINV(RAND(), $L$6, $L$7)</f>
        <v/>
      </c>
      <c r="Q231" s="5">
        <f>NORMINV(RAND(), $L$6, $L$7)</f>
        <v/>
      </c>
    </row>
    <row r="232">
      <c r="A232" t="inlineStr">
        <is>
          <t>2026-07-23</t>
        </is>
      </c>
      <c r="B232" s="7" t="n">
        <v>318.34</v>
      </c>
      <c r="C232" s="5">
        <f>(B232-B231)/B231</f>
        <v/>
      </c>
      <c r="D232" s="5">
        <f>NORMINV(RAND(), $C$6, $C$7)</f>
        <v/>
      </c>
      <c r="E232" s="5">
        <f>NORMINV(RAND(), $C$6, $C$7)</f>
        <v/>
      </c>
      <c r="F232" s="5">
        <f>NORMINV(RAND(), $C$6, $C$7)</f>
        <v/>
      </c>
      <c r="G232" s="5">
        <f>NORMINV(RAND(), $C$6, $C$7)</f>
        <v/>
      </c>
      <c r="H232" s="5">
        <f>NORMINV(RAND(), $C$6, $C$7)</f>
        <v/>
      </c>
      <c r="J232" t="inlineStr">
        <is>
          <t>2026-07-23</t>
        </is>
      </c>
      <c r="K232" s="7" t="n">
        <v>321.66</v>
      </c>
      <c r="L232" s="5">
        <f>(K232-K231)/K231</f>
        <v/>
      </c>
      <c r="M232" s="5">
        <f>NORMINV(RAND(), $L$6, $L$7)</f>
        <v/>
      </c>
      <c r="N232" s="5">
        <f>NORMINV(RAND(), $L$6, $L$7)</f>
        <v/>
      </c>
      <c r="O232" s="5">
        <f>NORMINV(RAND(), $L$6, $L$7)</f>
        <v/>
      </c>
      <c r="P232" s="5">
        <f>NORMINV(RAND(), $L$6, $L$7)</f>
        <v/>
      </c>
      <c r="Q232" s="5">
        <f>NORMINV(RAND(), $L$6, $L$7)</f>
        <v/>
      </c>
    </row>
    <row r="233">
      <c r="A233" t="inlineStr">
        <is>
          <t>2026-07-24</t>
        </is>
      </c>
      <c r="B233" s="7" t="n">
        <v>319.09</v>
      </c>
      <c r="C233" s="5">
        <f>(B233-B232)/B232</f>
        <v/>
      </c>
      <c r="D233" s="5">
        <f>NORMINV(RAND(), $C$6, $C$7)</f>
        <v/>
      </c>
      <c r="E233" s="5">
        <f>NORMINV(RAND(), $C$6, $C$7)</f>
        <v/>
      </c>
      <c r="F233" s="5">
        <f>NORMINV(RAND(), $C$6, $C$7)</f>
        <v/>
      </c>
      <c r="G233" s="5">
        <f>NORMINV(RAND(), $C$6, $C$7)</f>
        <v/>
      </c>
      <c r="H233" s="5">
        <f>NORMINV(RAND(), $C$6, $C$7)</f>
        <v/>
      </c>
      <c r="J233" t="inlineStr">
        <is>
          <t>2026-07-24</t>
        </is>
      </c>
      <c r="K233" s="7" t="n">
        <v>333.02</v>
      </c>
      <c r="L233" s="5">
        <f>(K233-K232)/K232</f>
        <v/>
      </c>
      <c r="M233" s="5">
        <f>NORMINV(RAND(), $L$6, $L$7)</f>
        <v/>
      </c>
      <c r="N233" s="5">
        <f>NORMINV(RAND(), $L$6, $L$7)</f>
        <v/>
      </c>
      <c r="O233" s="5">
        <f>NORMINV(RAND(), $L$6, $L$7)</f>
        <v/>
      </c>
      <c r="P233" s="5">
        <f>NORMINV(RAND(), $L$6, $L$7)</f>
        <v/>
      </c>
      <c r="Q233" s="5">
        <f>NORMINV(RAND(), $L$6, $L$7)</f>
        <v/>
      </c>
    </row>
    <row r="234">
      <c r="A234" t="inlineStr">
        <is>
          <t>2026-07-27</t>
        </is>
      </c>
      <c r="B234" s="7" t="n">
        <v>326.57</v>
      </c>
      <c r="C234" s="5">
        <f>(B234-B233)/B233</f>
        <v/>
      </c>
      <c r="D234" s="5">
        <f>NORMINV(RAND(), $C$6, $C$7)</f>
        <v/>
      </c>
      <c r="E234" s="5">
        <f>NORMINV(RAND(), $C$6, $C$7)</f>
        <v/>
      </c>
      <c r="F234" s="5">
        <f>NORMINV(RAND(), $C$6, $C$7)</f>
        <v/>
      </c>
      <c r="G234" s="5">
        <f>NORMINV(RAND(), $C$6, $C$7)</f>
        <v/>
      </c>
      <c r="H234" s="5">
        <f>NORMINV(RAND(), $C$6, $C$7)</f>
        <v/>
      </c>
      <c r="J234" t="inlineStr">
        <is>
          <t>2026-07-27</t>
        </is>
      </c>
      <c r="K234" s="7" t="n">
        <v>336.91</v>
      </c>
      <c r="L234" s="5">
        <f>(K234-K233)/K233</f>
        <v/>
      </c>
      <c r="M234" s="5">
        <f>NORMINV(RAND(), $L$6, $L$7)</f>
        <v/>
      </c>
      <c r="N234" s="5">
        <f>NORMINV(RAND(), $L$6, $L$7)</f>
        <v/>
      </c>
      <c r="O234" s="5">
        <f>NORMINV(RAND(), $L$6, $L$7)</f>
        <v/>
      </c>
      <c r="P234" s="5">
        <f>NORMINV(RAND(), $L$6, $L$7)</f>
        <v/>
      </c>
      <c r="Q234" s="5">
        <f>NORMINV(RAND(), $L$6, $L$7)</f>
        <v/>
      </c>
    </row>
    <row r="235">
      <c r="A235" t="inlineStr">
        <is>
          <t>2026-07-28</t>
        </is>
      </c>
      <c r="B235" s="7" t="n">
        <v>332.6</v>
      </c>
      <c r="C235" s="5">
        <f>(B235-B234)/B234</f>
        <v/>
      </c>
      <c r="D235" s="5">
        <f>NORMINV(RAND(), $C$6, $C$7)</f>
        <v/>
      </c>
      <c r="E235" s="5">
        <f>NORMINV(RAND(), $C$6, $C$7)</f>
        <v/>
      </c>
      <c r="F235" s="5">
        <f>NORMINV(RAND(), $C$6, $C$7)</f>
        <v/>
      </c>
      <c r="G235" s="5">
        <f>NORMINV(RAND(), $C$6, $C$7)</f>
        <v/>
      </c>
      <c r="H235" s="5">
        <f>NORMINV(RAND(), $C$6, $C$7)</f>
        <v/>
      </c>
      <c r="J235" t="inlineStr">
        <is>
          <t>2026-07-28</t>
        </is>
      </c>
      <c r="K235" s="7" t="n">
        <v>340.08</v>
      </c>
      <c r="L235" s="5">
        <f>(K235-K234)/K234</f>
        <v/>
      </c>
      <c r="M235" s="5">
        <f>NORMINV(RAND(), $L$6, $L$7)</f>
        <v/>
      </c>
      <c r="N235" s="5">
        <f>NORMINV(RAND(), $L$6, $L$7)</f>
        <v/>
      </c>
      <c r="O235" s="5">
        <f>NORMINV(RAND(), $L$6, $L$7)</f>
        <v/>
      </c>
      <c r="P235" s="5">
        <f>NORMINV(RAND(), $L$6, $L$7)</f>
        <v/>
      </c>
      <c r="Q235" s="5">
        <f>NORMINV(RAND(), $L$6, $L$7)</f>
        <v/>
      </c>
    </row>
    <row r="236">
      <c r="A236" t="inlineStr">
        <is>
          <t>2026-07-29</t>
        </is>
      </c>
      <c r="B236" s="7" t="n">
        <v>335.76</v>
      </c>
      <c r="C236" s="5">
        <f>(B236-B235)/B235</f>
        <v/>
      </c>
      <c r="D236" s="5">
        <f>NORMINV(RAND(), $C$6, $C$7)</f>
        <v/>
      </c>
      <c r="E236" s="5">
        <f>NORMINV(RAND(), $C$6, $C$7)</f>
        <v/>
      </c>
      <c r="F236" s="5">
        <f>NORMINV(RAND(), $C$6, $C$7)</f>
        <v/>
      </c>
      <c r="G236" s="5">
        <f>NORMINV(RAND(), $C$6, $C$7)</f>
        <v/>
      </c>
      <c r="H236" s="5">
        <f>NORMINV(RAND(), $C$6, $C$7)</f>
        <v/>
      </c>
      <c r="J236" t="inlineStr">
        <is>
          <t>2026-07-29</t>
        </is>
      </c>
      <c r="K236" s="7" t="n">
        <v>338.19</v>
      </c>
      <c r="L236" s="5">
        <f>(K236-K235)/K235</f>
        <v/>
      </c>
      <c r="M236" s="5">
        <f>NORMINV(RAND(), $L$6, $L$7)</f>
        <v/>
      </c>
      <c r="N236" s="5">
        <f>NORMINV(RAND(), $L$6, $L$7)</f>
        <v/>
      </c>
      <c r="O236" s="5">
        <f>NORMINV(RAND(), $L$6, $L$7)</f>
        <v/>
      </c>
      <c r="P236" s="5">
        <f>NORMINV(RAND(), $L$6, $L$7)</f>
        <v/>
      </c>
      <c r="Q236" s="5">
        <f>NORMINV(RAND(), $L$6, $L$7)</f>
        <v/>
      </c>
    </row>
    <row r="237">
      <c r="A237" t="inlineStr">
        <is>
          <t>2026-07-30</t>
        </is>
      </c>
      <c r="B237" s="7" t="n">
        <v>333.68</v>
      </c>
      <c r="C237" s="5">
        <f>(B237-B236)/B236</f>
        <v/>
      </c>
      <c r="D237" s="5">
        <f>NORMINV(RAND(), $C$6, $C$7)</f>
        <v/>
      </c>
      <c r="E237" s="5">
        <f>NORMINV(RAND(), $C$6, $C$7)</f>
        <v/>
      </c>
      <c r="F237" s="5">
        <f>NORMINV(RAND(), $C$6, $C$7)</f>
        <v/>
      </c>
      <c r="G237" s="5">
        <f>NORMINV(RAND(), $C$6, $C$7)</f>
        <v/>
      </c>
      <c r="H237" s="5">
        <f>NORMINV(RAND(), $C$6, $C$7)</f>
        <v/>
      </c>
      <c r="J237" t="inlineStr">
        <is>
          <t>2026-07-30</t>
        </is>
      </c>
      <c r="K237" s="7" t="n">
        <v>333.43</v>
      </c>
      <c r="L237" s="5">
        <f>(K237-K236)/K236</f>
        <v/>
      </c>
      <c r="M237" s="5">
        <f>NORMINV(RAND(), $L$6, $L$7)</f>
        <v/>
      </c>
      <c r="N237" s="5">
        <f>NORMINV(RAND(), $L$6, $L$7)</f>
        <v/>
      </c>
      <c r="O237" s="5">
        <f>NORMINV(RAND(), $L$6, $L$7)</f>
        <v/>
      </c>
      <c r="P237" s="5">
        <f>NORMINV(RAND(), $L$6, $L$7)</f>
        <v/>
      </c>
      <c r="Q237" s="5">
        <f>NORMINV(RAND(), $L$6, $L$7)</f>
        <v/>
      </c>
    </row>
    <row r="238">
      <c r="A238" t="inlineStr">
        <is>
          <t>2026-07-31</t>
        </is>
      </c>
      <c r="B238" s="7" t="n">
        <v>356.65</v>
      </c>
      <c r="C238" s="5">
        <f>(B238-B237)/B237</f>
        <v/>
      </c>
      <c r="D238" s="5">
        <f>NORMINV(RAND(), $C$6, $C$7)</f>
        <v/>
      </c>
      <c r="E238" s="5">
        <f>NORMINV(RAND(), $C$6, $C$7)</f>
        <v/>
      </c>
      <c r="F238" s="5">
        <f>NORMINV(RAND(), $C$6, $C$7)</f>
        <v/>
      </c>
      <c r="G238" s="5">
        <f>NORMINV(RAND(), $C$6, $C$7)</f>
        <v/>
      </c>
      <c r="H238" s="5">
        <f>NORMINV(RAND(), $C$6, $C$7)</f>
        <v/>
      </c>
      <c r="J238" t="inlineStr">
        <is>
          <t>2026-07-31</t>
        </is>
      </c>
      <c r="K238" s="7" t="n">
        <v>308.91</v>
      </c>
      <c r="L238" s="5">
        <f>(K238-K237)/K237</f>
        <v/>
      </c>
      <c r="M238" s="5">
        <f>NORMINV(RAND(), $L$6, $L$7)</f>
        <v/>
      </c>
      <c r="N238" s="5">
        <f>NORMINV(RAND(), $L$6, $L$7)</f>
        <v/>
      </c>
      <c r="O238" s="5">
        <f>NORMINV(RAND(), $L$6, $L$7)</f>
        <v/>
      </c>
      <c r="P238" s="5">
        <f>NORMINV(RAND(), $L$6, $L$7)</f>
        <v/>
      </c>
      <c r="Q238" s="5">
        <f>NORMINV(RAND(), $L$6, $L$7)</f>
        <v/>
      </c>
    </row>
    <row r="239">
      <c r="A239" t="inlineStr">
        <is>
          <t>2026-08-03</t>
        </is>
      </c>
      <c r="B239" s="7" t="n">
        <v>372.47</v>
      </c>
      <c r="C239" s="5">
        <f>(B239-B238)/B238</f>
        <v/>
      </c>
      <c r="D239" s="5">
        <f>NORMINV(RAND(), $C$6, $C$7)</f>
        <v/>
      </c>
      <c r="E239" s="5">
        <f>NORMINV(RAND(), $C$6, $C$7)</f>
        <v/>
      </c>
      <c r="F239" s="5">
        <f>NORMINV(RAND(), $C$6, $C$7)</f>
        <v/>
      </c>
      <c r="G239" s="5">
        <f>NORMINV(RAND(), $C$6, $C$7)</f>
        <v/>
      </c>
      <c r="H239" s="5">
        <f>NORMINV(RAND(), $C$6, $C$7)</f>
        <v/>
      </c>
      <c r="J239" t="inlineStr">
        <is>
          <t>2026-08-03</t>
        </is>
      </c>
      <c r="K239" s="7" t="n">
        <v>303.42</v>
      </c>
      <c r="L239" s="5">
        <f>(K239-K238)/K238</f>
        <v/>
      </c>
      <c r="M239" s="5">
        <f>NORMINV(RAND(), $L$6, $L$7)</f>
        <v/>
      </c>
      <c r="N239" s="5">
        <f>NORMINV(RAND(), $L$6, $L$7)</f>
        <v/>
      </c>
      <c r="O239" s="5">
        <f>NORMINV(RAND(), $L$6, $L$7)</f>
        <v/>
      </c>
      <c r="P239" s="5">
        <f>NORMINV(RAND(), $L$6, $L$7)</f>
        <v/>
      </c>
      <c r="Q239" s="5">
        <f>NORMINV(RAND(), $L$6, $L$7)</f>
        <v/>
      </c>
    </row>
    <row r="240">
      <c r="A240" t="inlineStr">
        <is>
          <t>2026-08-04</t>
        </is>
      </c>
      <c r="B240" s="7" t="n">
        <v>375.35</v>
      </c>
      <c r="C240" s="5">
        <f>(B240-B239)/B239</f>
        <v/>
      </c>
      <c r="D240" s="5">
        <f>NORMINV(RAND(), $C$6, $C$7)</f>
        <v/>
      </c>
      <c r="E240" s="5">
        <f>NORMINV(RAND(), $C$6, $C$7)</f>
        <v/>
      </c>
      <c r="F240" s="5">
        <f>NORMINV(RAND(), $C$6, $C$7)</f>
        <v/>
      </c>
      <c r="G240" s="5">
        <f>NORMINV(RAND(), $C$6, $C$7)</f>
        <v/>
      </c>
      <c r="H240" s="5">
        <f>NORMINV(RAND(), $C$6, $C$7)</f>
        <v/>
      </c>
      <c r="J240" t="inlineStr">
        <is>
          <t>2026-08-04</t>
        </is>
      </c>
      <c r="K240" s="7" t="n">
        <v>309.38</v>
      </c>
      <c r="L240" s="5">
        <f>(K240-K239)/K239</f>
        <v/>
      </c>
      <c r="M240" s="5">
        <f>NORMINV(RAND(), $L$6, $L$7)</f>
        <v/>
      </c>
      <c r="N240" s="5">
        <f>NORMINV(RAND(), $L$6, $L$7)</f>
        <v/>
      </c>
      <c r="O240" s="5">
        <f>NORMINV(RAND(), $L$6, $L$7)</f>
        <v/>
      </c>
      <c r="P240" s="5">
        <f>NORMINV(RAND(), $L$6, $L$7)</f>
        <v/>
      </c>
      <c r="Q240" s="5">
        <f>NORMINV(RAND(), $L$6, $L$7)</f>
        <v/>
      </c>
    </row>
    <row r="241">
      <c r="A241" t="inlineStr">
        <is>
          <t>2026-08-05</t>
        </is>
      </c>
      <c r="B241" s="7" t="n">
        <v>360.13</v>
      </c>
      <c r="C241" s="5">
        <f>(B241-B240)/B240</f>
        <v/>
      </c>
      <c r="D241" s="5">
        <f>NORMINV(RAND(), $C$6, $C$7)</f>
        <v/>
      </c>
      <c r="E241" s="5">
        <f>NORMINV(RAND(), $C$6, $C$7)</f>
        <v/>
      </c>
      <c r="F241" s="5">
        <f>NORMINV(RAND(), $C$6, $C$7)</f>
        <v/>
      </c>
      <c r="G241" s="5">
        <f>NORMINV(RAND(), $C$6, $C$7)</f>
        <v/>
      </c>
      <c r="H241" s="5">
        <f>NORMINV(RAND(), $C$6, $C$7)</f>
        <v/>
      </c>
      <c r="J241" t="inlineStr">
        <is>
          <t>2026-08-05</t>
        </is>
      </c>
      <c r="K241" s="7" t="n">
        <v>311</v>
      </c>
      <c r="L241" s="5">
        <f>(K241-K240)/K240</f>
        <v/>
      </c>
      <c r="M241" s="5">
        <f>NORMINV(RAND(), $L$6, $L$7)</f>
        <v/>
      </c>
      <c r="N241" s="5">
        <f>NORMINV(RAND(), $L$6, $L$7)</f>
        <v/>
      </c>
      <c r="O241" s="5">
        <f>NORMINV(RAND(), $L$6, $L$7)</f>
        <v/>
      </c>
      <c r="P241" s="5">
        <f>NORMINV(RAND(), $L$6, $L$7)</f>
        <v/>
      </c>
      <c r="Q241" s="5">
        <f>NORMINV(RAND(), $L$6, $L$7)</f>
        <v/>
      </c>
    </row>
    <row r="242">
      <c r="A242" t="inlineStr">
        <is>
          <t>2026-08-06</t>
        </is>
      </c>
      <c r="B242" s="7" t="n">
        <v>356.62</v>
      </c>
      <c r="C242" s="5">
        <f>(B242-B241)/B241</f>
        <v/>
      </c>
      <c r="D242" s="5">
        <f>NORMINV(RAND(), $C$6, $C$7)</f>
        <v/>
      </c>
      <c r="E242" s="5">
        <f>NORMINV(RAND(), $C$6, $C$7)</f>
        <v/>
      </c>
      <c r="F242" s="5">
        <f>NORMINV(RAND(), $C$6, $C$7)</f>
        <v/>
      </c>
      <c r="G242" s="5">
        <f>NORMINV(RAND(), $C$6, $C$7)</f>
        <v/>
      </c>
      <c r="H242" s="5">
        <f>NORMINV(RAND(), $C$6, $C$7)</f>
        <v/>
      </c>
      <c r="J242" t="inlineStr">
        <is>
          <t>2026-08-06</t>
        </is>
      </c>
      <c r="K242" s="7" t="n">
        <v>312.41</v>
      </c>
      <c r="L242" s="5">
        <f>(K242-K241)/K241</f>
        <v/>
      </c>
      <c r="M242" s="5">
        <f>NORMINV(RAND(), $L$6, $L$7)</f>
        <v/>
      </c>
      <c r="N242" s="5">
        <f>NORMINV(RAND(), $L$6, $L$7)</f>
        <v/>
      </c>
      <c r="O242" s="5">
        <f>NORMINV(RAND(), $L$6, $L$7)</f>
        <v/>
      </c>
      <c r="P242" s="5">
        <f>NORMINV(RAND(), $L$6, $L$7)</f>
        <v/>
      </c>
      <c r="Q242" s="5">
        <f>NORMINV(RAND(), $L$6, $L$7)</f>
        <v/>
      </c>
    </row>
    <row r="243">
      <c r="A243" t="inlineStr">
        <is>
          <t>2026-08-07</t>
        </is>
      </c>
      <c r="B243" s="7" t="n">
        <v>353.47</v>
      </c>
      <c r="C243" s="5">
        <f>(B243-B242)/B242</f>
        <v/>
      </c>
      <c r="D243" s="5">
        <f>NORMINV(RAND(), $C$6, $C$7)</f>
        <v/>
      </c>
      <c r="E243" s="5">
        <f>NORMINV(RAND(), $C$6, $C$7)</f>
        <v/>
      </c>
      <c r="F243" s="5">
        <f>NORMINV(RAND(), $C$6, $C$7)</f>
        <v/>
      </c>
      <c r="G243" s="5">
        <f>NORMINV(RAND(), $C$6, $C$7)</f>
        <v/>
      </c>
      <c r="H243" s="5">
        <f>NORMINV(RAND(), $C$6, $C$7)</f>
        <v/>
      </c>
      <c r="J243" t="inlineStr">
        <is>
          <t>2026-08-07</t>
        </is>
      </c>
      <c r="K243" s="7" t="n">
        <v>313.33</v>
      </c>
      <c r="L243" s="5">
        <f>(K243-K242)/K242</f>
        <v/>
      </c>
      <c r="M243" s="5">
        <f>NORMINV(RAND(), $L$6, $L$7)</f>
        <v/>
      </c>
      <c r="N243" s="5">
        <f>NORMINV(RAND(), $L$6, $L$7)</f>
        <v/>
      </c>
      <c r="O243" s="5">
        <f>NORMINV(RAND(), $L$6, $L$7)</f>
        <v/>
      </c>
      <c r="P243" s="5">
        <f>NORMINV(RAND(), $L$6, $L$7)</f>
        <v/>
      </c>
      <c r="Q243" s="5">
        <f>NORMINV(RAND(), $L$6, $L$7)</f>
        <v/>
      </c>
    </row>
    <row r="244">
      <c r="A244" t="inlineStr">
        <is>
          <t>2026-08-10</t>
        </is>
      </c>
      <c r="B244" s="7" t="n">
        <v>355.84</v>
      </c>
      <c r="C244" s="5">
        <f>(B244-B243)/B243</f>
        <v/>
      </c>
      <c r="D244" s="5">
        <f>NORMINV(RAND(), $C$6, $C$7)</f>
        <v/>
      </c>
      <c r="E244" s="5">
        <f>NORMINV(RAND(), $C$6, $C$7)</f>
        <v/>
      </c>
      <c r="F244" s="5">
        <f>NORMINV(RAND(), $C$6, $C$7)</f>
        <v/>
      </c>
      <c r="G244" s="5">
        <f>NORMINV(RAND(), $C$6, $C$7)</f>
        <v/>
      </c>
      <c r="H244" s="5">
        <f>NORMINV(RAND(), $C$6, $C$7)</f>
        <v/>
      </c>
      <c r="J244" t="inlineStr">
        <is>
          <t>2026-08-10</t>
        </is>
      </c>
      <c r="K244" s="7" t="n">
        <v>308.26</v>
      </c>
      <c r="L244" s="5">
        <f>(K244-K243)/K243</f>
        <v/>
      </c>
      <c r="M244" s="5">
        <f>NORMINV(RAND(), $L$6, $L$7)</f>
        <v/>
      </c>
      <c r="N244" s="5">
        <f>NORMINV(RAND(), $L$6, $L$7)</f>
        <v/>
      </c>
      <c r="O244" s="5">
        <f>NORMINV(RAND(), $L$6, $L$7)</f>
        <v/>
      </c>
      <c r="P244" s="5">
        <f>NORMINV(RAND(), $L$6, $L$7)</f>
        <v/>
      </c>
      <c r="Q244" s="5">
        <f>NORMINV(RAND(), $L$6, $L$7)</f>
        <v/>
      </c>
    </row>
    <row r="245">
      <c r="A245" t="inlineStr">
        <is>
          <t>2026-08-11</t>
        </is>
      </c>
      <c r="B245" s="7" t="n">
        <v>343</v>
      </c>
      <c r="C245" s="5">
        <f>(B245-B244)/B244</f>
        <v/>
      </c>
      <c r="D245" s="5">
        <f>NORMINV(RAND(), $C$6, $C$7)</f>
        <v/>
      </c>
      <c r="E245" s="5">
        <f>NORMINV(RAND(), $C$6, $C$7)</f>
        <v/>
      </c>
      <c r="F245" s="5">
        <f>NORMINV(RAND(), $C$6, $C$7)</f>
        <v/>
      </c>
      <c r="G245" s="5">
        <f>NORMINV(RAND(), $C$6, $C$7)</f>
        <v/>
      </c>
      <c r="H245" s="5">
        <f>NORMINV(RAND(), $C$6, $C$7)</f>
        <v/>
      </c>
      <c r="J245" t="inlineStr">
        <is>
          <t>2026-08-11</t>
        </is>
      </c>
      <c r="K245" s="7" t="n">
        <v>304.91</v>
      </c>
      <c r="L245" s="5">
        <f>(K245-K244)/K244</f>
        <v/>
      </c>
      <c r="M245" s="5">
        <f>NORMINV(RAND(), $L$6, $L$7)</f>
        <v/>
      </c>
      <c r="N245" s="5">
        <f>NORMINV(RAND(), $L$6, $L$7)</f>
        <v/>
      </c>
      <c r="O245" s="5">
        <f>NORMINV(RAND(), $L$6, $L$7)</f>
        <v/>
      </c>
      <c r="P245" s="5">
        <f>NORMINV(RAND(), $L$6, $L$7)</f>
        <v/>
      </c>
      <c r="Q245" s="5">
        <f>NORMINV(RAND(), $L$6, $L$7)</f>
        <v/>
      </c>
    </row>
    <row r="246">
      <c r="A246" t="inlineStr">
        <is>
          <t>2026-08-12</t>
        </is>
      </c>
      <c r="B246" s="7" t="n">
        <v>342.37</v>
      </c>
      <c r="C246" s="5">
        <f>(B246-B245)/B245</f>
        <v/>
      </c>
      <c r="D246" s="5">
        <f>NORMINV(RAND(), $C$6, $C$7)</f>
        <v/>
      </c>
      <c r="E246" s="5">
        <f>NORMINV(RAND(), $C$6, $C$7)</f>
        <v/>
      </c>
      <c r="F246" s="5">
        <f>NORMINV(RAND(), $C$6, $C$7)</f>
        <v/>
      </c>
      <c r="G246" s="5">
        <f>NORMINV(RAND(), $C$6, $C$7)</f>
        <v/>
      </c>
      <c r="H246" s="5">
        <f>NORMINV(RAND(), $C$6, $C$7)</f>
        <v/>
      </c>
      <c r="J246" t="inlineStr">
        <is>
          <t>2026-08-12</t>
        </is>
      </c>
      <c r="K246" s="7" t="n">
        <v>302.25</v>
      </c>
      <c r="L246" s="5">
        <f>(K246-K245)/K245</f>
        <v/>
      </c>
      <c r="M246" s="5">
        <f>NORMINV(RAND(), $L$6, $L$7)</f>
        <v/>
      </c>
      <c r="N246" s="5">
        <f>NORMINV(RAND(), $L$6, $L$7)</f>
        <v/>
      </c>
      <c r="O246" s="5">
        <f>NORMINV(RAND(), $L$6, $L$7)</f>
        <v/>
      </c>
      <c r="P246" s="5">
        <f>NORMINV(RAND(), $L$6, $L$7)</f>
        <v/>
      </c>
      <c r="Q246" s="5">
        <f>NORMINV(RAND(), $L$6, $L$7)</f>
        <v/>
      </c>
    </row>
    <row r="247">
      <c r="A247" t="inlineStr">
        <is>
          <t>2026-08-13</t>
        </is>
      </c>
      <c r="B247" s="7" t="n">
        <v>343.94</v>
      </c>
      <c r="C247" s="5">
        <f>(B247-B246)/B246</f>
        <v/>
      </c>
      <c r="D247" s="5">
        <f>NORMINV(RAND(), $C$6, $C$7)</f>
        <v/>
      </c>
      <c r="E247" s="5">
        <f>NORMINV(RAND(), $C$6, $C$7)</f>
        <v/>
      </c>
      <c r="F247" s="5">
        <f>NORMINV(RAND(), $C$6, $C$7)</f>
        <v/>
      </c>
      <c r="G247" s="5">
        <f>NORMINV(RAND(), $C$6, $C$7)</f>
        <v/>
      </c>
      <c r="H247" s="5">
        <f>NORMINV(RAND(), $C$6, $C$7)</f>
        <v/>
      </c>
      <c r="J247" t="inlineStr">
        <is>
          <t>2026-08-13</t>
        </is>
      </c>
      <c r="K247" s="7" t="n">
        <v>305.26</v>
      </c>
      <c r="L247" s="5">
        <f>(K247-K246)/K246</f>
        <v/>
      </c>
      <c r="M247" s="5">
        <f>NORMINV(RAND(), $L$6, $L$7)</f>
        <v/>
      </c>
      <c r="N247" s="5">
        <f>NORMINV(RAND(), $L$6, $L$7)</f>
        <v/>
      </c>
      <c r="O247" s="5">
        <f>NORMINV(RAND(), $L$6, $L$7)</f>
        <v/>
      </c>
      <c r="P247" s="5">
        <f>NORMINV(RAND(), $L$6, $L$7)</f>
        <v/>
      </c>
      <c r="Q247" s="5">
        <f>NORMINV(RAND(), $L$6, $L$7)</f>
        <v/>
      </c>
    </row>
    <row r="248">
      <c r="A248" t="inlineStr">
        <is>
          <t>2026-08-14</t>
        </is>
      </c>
      <c r="B248" s="7" t="n">
        <v>343.54</v>
      </c>
      <c r="C248" s="5">
        <f>(B248-B247)/B247</f>
        <v/>
      </c>
      <c r="D248" s="5">
        <f>NORMINV(RAND(), $C$6, $C$7)</f>
        <v/>
      </c>
      <c r="E248" s="5">
        <f>NORMINV(RAND(), $C$6, $C$7)</f>
        <v/>
      </c>
      <c r="F248" s="5">
        <f>NORMINV(RAND(), $C$6, $C$7)</f>
        <v/>
      </c>
      <c r="G248" s="5">
        <f>NORMINV(RAND(), $C$6, $C$7)</f>
        <v/>
      </c>
      <c r="H248" s="5">
        <f>NORMINV(RAND(), $C$6, $C$7)</f>
        <v/>
      </c>
      <c r="J248" t="inlineStr">
        <is>
          <t>2026-08-14</t>
        </is>
      </c>
      <c r="K248" s="7" t="n">
        <v>305.93</v>
      </c>
      <c r="L248" s="5">
        <f>(K248-K247)/K247</f>
        <v/>
      </c>
      <c r="M248" s="5">
        <f>NORMINV(RAND(), $L$6, $L$7)</f>
        <v/>
      </c>
      <c r="N248" s="5">
        <f>NORMINV(RAND(), $L$6, $L$7)</f>
        <v/>
      </c>
      <c r="O248" s="5">
        <f>NORMINV(RAND(), $L$6, $L$7)</f>
        <v/>
      </c>
      <c r="P248" s="5">
        <f>NORMINV(RAND(), $L$6, $L$7)</f>
        <v/>
      </c>
      <c r="Q248" s="5">
        <f>NORMINV(RAND(), $L$6, $L$7)</f>
        <v/>
      </c>
    </row>
    <row r="249">
      <c r="A249" t="inlineStr">
        <is>
          <t>2026-08-17</t>
        </is>
      </c>
      <c r="B249" s="7" t="n">
        <v>341.45</v>
      </c>
      <c r="C249" s="5">
        <f>(B249-B248)/B248</f>
        <v/>
      </c>
      <c r="D249" s="5">
        <f>NORMINV(RAND(), $C$6, $C$7)</f>
        <v/>
      </c>
      <c r="E249" s="5">
        <f>NORMINV(RAND(), $C$6, $C$7)</f>
        <v/>
      </c>
      <c r="F249" s="5">
        <f>NORMINV(RAND(), $C$6, $C$7)</f>
        <v/>
      </c>
      <c r="G249" s="5">
        <f>NORMINV(RAND(), $C$6, $C$7)</f>
        <v/>
      </c>
      <c r="H249" s="5">
        <f>NORMINV(RAND(), $C$6, $C$7)</f>
        <v/>
      </c>
      <c r="J249" t="inlineStr">
        <is>
          <t>2026-08-17</t>
        </is>
      </c>
      <c r="K249" s="7" t="n">
        <v>305.59</v>
      </c>
      <c r="L249" s="5">
        <f>(K249-K248)/K248</f>
        <v/>
      </c>
      <c r="M249" s="5">
        <f>NORMINV(RAND(), $L$6, $L$7)</f>
        <v/>
      </c>
      <c r="N249" s="5">
        <f>NORMINV(RAND(), $L$6, $L$7)</f>
        <v/>
      </c>
      <c r="O249" s="5">
        <f>NORMINV(RAND(), $L$6, $L$7)</f>
        <v/>
      </c>
      <c r="P249" s="5">
        <f>NORMINV(RAND(), $L$6, $L$7)</f>
        <v/>
      </c>
      <c r="Q249" s="5">
        <f>NORMINV(RAND(), $L$6, $L$7)</f>
        <v/>
      </c>
    </row>
    <row r="250">
      <c r="A250" t="inlineStr">
        <is>
          <t>2026-08-18</t>
        </is>
      </c>
      <c r="B250" s="7" t="n">
        <v>341.28</v>
      </c>
      <c r="C250" s="5">
        <f>(B250-B249)/B249</f>
        <v/>
      </c>
      <c r="D250" s="5">
        <f>NORMINV(RAND(), $C$6, $C$7)</f>
        <v/>
      </c>
      <c r="E250" s="5">
        <f>NORMINV(RAND(), $C$6, $C$7)</f>
        <v/>
      </c>
      <c r="F250" s="5">
        <f>NORMINV(RAND(), $C$6, $C$7)</f>
        <v/>
      </c>
      <c r="G250" s="5">
        <f>NORMINV(RAND(), $C$6, $C$7)</f>
        <v/>
      </c>
      <c r="H250" s="5">
        <f>NORMINV(RAND(), $C$6, $C$7)</f>
        <v/>
      </c>
      <c r="J250" t="inlineStr">
        <is>
          <t>2026-08-18</t>
        </is>
      </c>
      <c r="K250" s="7" t="n">
        <v>310.03</v>
      </c>
      <c r="L250" s="5">
        <f>(K250-K249)/K249</f>
        <v/>
      </c>
      <c r="M250" s="5">
        <f>NORMINV(RAND(), $L$6, $L$7)</f>
        <v/>
      </c>
      <c r="N250" s="5">
        <f>NORMINV(RAND(), $L$6, $L$7)</f>
        <v/>
      </c>
      <c r="O250" s="5">
        <f>NORMINV(RAND(), $L$6, $L$7)</f>
        <v/>
      </c>
      <c r="P250" s="5">
        <f>NORMINV(RAND(), $L$6, $L$7)</f>
        <v/>
      </c>
      <c r="Q250" s="5">
        <f>NORMINV(RAND(), $L$6, $L$7)</f>
        <v/>
      </c>
    </row>
    <row r="251">
      <c r="A251" t="inlineStr">
        <is>
          <t>2026-08-19</t>
        </is>
      </c>
      <c r="B251" s="7" t="n">
        <v>341.7</v>
      </c>
      <c r="C251" s="5">
        <f>(B251-B250)/B250</f>
        <v/>
      </c>
      <c r="D251" s="5">
        <f>NORMINV(RAND(), $C$6, $C$7)</f>
        <v/>
      </c>
      <c r="E251" s="5">
        <f>NORMINV(RAND(), $C$6, $C$7)</f>
        <v/>
      </c>
      <c r="F251" s="5">
        <f>NORMINV(RAND(), $C$6, $C$7)</f>
        <v/>
      </c>
      <c r="G251" s="5">
        <f>NORMINV(RAND(), $C$6, $C$7)</f>
        <v/>
      </c>
      <c r="H251" s="5">
        <f>NORMINV(RAND(), $C$6, $C$7)</f>
        <v/>
      </c>
      <c r="J251" t="inlineStr">
        <is>
          <t>2026-08-19</t>
        </is>
      </c>
      <c r="K251" s="7" t="n">
        <v>316.83</v>
      </c>
      <c r="L251" s="5">
        <f>(K251-K250)/K250</f>
        <v/>
      </c>
      <c r="M251" s="5">
        <f>NORMINV(RAND(), $L$6, $L$7)</f>
        <v/>
      </c>
      <c r="N251" s="5">
        <f>NORMINV(RAND(), $L$6, $L$7)</f>
        <v/>
      </c>
      <c r="O251" s="5">
        <f>NORMINV(RAND(), $L$6, $L$7)</f>
        <v/>
      </c>
      <c r="P251" s="5">
        <f>NORMINV(RAND(), $L$6, $L$7)</f>
        <v/>
      </c>
      <c r="Q251" s="5">
        <f>NORMINV(RAND(), $L$6, $L$7)</f>
        <v/>
      </c>
    </row>
    <row r="252">
      <c r="A252" t="inlineStr">
        <is>
          <t>2026-08-20</t>
        </is>
      </c>
      <c r="B252" s="7" t="n">
        <v>338.2</v>
      </c>
      <c r="C252" s="5">
        <f>(B252-B251)/B251</f>
        <v/>
      </c>
      <c r="D252" s="5">
        <f>NORMINV(RAND(), $C$6, $C$7)</f>
        <v/>
      </c>
      <c r="E252" s="5">
        <f>NORMINV(RAND(), $C$6, $C$7)</f>
        <v/>
      </c>
      <c r="F252" s="5">
        <f>NORMINV(RAND(), $C$6, $C$7)</f>
        <v/>
      </c>
      <c r="G252" s="5">
        <f>NORMINV(RAND(), $C$6, $C$7)</f>
        <v/>
      </c>
      <c r="H252" s="5">
        <f>NORMINV(RAND(), $C$6, $C$7)</f>
        <v/>
      </c>
      <c r="J252" t="inlineStr">
        <is>
          <t>2026-08-20</t>
        </is>
      </c>
      <c r="K252" s="7" t="n">
        <v>311.3</v>
      </c>
      <c r="L252" s="5">
        <f>(K252-K251)/K251</f>
        <v/>
      </c>
      <c r="M252" s="5">
        <f>NORMINV(RAND(), $L$6, $L$7)</f>
        <v/>
      </c>
      <c r="N252" s="5">
        <f>NORMINV(RAND(), $L$6, $L$7)</f>
        <v/>
      </c>
      <c r="O252" s="5">
        <f>NORMINV(RAND(), $L$6, $L$7)</f>
        <v/>
      </c>
      <c r="P252" s="5">
        <f>NORMINV(RAND(), $L$6, $L$7)</f>
        <v/>
      </c>
      <c r="Q252" s="5">
        <f>NORMINV(RAND(), $L$6, $L$7)</f>
        <v/>
      </c>
    </row>
    <row r="253">
      <c r="A253" t="inlineStr">
        <is>
          <t>2026-08-21</t>
        </is>
      </c>
      <c r="B253" s="7" t="n">
        <v>341.75</v>
      </c>
      <c r="C253" s="5">
        <f>(B253-B252)/B252</f>
        <v/>
      </c>
      <c r="D253" s="5">
        <f>NORMINV(RAND(), $C$6, $C$7)</f>
        <v/>
      </c>
      <c r="E253" s="5">
        <f>NORMINV(RAND(), $C$6, $C$7)</f>
        <v/>
      </c>
      <c r="F253" s="5">
        <f>NORMINV(RAND(), $C$6, $C$7)</f>
        <v/>
      </c>
      <c r="G253" s="5">
        <f>NORMINV(RAND(), $C$6, $C$7)</f>
        <v/>
      </c>
      <c r="H253" s="5">
        <f>NORMINV(RAND(), $C$6, $C$7)</f>
        <v/>
      </c>
      <c r="J253" t="inlineStr">
        <is>
          <t>2026-08-21</t>
        </is>
      </c>
      <c r="K253" s="7" t="n">
        <v>309.35</v>
      </c>
      <c r="L253" s="5">
        <f>(K253-K252)/K252</f>
        <v/>
      </c>
      <c r="M253" s="5">
        <f>NORMINV(RAND(), $L$6, $L$7)</f>
        <v/>
      </c>
      <c r="N253" s="5">
        <f>NORMINV(RAND(), $L$6, $L$7)</f>
        <v/>
      </c>
      <c r="O253" s="5">
        <f>NORMINV(RAND(), $L$6, $L$7)</f>
        <v/>
      </c>
      <c r="P253" s="5">
        <f>NORMINV(RAND(), $L$6, $L$7)</f>
        <v/>
      </c>
      <c r="Q253" s="5">
        <f>NORMINV(RAND(), $L$6, $L$7)</f>
        <v/>
      </c>
    </row>
    <row r="254">
      <c r="A254" t="inlineStr">
        <is>
          <t>2026-08-24</t>
        </is>
      </c>
      <c r="B254" s="7" t="n">
        <v>344.59</v>
      </c>
      <c r="C254" s="5">
        <f>(B254-B253)/B253</f>
        <v/>
      </c>
      <c r="D254" s="5">
        <f>NORMINV(RAND(), $C$6, $C$7)</f>
        <v/>
      </c>
      <c r="E254" s="5">
        <f>NORMINV(RAND(), $C$6, $C$7)</f>
        <v/>
      </c>
      <c r="F254" s="5">
        <f>NORMINV(RAND(), $C$6, $C$7)</f>
        <v/>
      </c>
      <c r="G254" s="5">
        <f>NORMINV(RAND(), $C$6, $C$7)</f>
        <v/>
      </c>
      <c r="H254" s="5">
        <f>NORMINV(RAND(), $C$6, $C$7)</f>
        <v/>
      </c>
      <c r="J254" t="inlineStr">
        <is>
          <t>2026-08-24</t>
        </is>
      </c>
      <c r="K254" s="7" t="n">
        <v>310.34</v>
      </c>
      <c r="L254" s="5">
        <f>(K254-K253)/K253</f>
        <v/>
      </c>
      <c r="M254" s="5">
        <f>NORMINV(RAND(), $L$6, $L$7)</f>
        <v/>
      </c>
      <c r="N254" s="5">
        <f>NORMINV(RAND(), $L$6, $L$7)</f>
        <v/>
      </c>
      <c r="O254" s="5">
        <f>NORMINV(RAND(), $L$6, $L$7)</f>
        <v/>
      </c>
      <c r="P254" s="5">
        <f>NORMINV(RAND(), $L$6, $L$7)</f>
        <v/>
      </c>
      <c r="Q254" s="5">
        <f>NORMINV(RAND(), $L$6, $L$7)</f>
        <v/>
      </c>
    </row>
    <row r="255">
      <c r="A255" t="inlineStr">
        <is>
          <t>2026-08-25</t>
        </is>
      </c>
      <c r="B255" s="7" t="n">
        <v>343.34</v>
      </c>
      <c r="C255" s="5">
        <f>(B255-B254)/B254</f>
        <v/>
      </c>
      <c r="D255" s="5">
        <f>NORMINV(RAND(), $C$6, $C$7)</f>
        <v/>
      </c>
      <c r="E255" s="5">
        <f>NORMINV(RAND(), $C$6, $C$7)</f>
        <v/>
      </c>
      <c r="F255" s="5">
        <f>NORMINV(RAND(), $C$6, $C$7)</f>
        <v/>
      </c>
      <c r="G255" s="5">
        <f>NORMINV(RAND(), $C$6, $C$7)</f>
        <v/>
      </c>
      <c r="H255" s="5">
        <f>NORMINV(RAND(), $C$6, $C$7)</f>
        <v/>
      </c>
      <c r="J255" t="inlineStr">
        <is>
          <t>2026-08-25</t>
        </is>
      </c>
      <c r="K255" s="7" t="n">
        <v>309.9</v>
      </c>
      <c r="L255" s="5">
        <f>(K255-K254)/K254</f>
        <v/>
      </c>
      <c r="M255" s="5">
        <f>NORMINV(RAND(), $L$6, $L$7)</f>
        <v/>
      </c>
      <c r="N255" s="5">
        <f>NORMINV(RAND(), $L$6, $L$7)</f>
        <v/>
      </c>
      <c r="O255" s="5">
        <f>NORMINV(RAND(), $L$6, $L$7)</f>
        <v/>
      </c>
      <c r="P255" s="5">
        <f>NORMINV(RAND(), $L$6, $L$7)</f>
        <v/>
      </c>
      <c r="Q255" s="5">
        <f>NORMINV(RAND(), $L$6, $L$7)</f>
        <v/>
      </c>
    </row>
    <row r="256">
      <c r="A256" t="inlineStr">
        <is>
          <t>2026-08-26</t>
        </is>
      </c>
      <c r="B256" s="7" t="n">
        <v>339.1</v>
      </c>
      <c r="C256" s="5">
        <f>(B256-B255)/B255</f>
        <v/>
      </c>
      <c r="D256" s="5">
        <f>NORMINV(RAND(), $C$6, $C$7)</f>
        <v/>
      </c>
      <c r="E256" s="5">
        <f>NORMINV(RAND(), $C$6, $C$7)</f>
        <v/>
      </c>
      <c r="F256" s="5">
        <f>NORMINV(RAND(), $C$6, $C$7)</f>
        <v/>
      </c>
      <c r="G256" s="5">
        <f>NORMINV(RAND(), $C$6, $C$7)</f>
        <v/>
      </c>
      <c r="H256" s="5">
        <f>NORMINV(RAND(), $C$6, $C$7)</f>
        <v/>
      </c>
      <c r="J256" t="inlineStr">
        <is>
          <t>2026-08-26</t>
        </is>
      </c>
      <c r="K256" s="7" t="n">
        <v>313.45</v>
      </c>
      <c r="L256" s="5">
        <f>(K256-K255)/K255</f>
        <v/>
      </c>
      <c r="M256" s="5">
        <f>NORMINV(RAND(), $L$6, $L$7)</f>
        <v/>
      </c>
      <c r="N256" s="5">
        <f>NORMINV(RAND(), $L$6, $L$7)</f>
        <v/>
      </c>
      <c r="O256" s="5">
        <f>NORMINV(RAND(), $L$6, $L$7)</f>
        <v/>
      </c>
      <c r="P256" s="5">
        <f>NORMINV(RAND(), $L$6, $L$7)</f>
        <v/>
      </c>
      <c r="Q256" s="5">
        <f>NORMINV(RAND(), $L$6, $L$7)</f>
        <v/>
      </c>
    </row>
    <row r="257">
      <c r="A257" t="inlineStr">
        <is>
          <t>2026-08-27</t>
        </is>
      </c>
      <c r="B257" s="7" t="n">
        <v>337.71</v>
      </c>
      <c r="C257" s="5">
        <f>(B257-B256)/B256</f>
        <v/>
      </c>
      <c r="D257" s="5">
        <f>NORMINV(RAND(), $C$6, $C$7)</f>
        <v/>
      </c>
      <c r="E257" s="5">
        <f>NORMINV(RAND(), $C$6, $C$7)</f>
        <v/>
      </c>
      <c r="F257" s="5">
        <f>NORMINV(RAND(), $C$6, $C$7)</f>
        <v/>
      </c>
      <c r="G257" s="5">
        <f>NORMINV(RAND(), $C$6, $C$7)</f>
        <v/>
      </c>
      <c r="H257" s="5">
        <f>NORMINV(RAND(), $C$6, $C$7)</f>
        <v/>
      </c>
      <c r="J257" t="inlineStr">
        <is>
          <t>2026-08-27</t>
        </is>
      </c>
      <c r="K257" s="7" t="n">
        <v>314.58</v>
      </c>
      <c r="L257" s="5">
        <f>(K257-K256)/K256</f>
        <v/>
      </c>
      <c r="M257" s="5">
        <f>NORMINV(RAND(), $L$6, $L$7)</f>
        <v/>
      </c>
      <c r="N257" s="5">
        <f>NORMINV(RAND(), $L$6, $L$7)</f>
        <v/>
      </c>
      <c r="O257" s="5">
        <f>NORMINV(RAND(), $L$6, $L$7)</f>
        <v/>
      </c>
      <c r="P257" s="5">
        <f>NORMINV(RAND(), $L$6, $L$7)</f>
        <v/>
      </c>
      <c r="Q257" s="5">
        <f>NORMINV(RAND(), $L$6, $L$7)</f>
        <v/>
      </c>
    </row>
    <row r="258">
      <c r="A258" t="inlineStr">
        <is>
          <t>2026-08-28</t>
        </is>
      </c>
      <c r="B258" s="7" t="n">
        <v>342.88</v>
      </c>
      <c r="C258" s="5">
        <f>(B258-B257)/B257</f>
        <v/>
      </c>
      <c r="D258" s="5">
        <f>NORMINV(RAND(), $C$6, $C$7)</f>
        <v/>
      </c>
      <c r="E258" s="5">
        <f>NORMINV(RAND(), $C$6, $C$7)</f>
        <v/>
      </c>
      <c r="F258" s="5">
        <f>NORMINV(RAND(), $C$6, $C$7)</f>
        <v/>
      </c>
      <c r="G258" s="5">
        <f>NORMINV(RAND(), $C$6, $C$7)</f>
        <v/>
      </c>
      <c r="H258" s="5">
        <f>NORMINV(RAND(), $C$6, $C$7)</f>
        <v/>
      </c>
      <c r="J258" t="inlineStr">
        <is>
          <t>2026-08-28</t>
        </is>
      </c>
      <c r="K258" s="7" t="n">
        <v>319.7</v>
      </c>
      <c r="L258" s="5">
        <f>(K258-K257)/K257</f>
        <v/>
      </c>
      <c r="M258" s="5">
        <f>NORMINV(RAND(), $L$6, $L$7)</f>
        <v/>
      </c>
      <c r="N258" s="5">
        <f>NORMINV(RAND(), $L$6, $L$7)</f>
        <v/>
      </c>
      <c r="O258" s="5">
        <f>NORMINV(RAND(), $L$6, $L$7)</f>
        <v/>
      </c>
      <c r="P258" s="5">
        <f>NORMINV(RAND(), $L$6, $L$7)</f>
        <v/>
      </c>
      <c r="Q258" s="5">
        <f>NORMINV(RAND(), $L$6, $L$7)</f>
        <v/>
      </c>
    </row>
    <row r="259">
      <c r="A259" t="inlineStr">
        <is>
          <t>2026-08-31</t>
        </is>
      </c>
      <c r="B259" s="7" t="n">
        <v>335.41</v>
      </c>
      <c r="C259" s="5">
        <f>(B259-B258)/B258</f>
        <v/>
      </c>
      <c r="D259" s="5">
        <f>NORMINV(RAND(), $C$6, $C$7)</f>
        <v/>
      </c>
      <c r="E259" s="5">
        <f>NORMINV(RAND(), $C$6, $C$7)</f>
        <v/>
      </c>
      <c r="F259" s="5">
        <f>NORMINV(RAND(), $C$6, $C$7)</f>
        <v/>
      </c>
      <c r="G259" s="5">
        <f>NORMINV(RAND(), $C$6, $C$7)</f>
        <v/>
      </c>
      <c r="H259" s="5">
        <f>NORMINV(RAND(), $C$6, $C$7)</f>
        <v/>
      </c>
      <c r="J259" t="inlineStr">
        <is>
          <t>2026-08-31</t>
        </is>
      </c>
      <c r="K259" s="7" t="n">
        <v>316.85</v>
      </c>
      <c r="L259" s="5">
        <f>(K259-K258)/K258</f>
        <v/>
      </c>
      <c r="M259" s="5">
        <f>NORMINV(RAND(), $L$6, $L$7)</f>
        <v/>
      </c>
      <c r="N259" s="5">
        <f>NORMINV(RAND(), $L$6, $L$7)</f>
        <v/>
      </c>
      <c r="O259" s="5">
        <f>NORMINV(RAND(), $L$6, $L$7)</f>
        <v/>
      </c>
      <c r="P259" s="5">
        <f>NORMINV(RAND(), $L$6, $L$7)</f>
        <v/>
      </c>
      <c r="Q259" s="5">
        <f>NORMINV(RAND(), $L$6, $L$7)</f>
        <v/>
      </c>
    </row>
    <row r="260">
      <c r="A260" t="inlineStr">
        <is>
          <t>2026-09-01</t>
        </is>
      </c>
      <c r="B260" s="7" t="n">
        <v>332.03</v>
      </c>
      <c r="C260" s="5">
        <f>(B260-B259)/B259</f>
        <v/>
      </c>
      <c r="D260" s="5">
        <f>NORMINV(RAND(), $C$6, $C$7)</f>
        <v/>
      </c>
      <c r="E260" s="5">
        <f>NORMINV(RAND(), $C$6, $C$7)</f>
        <v/>
      </c>
      <c r="F260" s="5">
        <f>NORMINV(RAND(), $C$6, $C$7)</f>
        <v/>
      </c>
      <c r="G260" s="5">
        <f>NORMINV(RAND(), $C$6, $C$7)</f>
        <v/>
      </c>
      <c r="H260" s="5">
        <f>NORMINV(RAND(), $C$6, $C$7)</f>
        <v/>
      </c>
      <c r="J260" t="inlineStr">
        <is>
          <t>2026-09-01</t>
        </is>
      </c>
      <c r="K260" s="7" t="n">
        <v>325.13</v>
      </c>
      <c r="L260" s="5">
        <f>(K260-K259)/K259</f>
        <v/>
      </c>
      <c r="M260" s="5">
        <f>NORMINV(RAND(), $L$6, $L$7)</f>
        <v/>
      </c>
      <c r="N260" s="5">
        <f>NORMINV(RAND(), $L$6, $L$7)</f>
        <v/>
      </c>
      <c r="O260" s="5">
        <f>NORMINV(RAND(), $L$6, $L$7)</f>
        <v/>
      </c>
      <c r="P260" s="5">
        <f>NORMINV(RAND(), $L$6, $L$7)</f>
        <v/>
      </c>
      <c r="Q260" s="5">
        <f>NORMINV(RAND(), $L$6, $L$7)</f>
        <v/>
      </c>
    </row>
    <row r="261">
      <c r="A261" t="inlineStr">
        <is>
          <t>2026-09-02</t>
        </is>
      </c>
      <c r="B261" s="7" t="n">
        <v>333.78</v>
      </c>
      <c r="C261" s="5">
        <f>(B261-B260)/B260</f>
        <v/>
      </c>
      <c r="D261" s="5">
        <f>NORMINV(RAND(), $C$6, $C$7)</f>
        <v/>
      </c>
      <c r="E261" s="5">
        <f>NORMINV(RAND(), $C$6, $C$7)</f>
        <v/>
      </c>
      <c r="F261" s="5">
        <f>NORMINV(RAND(), $C$6, $C$7)</f>
        <v/>
      </c>
      <c r="G261" s="5">
        <f>NORMINV(RAND(), $C$6, $C$7)</f>
        <v/>
      </c>
      <c r="H261" s="5">
        <f>NORMINV(RAND(), $C$6, $C$7)</f>
        <v/>
      </c>
      <c r="J261" t="inlineStr">
        <is>
          <t>2026-09-02</t>
        </is>
      </c>
      <c r="K261" s="7" t="n">
        <v>324.96</v>
      </c>
      <c r="L261" s="5">
        <f>(K261-K260)/K260</f>
        <v/>
      </c>
      <c r="M261" s="5">
        <f>NORMINV(RAND(), $L$6, $L$7)</f>
        <v/>
      </c>
      <c r="N261" s="5">
        <f>NORMINV(RAND(), $L$6, $L$7)</f>
        <v/>
      </c>
      <c r="O261" s="5">
        <f>NORMINV(RAND(), $L$6, $L$7)</f>
        <v/>
      </c>
      <c r="P261" s="5">
        <f>NORMINV(RAND(), $L$6, $L$7)</f>
        <v/>
      </c>
      <c r="Q261" s="5">
        <f>NORMINV(RAND(), $L$6, $L$7)</f>
        <v/>
      </c>
    </row>
    <row r="262">
      <c r="A262" t="inlineStr">
        <is>
          <t>2026-09-03</t>
        </is>
      </c>
      <c r="B262" s="7" t="n">
        <v>339.08</v>
      </c>
      <c r="C262" s="5">
        <f>(B262-B261)/B261</f>
        <v/>
      </c>
      <c r="D262" s="5">
        <f>NORMINV(RAND(), $C$6, $C$7)</f>
        <v/>
      </c>
      <c r="E262" s="5">
        <f>NORMINV(RAND(), $C$6, $C$7)</f>
        <v/>
      </c>
      <c r="F262" s="5">
        <f>NORMINV(RAND(), $C$6, $C$7)</f>
        <v/>
      </c>
      <c r="G262" s="5">
        <f>NORMINV(RAND(), $C$6, $C$7)</f>
        <v/>
      </c>
      <c r="H262" s="5">
        <f>NORMINV(RAND(), $C$6, $C$7)</f>
        <v/>
      </c>
      <c r="J262" t="inlineStr">
        <is>
          <t>2026-09-03</t>
        </is>
      </c>
      <c r="K262" s="7" t="n">
        <v>328.21</v>
      </c>
      <c r="L262" s="5">
        <f>(K262-K261)/K261</f>
        <v/>
      </c>
      <c r="M262" s="5">
        <f>NORMINV(RAND(), $L$6, $L$7)</f>
        <v/>
      </c>
      <c r="N262" s="5">
        <f>NORMINV(RAND(), $L$6, $L$7)</f>
        <v/>
      </c>
      <c r="O262" s="5">
        <f>NORMINV(RAND(), $L$6, $L$7)</f>
        <v/>
      </c>
      <c r="P262" s="5">
        <f>NORMINV(RAND(), $L$6, $L$7)</f>
        <v/>
      </c>
      <c r="Q262" s="5">
        <f>NORMINV(RAND(), $L$6, $L$7)</f>
        <v/>
      </c>
    </row>
    <row r="263">
      <c r="A263" t="inlineStr">
        <is>
          <t>2026-09-04</t>
        </is>
      </c>
      <c r="B263" s="7" t="n">
        <v>335.31</v>
      </c>
      <c r="C263" s="5">
        <f>(B263-B262)/B262</f>
        <v/>
      </c>
      <c r="D263" s="5">
        <f>NORMINV(RAND(), $C$6, $C$7)</f>
        <v/>
      </c>
      <c r="E263" s="5">
        <f>NORMINV(RAND(), $C$6, $C$7)</f>
        <v/>
      </c>
      <c r="F263" s="5">
        <f>NORMINV(RAND(), $C$6, $C$7)</f>
        <v/>
      </c>
      <c r="G263" s="5">
        <f>NORMINV(RAND(), $C$6, $C$7)</f>
        <v/>
      </c>
      <c r="H263" s="5">
        <f>NORMINV(RAND(), $C$6, $C$7)</f>
        <v/>
      </c>
      <c r="J263" t="inlineStr">
        <is>
          <t>2026-09-04</t>
        </is>
      </c>
      <c r="K263" s="7" t="n">
        <v>319.97</v>
      </c>
      <c r="L263" s="5">
        <f>(K263-K262)/K262</f>
        <v/>
      </c>
      <c r="M263" s="5">
        <f>NORMINV(RAND(), $L$6, $L$7)</f>
        <v/>
      </c>
      <c r="N263" s="5">
        <f>NORMINV(RAND(), $L$6, $L$7)</f>
        <v/>
      </c>
      <c r="O263" s="5">
        <f>NORMINV(RAND(), $L$6, $L$7)</f>
        <v/>
      </c>
      <c r="P263" s="5">
        <f>NORMINV(RAND(), $L$6, $L$7)</f>
        <v/>
      </c>
      <c r="Q263" s="5">
        <f>NORMINV(RAND(), $L$6, $L$7)</f>
        <v/>
      </c>
    </row>
  </sheetData>
  <mergeCells count="2">
    <mergeCell ref="J13:Q13"/>
    <mergeCell ref="A13:H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V265"/>
  <sheetViews>
    <sheetView workbookViewId="0">
      <selection activeCell="A1" sqref="A1"/>
    </sheetView>
  </sheetViews>
  <sheetFormatPr baseColWidth="8" defaultRowHeight="15"/>
  <cols>
    <col width="25" customWidth="1" style="32" min="1" max="1"/>
    <col width="13" customWidth="1" style="32" min="2" max="2"/>
    <col width="15" customWidth="1" style="32" min="3" max="3"/>
    <col width="14" customWidth="1" style="32" min="4" max="8"/>
    <col width="4" customWidth="1" style="32" min="9" max="9"/>
    <col width="25" customWidth="1" style="32" min="10" max="10"/>
    <col width="13" customWidth="1" style="32" min="11" max="11"/>
    <col width="15" customWidth="1" style="32" min="12" max="12"/>
    <col width="14" customWidth="1" style="32" min="13" max="17"/>
    <col width="4" customWidth="1" style="32" min="18" max="18"/>
    <col width="28" customWidth="1" style="32" min="19" max="19"/>
    <col width="18" customWidth="1" style="32" min="20" max="21"/>
    <col width="34" customWidth="1" style="32" min="22" max="22"/>
  </cols>
  <sheetData>
    <row r="2">
      <c r="A2" t="inlineStr">
        <is>
          <t>Nilai Investasi (Vo)</t>
        </is>
      </c>
      <c r="C2" s="6" t="n">
        <v>100000</v>
      </c>
      <c r="J2" t="inlineStr">
        <is>
          <t>Nilai Investasi (Vo)</t>
        </is>
      </c>
      <c r="L2" s="6" t="n">
        <v>100000</v>
      </c>
      <c r="S2" s="36" t="inlineStr">
        <is>
          <t>TABEL UJI NORMALITAS RETURN HARIAN (PYTHON SCIPY)</t>
        </is>
      </c>
    </row>
    <row r="3">
      <c r="A3" t="inlineStr">
        <is>
          <t>Holding Period (t)</t>
        </is>
      </c>
      <c r="C3" t="n">
        <v>1</v>
      </c>
      <c r="J3" t="inlineStr">
        <is>
          <t>Holding Period (t)</t>
        </is>
      </c>
      <c r="L3" t="n">
        <v>1</v>
      </c>
      <c r="S3" s="24" t="inlineStr">
        <is>
          <t>Parameter / Uji Statistik</t>
        </is>
      </c>
      <c r="T3" s="25" t="inlineStr">
        <is>
          <t>Microsoft (MSFT)</t>
        </is>
      </c>
      <c r="U3" s="25" t="inlineStr">
        <is>
          <t>Amazon (AMZN)</t>
        </is>
      </c>
      <c r="V3" s="24" t="inlineStr">
        <is>
          <t>Keterangan / Evaluasi</t>
        </is>
      </c>
    </row>
    <row r="4">
      <c r="A4" t="inlineStr">
        <is>
          <t>Tingkat Signifikansi (alfa)</t>
        </is>
      </c>
      <c r="C4" s="4" t="n">
        <v>0.05</v>
      </c>
      <c r="J4" t="inlineStr">
        <is>
          <t>Tingkat Signifikansi (alfa)</t>
        </is>
      </c>
      <c r="L4" s="4" t="n">
        <v>0.05</v>
      </c>
      <c r="S4" s="26" t="inlineStr">
        <is>
          <t>Ukuran Sampel (N)</t>
        </is>
      </c>
      <c r="T4" s="27" t="inlineStr">
        <is>
          <t>250</t>
        </is>
      </c>
      <c r="U4" s="27" t="inlineStr">
        <is>
          <t>250</t>
        </is>
      </c>
      <c r="V4" s="26" t="inlineStr">
        <is>
          <t>1 tahun hari bursa aktif (Sept 2025 - Sept 2026)</t>
        </is>
      </c>
    </row>
    <row r="5">
      <c r="A5" t="inlineStr">
        <is>
          <t>Tingkat Kepercayaan (1-alfa)</t>
        </is>
      </c>
      <c r="C5" s="4">
        <f>1-C4</f>
        <v/>
      </c>
      <c r="J5" t="inlineStr">
        <is>
          <t>Tingkat Kepercayaan (1-alfa)</t>
        </is>
      </c>
      <c r="L5" s="4">
        <f>1-L4</f>
        <v/>
      </c>
      <c r="S5" s="26" t="inlineStr">
        <is>
          <t>Mean Return (μ)</t>
        </is>
      </c>
      <c r="T5" s="27" t="inlineStr">
        <is>
          <t>0.0106%</t>
        </is>
      </c>
      <c r="U5" s="27" t="inlineStr">
        <is>
          <t>0.0739%</t>
        </is>
      </c>
      <c r="V5" s="26" t="inlineStr">
        <is>
          <t>Rata-rata return harian</t>
        </is>
      </c>
    </row>
    <row r="6">
      <c r="A6" t="inlineStr">
        <is>
          <t>Mean Return (μ)</t>
        </is>
      </c>
      <c r="C6" s="5">
        <f>AVERAGE(C16:C265)</f>
        <v/>
      </c>
      <c r="J6" t="inlineStr">
        <is>
          <t>Mean Return (μ)</t>
        </is>
      </c>
      <c r="L6" s="5">
        <f>AVERAGE(L16:L265)</f>
        <v/>
      </c>
      <c r="S6" s="26" t="inlineStr">
        <is>
          <t>Standar Deviasi (σ)</t>
        </is>
      </c>
      <c r="T6" s="27" t="inlineStr">
        <is>
          <t>2.0554%</t>
        </is>
      </c>
      <c r="U6" s="27" t="inlineStr">
        <is>
          <t>2.1745%</t>
        </is>
      </c>
      <c r="V6" s="26" t="inlineStr">
        <is>
          <t>Volatilitas harian (AMZN &gt; MSFT)</t>
        </is>
      </c>
    </row>
    <row r="7">
      <c r="A7" t="inlineStr">
        <is>
          <t>Standar Deviasi (σ)</t>
        </is>
      </c>
      <c r="C7" s="5">
        <f>_xlfn.STDEV.S(C16:C265)</f>
        <v/>
      </c>
      <c r="J7" t="inlineStr">
        <is>
          <t>Standar Deviasi (σ)</t>
        </is>
      </c>
      <c r="L7" s="5">
        <f>_xlfn.STDEV.S(L16:L265)</f>
        <v/>
      </c>
      <c r="S7" s="26" t="inlineStr">
        <is>
          <t>Kemencengan (Skewness)</t>
        </is>
      </c>
      <c r="T7" s="27" t="inlineStr">
        <is>
          <t>1.3479</t>
        </is>
      </c>
      <c r="U7" s="27" t="inlineStr">
        <is>
          <t>1.5930</t>
        </is>
      </c>
      <c r="V7" s="26" t="inlineStr">
        <is>
          <t>Asimetris ke kanan (right-skewed &gt; 0)</t>
        </is>
      </c>
    </row>
    <row r="8">
      <c r="A8" t="inlineStr">
        <is>
          <t>Faktor Waktu (√t)</t>
        </is>
      </c>
      <c r="C8" s="10">
        <f>SQRT(C3)</f>
        <v/>
      </c>
      <c r="D8" s="20" t="inlineStr">
        <is>
          <t>Simulasi 1</t>
        </is>
      </c>
      <c r="E8" s="20" t="inlineStr">
        <is>
          <t>Simulasi 2</t>
        </is>
      </c>
      <c r="F8" s="20" t="inlineStr">
        <is>
          <t>Simulasi 3</t>
        </is>
      </c>
      <c r="G8" s="20" t="inlineStr">
        <is>
          <t>Simulasi 4</t>
        </is>
      </c>
      <c r="H8" s="20" t="inlineStr">
        <is>
          <t>Simulasi 5</t>
        </is>
      </c>
      <c r="J8" t="inlineStr">
        <is>
          <t>Faktor Waktu (√t)</t>
        </is>
      </c>
      <c r="L8" s="10">
        <f>SQRT(L3)</f>
        <v/>
      </c>
      <c r="M8" s="20" t="inlineStr">
        <is>
          <t>Simulasi 1</t>
        </is>
      </c>
      <c r="N8" s="20" t="inlineStr">
        <is>
          <t>Simulasi 2</t>
        </is>
      </c>
      <c r="O8" s="20" t="inlineStr">
        <is>
          <t>Simulasi 3</t>
        </is>
      </c>
      <c r="P8" s="20" t="inlineStr">
        <is>
          <t>Simulasi 4</t>
        </is>
      </c>
      <c r="Q8" s="20" t="inlineStr">
        <is>
          <t>Simulasi 5</t>
        </is>
      </c>
      <c r="S8" s="26" t="inlineStr">
        <is>
          <t>Excess Kurtosis</t>
        </is>
      </c>
      <c r="T8" s="27" t="inlineStr">
        <is>
          <t>13.9949</t>
        </is>
      </c>
      <c r="U8" s="27" t="inlineStr">
        <is>
          <t>9.9494</t>
        </is>
      </c>
      <c r="V8" s="26" t="inlineStr">
        <is>
          <t>Leptokurtik ekstrem / ekor tebal (fat tails)</t>
        </is>
      </c>
    </row>
    <row r="9">
      <c r="A9" t="inlineStr">
        <is>
          <t>Nilai Persentil-alfa (Rata-rata)</t>
        </is>
      </c>
      <c r="C9" s="21">
        <f>AVERAGE(D9:H9)</f>
        <v/>
      </c>
      <c r="D9" s="5">
        <f>ABS(PERCENTILE(D16:D265, $C$4))</f>
        <v/>
      </c>
      <c r="E9" s="5">
        <f>ABS(PERCENTILE(E16:E265, $C$4))</f>
        <v/>
      </c>
      <c r="F9" s="5">
        <f>ABS(PERCENTILE(F16:F265, $C$4))</f>
        <v/>
      </c>
      <c r="G9" s="5">
        <f>ABS(PERCENTILE(G16:G265, $C$4))</f>
        <v/>
      </c>
      <c r="H9" s="5">
        <f>ABS(PERCENTILE(H16:H265, $C$4))</f>
        <v/>
      </c>
      <c r="J9" t="inlineStr">
        <is>
          <t>Nilai Persentil-alfa (Rata-rata)</t>
        </is>
      </c>
      <c r="L9" s="21">
        <f>AVERAGE(M9:Q9)</f>
        <v/>
      </c>
      <c r="M9" s="5">
        <f>ABS(PERCENTILE(M16:M265, $L$4))</f>
        <v/>
      </c>
      <c r="N9" s="5">
        <f>ABS(PERCENTILE(N16:N265, $L$4))</f>
        <v/>
      </c>
      <c r="O9" s="5">
        <f>ABS(PERCENTILE(O16:O265, $L$4))</f>
        <v/>
      </c>
      <c r="P9" s="5">
        <f>ABS(PERCENTILE(P16:P265, $L$4))</f>
        <v/>
      </c>
      <c r="Q9" s="5">
        <f>ABS(PERCENTILE(Q16:Q265, $L$4))</f>
        <v/>
      </c>
      <c r="S9" s="26" t="inlineStr">
        <is>
          <t>Jarque-Bera (Statistik)</t>
        </is>
      </c>
      <c r="T9" s="27" t="inlineStr">
        <is>
          <t>2115.89</t>
        </is>
      </c>
      <c r="U9" s="27" t="inlineStr">
        <is>
          <t>1136.90</t>
        </is>
      </c>
      <c r="V9" s="26" t="inlineStr">
        <is>
          <t>Distribusi Chi-Square (df=2)</t>
        </is>
      </c>
    </row>
    <row r="10">
      <c r="A10" t="inlineStr">
        <is>
          <t>Nilai VaR ($)</t>
        </is>
      </c>
      <c r="C10" s="28">
        <f>$C$2*C9*$C$8</f>
        <v/>
      </c>
      <c r="D10" s="6">
        <f>$C$2*D9*$C$8</f>
        <v/>
      </c>
      <c r="E10" s="6">
        <f>$C$2*E9*$C$8</f>
        <v/>
      </c>
      <c r="F10" s="6">
        <f>$C$2*F9*$C$8</f>
        <v/>
      </c>
      <c r="G10" s="6">
        <f>$C$2*G9*$C$8</f>
        <v/>
      </c>
      <c r="H10" s="6">
        <f>$C$2*H9*$C$8</f>
        <v/>
      </c>
      <c r="J10" t="inlineStr">
        <is>
          <t>Nilai VaR ($)</t>
        </is>
      </c>
      <c r="L10" s="28">
        <f>$L$2*L9*$L$8</f>
        <v/>
      </c>
      <c r="M10" s="6">
        <f>$L$2*M9*$L$8</f>
        <v/>
      </c>
      <c r="N10" s="6">
        <f>$L$2*N9*$L$8</f>
        <v/>
      </c>
      <c r="O10" s="6">
        <f>$L$2*O9*$L$8</f>
        <v/>
      </c>
      <c r="P10" s="6">
        <f>$L$2*P9*$L$8</f>
        <v/>
      </c>
      <c r="Q10" s="6">
        <f>$L$2*Q9*$L$8</f>
        <v/>
      </c>
      <c r="S10" s="26" t="inlineStr">
        <is>
          <t>Jarque-Bera (p-value)</t>
        </is>
      </c>
      <c r="T10" s="27" t="inlineStr">
        <is>
          <t>0.0000</t>
        </is>
      </c>
      <c r="U10" s="27" t="inlineStr">
        <is>
          <t>1.34e-247</t>
        </is>
      </c>
      <c r="V10" s="26" t="inlineStr">
        <is>
          <t>Tolak H0 normalitas (p-value &lt; 0.05)</t>
        </is>
      </c>
    </row>
    <row r="11">
      <c r="A11" t="inlineStr">
        <is>
          <t>Nilai VaR (%)</t>
        </is>
      </c>
      <c r="C11" s="22">
        <f>$C$8*C9</f>
        <v/>
      </c>
      <c r="D11" s="4">
        <f>$C$8*D9</f>
        <v/>
      </c>
      <c r="E11" s="4">
        <f>$C$8*E9</f>
        <v/>
      </c>
      <c r="F11" s="4">
        <f>$C$8*F9</f>
        <v/>
      </c>
      <c r="G11" s="4">
        <f>$C$8*G9</f>
        <v/>
      </c>
      <c r="H11" s="4">
        <f>$C$8*H9</f>
        <v/>
      </c>
      <c r="J11" t="inlineStr">
        <is>
          <t>Nilai VaR (%)</t>
        </is>
      </c>
      <c r="L11" s="22">
        <f>$L$8*L9</f>
        <v/>
      </c>
      <c r="M11" s="4">
        <f>$L$8*M9</f>
        <v/>
      </c>
      <c r="N11" s="4">
        <f>$L$8*N9</f>
        <v/>
      </c>
      <c r="O11" s="4">
        <f>$L$8*O9</f>
        <v/>
      </c>
      <c r="P11" s="4">
        <f>$L$8*P9</f>
        <v/>
      </c>
      <c r="Q11" s="4">
        <f>$L$8*Q9</f>
        <v/>
      </c>
      <c r="S11" s="26" t="inlineStr">
        <is>
          <t>Shapiro-Wilk (Statistik W)</t>
        </is>
      </c>
      <c r="T11" s="27" t="inlineStr">
        <is>
          <t>0.8780</t>
        </is>
      </c>
      <c r="U11" s="27" t="inlineStr">
        <is>
          <t>0.9055</t>
        </is>
      </c>
      <c r="V11" s="26" t="inlineStr">
        <is>
          <t>Uji keselarasan kuantil empiris</t>
        </is>
      </c>
    </row>
    <row r="12">
      <c r="S12" s="26" t="inlineStr">
        <is>
          <t>Shapiro-Wilk (p-value)</t>
        </is>
      </c>
      <c r="T12" s="27" t="inlineStr">
        <is>
          <t>2.90e-13</t>
        </is>
      </c>
      <c r="U12" s="27" t="inlineStr">
        <is>
          <t>1.91e-11</t>
        </is>
      </c>
      <c r="V12" s="26" t="inlineStr">
        <is>
          <t>Tolak H0 normalitas (p-value &lt; 0.05)</t>
        </is>
      </c>
    </row>
    <row r="13">
      <c r="A13" s="36" t="inlineStr">
        <is>
          <t>MICROSOFT (MSFT)</t>
        </is>
      </c>
      <c r="J13" s="36" t="inlineStr">
        <is>
          <t>AMAZON (AMZN)</t>
        </is>
      </c>
      <c r="S13" s="26" t="inlineStr">
        <is>
          <t>Kolmogorov-Smirnov (Statistik D)</t>
        </is>
      </c>
      <c r="T13" s="27" t="inlineStr">
        <is>
          <t>0.0805</t>
        </is>
      </c>
      <c r="U13" s="27" t="inlineStr">
        <is>
          <t>0.0724</t>
        </is>
      </c>
      <c r="V13" s="26" t="inlineStr">
        <is>
          <t>Jarak absolut maksimum fungsi kumulatif</t>
        </is>
      </c>
    </row>
    <row r="14">
      <c r="A14" s="25" t="inlineStr">
        <is>
          <t>Tanggal</t>
        </is>
      </c>
      <c r="B14" s="25" t="inlineStr">
        <is>
          <t>Penutupan</t>
        </is>
      </c>
      <c r="C14" s="25" t="inlineStr">
        <is>
          <t>Return</t>
        </is>
      </c>
      <c r="D14" s="25" t="inlineStr">
        <is>
          <t>Simulasi 1</t>
        </is>
      </c>
      <c r="E14" s="25" t="inlineStr">
        <is>
          <t>Simulasi 2</t>
        </is>
      </c>
      <c r="F14" s="25" t="inlineStr">
        <is>
          <t>Simulasi 3</t>
        </is>
      </c>
      <c r="G14" s="25" t="inlineStr">
        <is>
          <t>Simulasi 4</t>
        </is>
      </c>
      <c r="H14" s="25" t="inlineStr">
        <is>
          <t>Simulasi 5</t>
        </is>
      </c>
      <c r="J14" s="25" t="inlineStr">
        <is>
          <t>Tanggal</t>
        </is>
      </c>
      <c r="K14" s="25" t="inlineStr">
        <is>
          <t>Closing</t>
        </is>
      </c>
      <c r="L14" s="25" t="inlineStr">
        <is>
          <t>Return</t>
        </is>
      </c>
      <c r="M14" s="25" t="inlineStr">
        <is>
          <t>Simulasi 1</t>
        </is>
      </c>
      <c r="N14" s="25" t="inlineStr">
        <is>
          <t>Simulasi 2</t>
        </is>
      </c>
      <c r="O14" s="25" t="inlineStr">
        <is>
          <t>Simulasi 3</t>
        </is>
      </c>
      <c r="P14" s="25" t="inlineStr">
        <is>
          <t>Simulasi 4</t>
        </is>
      </c>
      <c r="Q14" s="25" t="inlineStr">
        <is>
          <t>Simulasi 5</t>
        </is>
      </c>
      <c r="S14" s="26" t="inlineStr">
        <is>
          <t>Kolmogorov-Smirnov (p-value)</t>
        </is>
      </c>
      <c r="T14" s="27" t="inlineStr">
        <is>
          <t>0.0739</t>
        </is>
      </c>
      <c r="U14" s="27" t="inlineStr">
        <is>
          <t>0.1383</t>
        </is>
      </c>
      <c r="V14" s="26" t="inlineStr">
        <is>
          <t>Tidak tolak H0 pada taraf 5% (p-value &gt; 0.05)</t>
        </is>
      </c>
    </row>
    <row r="15">
      <c r="A15" t="inlineStr">
        <is>
          <t>2025-09-22</t>
        </is>
      </c>
      <c r="B15" s="6" t="n">
        <v>514.45</v>
      </c>
      <c r="C15" s="23" t="inlineStr">
        <is>
          <t>-</t>
        </is>
      </c>
      <c r="D15" s="23" t="inlineStr">
        <is>
          <t>-</t>
        </is>
      </c>
      <c r="E15" s="23" t="inlineStr">
        <is>
          <t>-</t>
        </is>
      </c>
      <c r="F15" s="23" t="inlineStr">
        <is>
          <t>-</t>
        </is>
      </c>
      <c r="G15" s="23" t="inlineStr">
        <is>
          <t>-</t>
        </is>
      </c>
      <c r="H15" s="23" t="inlineStr">
        <is>
          <t>-</t>
        </is>
      </c>
      <c r="J15" t="inlineStr">
        <is>
          <t>2025-09-22</t>
        </is>
      </c>
      <c r="K15" s="6" t="n">
        <v>227.63</v>
      </c>
      <c r="L15" s="23" t="inlineStr">
        <is>
          <t>-</t>
        </is>
      </c>
      <c r="M15" s="23" t="inlineStr">
        <is>
          <t>-</t>
        </is>
      </c>
      <c r="N15" s="23" t="inlineStr">
        <is>
          <t>-</t>
        </is>
      </c>
      <c r="O15" s="23" t="inlineStr">
        <is>
          <t>-</t>
        </is>
      </c>
      <c r="P15" s="23" t="inlineStr">
        <is>
          <t>-</t>
        </is>
      </c>
      <c r="Q15" s="23" t="inlineStr">
        <is>
          <t>-</t>
        </is>
      </c>
      <c r="S15" s="26" t="inlineStr">
        <is>
          <t>Kesimpulan Uji Distribusi</t>
        </is>
      </c>
      <c r="T15" s="29" t="inlineStr">
        <is>
          <t>Non-Normal (Fat Tails)</t>
        </is>
      </c>
      <c r="U15" s="29" t="inlineStr">
        <is>
          <t>Non-Normal (Fat Tails)</t>
        </is>
      </c>
      <c r="V15" s="26" t="inlineStr">
        <is>
          <t>Data empiris memiliki ekor gemuk finansial</t>
        </is>
      </c>
    </row>
    <row r="16">
      <c r="A16" t="inlineStr">
        <is>
          <t>2025-09-23</t>
        </is>
      </c>
      <c r="B16" s="6" t="n">
        <v>509.23</v>
      </c>
      <c r="C16" s="5">
        <f>(B16-B15)/B15</f>
        <v/>
      </c>
      <c r="D16" s="5">
        <f>NORMINV(RAND(), $C$6, $C$7)</f>
        <v/>
      </c>
      <c r="E16" s="5">
        <f>NORMINV(RAND(), $C$6, $C$7)</f>
        <v/>
      </c>
      <c r="F16" s="5">
        <f>NORMINV(RAND(), $C$6, $C$7)</f>
        <v/>
      </c>
      <c r="G16" s="5">
        <f>NORMINV(RAND(), $C$6, $C$7)</f>
        <v/>
      </c>
      <c r="H16" s="5">
        <f>NORMINV(RAND(), $C$6, $C$7)</f>
        <v/>
      </c>
      <c r="J16" t="inlineStr">
        <is>
          <t>2025-09-23</t>
        </is>
      </c>
      <c r="K16" s="6" t="n">
        <v>220.71</v>
      </c>
      <c r="L16" s="5">
        <f>(K16-K15)/K15</f>
        <v/>
      </c>
      <c r="M16" s="5">
        <f>NORMINV(RAND(), $L$6, $L$7)</f>
        <v/>
      </c>
      <c r="N16" s="5">
        <f>NORMINV(RAND(), $L$6, $L$7)</f>
        <v/>
      </c>
      <c r="O16" s="5">
        <f>NORMINV(RAND(), $L$6, $L$7)</f>
        <v/>
      </c>
      <c r="P16" s="5">
        <f>NORMINV(RAND(), $L$6, $L$7)</f>
        <v/>
      </c>
      <c r="Q16" s="5">
        <f>NORMINV(RAND(), $L$6, $L$7)</f>
        <v/>
      </c>
    </row>
    <row r="17">
      <c r="A17" t="inlineStr">
        <is>
          <t>2025-09-24</t>
        </is>
      </c>
      <c r="B17" s="6" t="n">
        <v>510.15</v>
      </c>
      <c r="C17" s="5">
        <f>(B17-B16)/B16</f>
        <v/>
      </c>
      <c r="D17" s="5">
        <f>NORMINV(RAND(), $C$6, $C$7)</f>
        <v/>
      </c>
      <c r="E17" s="5">
        <f>NORMINV(RAND(), $C$6, $C$7)</f>
        <v/>
      </c>
      <c r="F17" s="5">
        <f>NORMINV(RAND(), $C$6, $C$7)</f>
        <v/>
      </c>
      <c r="G17" s="5">
        <f>NORMINV(RAND(), $C$6, $C$7)</f>
        <v/>
      </c>
      <c r="H17" s="5">
        <f>NORMINV(RAND(), $C$6, $C$7)</f>
        <v/>
      </c>
      <c r="J17" t="inlineStr">
        <is>
          <t>2025-09-24</t>
        </is>
      </c>
      <c r="K17" s="6" t="n">
        <v>220.21</v>
      </c>
      <c r="L17" s="5">
        <f>(K17-K16)/K16</f>
        <v/>
      </c>
      <c r="M17" s="5">
        <f>NORMINV(RAND(), $L$6, $L$7)</f>
        <v/>
      </c>
      <c r="N17" s="5">
        <f>NORMINV(RAND(), $L$6, $L$7)</f>
        <v/>
      </c>
      <c r="O17" s="5">
        <f>NORMINV(RAND(), $L$6, $L$7)</f>
        <v/>
      </c>
      <c r="P17" s="5">
        <f>NORMINV(RAND(), $L$6, $L$7)</f>
        <v/>
      </c>
      <c r="Q17" s="5">
        <f>NORMINV(RAND(), $L$6, $L$7)</f>
        <v/>
      </c>
      <c r="S17" s="36" t="inlineStr">
        <is>
          <t>KESIMPULAN DAN ANALISIS RISIKO</t>
        </is>
      </c>
    </row>
    <row r="18">
      <c r="A18" t="inlineStr">
        <is>
          <t>2025-09-25</t>
        </is>
      </c>
      <c r="B18" s="6" t="n">
        <v>507.03</v>
      </c>
      <c r="C18" s="5">
        <f>(B18-B17)/B17</f>
        <v/>
      </c>
      <c r="D18" s="5">
        <f>NORMINV(RAND(), $C$6, $C$7)</f>
        <v/>
      </c>
      <c r="E18" s="5">
        <f>NORMINV(RAND(), $C$6, $C$7)</f>
        <v/>
      </c>
      <c r="F18" s="5">
        <f>NORMINV(RAND(), $C$6, $C$7)</f>
        <v/>
      </c>
      <c r="G18" s="5">
        <f>NORMINV(RAND(), $C$6, $C$7)</f>
        <v/>
      </c>
      <c r="H18" s="5">
        <f>NORMINV(RAND(), $C$6, $C$7)</f>
        <v/>
      </c>
      <c r="J18" t="inlineStr">
        <is>
          <t>2025-09-25</t>
        </is>
      </c>
      <c r="K18" s="6" t="n">
        <v>218.15</v>
      </c>
      <c r="L18" s="5">
        <f>(K18-K17)/K17</f>
        <v/>
      </c>
      <c r="M18" s="5">
        <f>NORMINV(RAND(), $L$6, $L$7)</f>
        <v/>
      </c>
      <c r="N18" s="5">
        <f>NORMINV(RAND(), $L$6, $L$7)</f>
        <v/>
      </c>
      <c r="O18" s="5">
        <f>NORMINV(RAND(), $L$6, $L$7)</f>
        <v/>
      </c>
      <c r="P18" s="5">
        <f>NORMINV(RAND(), $L$6, $L$7)</f>
        <v/>
      </c>
      <c r="Q18" s="5">
        <f>NORMINV(RAND(), $L$6, $L$7)</f>
        <v/>
      </c>
      <c r="S18" s="30" t="inlineStr">
        <is>
          <t>1. Saham Microsoft (MSFT):</t>
        </is>
      </c>
    </row>
    <row r="19" ht="24.95" customHeight="1" s="32">
      <c r="A19" t="inlineStr">
        <is>
          <t>2025-09-26</t>
        </is>
      </c>
      <c r="B19" s="6" t="n">
        <v>511.46</v>
      </c>
      <c r="C19" s="5">
        <f>(B19-B18)/B18</f>
        <v/>
      </c>
      <c r="D19" s="5">
        <f>NORMINV(RAND(), $C$6, $C$7)</f>
        <v/>
      </c>
      <c r="E19" s="5">
        <f>NORMINV(RAND(), $C$6, $C$7)</f>
        <v/>
      </c>
      <c r="F19" s="5">
        <f>NORMINV(RAND(), $C$6, $C$7)</f>
        <v/>
      </c>
      <c r="G19" s="5">
        <f>NORMINV(RAND(), $C$6, $C$7)</f>
        <v/>
      </c>
      <c r="H19" s="5">
        <f>NORMINV(RAND(), $C$6, $C$7)</f>
        <v/>
      </c>
      <c r="J19" t="inlineStr">
        <is>
          <t>2025-09-26</t>
        </is>
      </c>
      <c r="K19" s="6" t="n">
        <v>219.78</v>
      </c>
      <c r="L19" s="5">
        <f>(K19-K18)/K18</f>
        <v/>
      </c>
      <c r="M19" s="5">
        <f>NORMINV(RAND(), $L$6, $L$7)</f>
        <v/>
      </c>
      <c r="N19" s="5">
        <f>NORMINV(RAND(), $L$6, $L$7)</f>
        <v/>
      </c>
      <c r="O19" s="5">
        <f>NORMINV(RAND(), $L$6, $L$7)</f>
        <v/>
      </c>
      <c r="P19" s="5">
        <f>NORMINV(RAND(), $L$6, $L$7)</f>
        <v/>
      </c>
      <c r="Q19" s="5">
        <f>NORMINV(RAND(), $L$6, $L$7)</f>
        <v/>
      </c>
      <c r="S19" s="35" t="inlineStr">
        <is>
          <t>Pada tingkat kepercayaan 95% dan holding period 1 hari dengan modal $100.000, estimasi rata-rata VaR saham Microsoft dari 5 iterasi simulasi berada di kisaran 3,0% - 3,3% (sekitar $3.000 - $3.300). Artinya, ada keyakinan 95% bahwa potensi kerugian harian saham MSFT tidak akan melampaui batas rata-rata simulasi tersebut.</t>
        </is>
      </c>
    </row>
    <row r="20" ht="24.95" customHeight="1" s="32">
      <c r="A20" t="inlineStr">
        <is>
          <t>2025-09-29</t>
        </is>
      </c>
      <c r="B20" s="6" t="n">
        <v>514.6</v>
      </c>
      <c r="C20" s="5">
        <f>(B20-B19)/B19</f>
        <v/>
      </c>
      <c r="D20" s="5">
        <f>NORMINV(RAND(), $C$6, $C$7)</f>
        <v/>
      </c>
      <c r="E20" s="5">
        <f>NORMINV(RAND(), $C$6, $C$7)</f>
        <v/>
      </c>
      <c r="F20" s="5">
        <f>NORMINV(RAND(), $C$6, $C$7)</f>
        <v/>
      </c>
      <c r="G20" s="5">
        <f>NORMINV(RAND(), $C$6, $C$7)</f>
        <v/>
      </c>
      <c r="H20" s="5">
        <f>NORMINV(RAND(), $C$6, $C$7)</f>
        <v/>
      </c>
      <c r="J20" t="inlineStr">
        <is>
          <t>2025-09-29</t>
        </is>
      </c>
      <c r="K20" s="6" t="n">
        <v>222.17</v>
      </c>
      <c r="L20" s="5">
        <f>(K20-K19)/K19</f>
        <v/>
      </c>
      <c r="M20" s="5">
        <f>NORMINV(RAND(), $L$6, $L$7)</f>
        <v/>
      </c>
      <c r="N20" s="5">
        <f>NORMINV(RAND(), $L$6, $L$7)</f>
        <v/>
      </c>
      <c r="O20" s="5">
        <f>NORMINV(RAND(), $L$6, $L$7)</f>
        <v/>
      </c>
      <c r="P20" s="5">
        <f>NORMINV(RAND(), $L$6, $L$7)</f>
        <v/>
      </c>
      <c r="Q20" s="5">
        <f>NORMINV(RAND(), $L$6, $L$7)</f>
        <v/>
      </c>
    </row>
    <row r="21">
      <c r="A21" t="inlineStr">
        <is>
          <t>2025-09-30</t>
        </is>
      </c>
      <c r="B21" s="6" t="n">
        <v>517.95</v>
      </c>
      <c r="C21" s="5">
        <f>(B21-B20)/B20</f>
        <v/>
      </c>
      <c r="D21" s="5">
        <f>NORMINV(RAND(), $C$6, $C$7)</f>
        <v/>
      </c>
      <c r="E21" s="5">
        <f>NORMINV(RAND(), $C$6, $C$7)</f>
        <v/>
      </c>
      <c r="F21" s="5">
        <f>NORMINV(RAND(), $C$6, $C$7)</f>
        <v/>
      </c>
      <c r="G21" s="5">
        <f>NORMINV(RAND(), $C$6, $C$7)</f>
        <v/>
      </c>
      <c r="H21" s="5">
        <f>NORMINV(RAND(), $C$6, $C$7)</f>
        <v/>
      </c>
      <c r="J21" t="inlineStr">
        <is>
          <t>2025-09-30</t>
        </is>
      </c>
      <c r="K21" s="6" t="n">
        <v>219.57</v>
      </c>
      <c r="L21" s="5">
        <f>(K21-K20)/K20</f>
        <v/>
      </c>
      <c r="M21" s="5">
        <f>NORMINV(RAND(), $L$6, $L$7)</f>
        <v/>
      </c>
      <c r="N21" s="5">
        <f>NORMINV(RAND(), $L$6, $L$7)</f>
        <v/>
      </c>
      <c r="O21" s="5">
        <f>NORMINV(RAND(), $L$6, $L$7)</f>
        <v/>
      </c>
      <c r="P21" s="5">
        <f>NORMINV(RAND(), $L$6, $L$7)</f>
        <v/>
      </c>
      <c r="Q21" s="5">
        <f>NORMINV(RAND(), $L$6, $L$7)</f>
        <v/>
      </c>
      <c r="S21" s="30" t="inlineStr">
        <is>
          <t>2. Saham Amazon (AMZN):</t>
        </is>
      </c>
    </row>
    <row r="22" ht="24.95" customHeight="1" s="32">
      <c r="A22" t="inlineStr">
        <is>
          <t>2025-10-01</t>
        </is>
      </c>
      <c r="B22" s="6" t="n">
        <v>519.71</v>
      </c>
      <c r="C22" s="5">
        <f>(B22-B21)/B21</f>
        <v/>
      </c>
      <c r="D22" s="5">
        <f>NORMINV(RAND(), $C$6, $C$7)</f>
        <v/>
      </c>
      <c r="E22" s="5">
        <f>NORMINV(RAND(), $C$6, $C$7)</f>
        <v/>
      </c>
      <c r="F22" s="5">
        <f>NORMINV(RAND(), $C$6, $C$7)</f>
        <v/>
      </c>
      <c r="G22" s="5">
        <f>NORMINV(RAND(), $C$6, $C$7)</f>
        <v/>
      </c>
      <c r="H22" s="5">
        <f>NORMINV(RAND(), $C$6, $C$7)</f>
        <v/>
      </c>
      <c r="J22" t="inlineStr">
        <is>
          <t>2025-10-01</t>
        </is>
      </c>
      <c r="K22" s="6" t="n">
        <v>220.63</v>
      </c>
      <c r="L22" s="5">
        <f>(K22-K21)/K21</f>
        <v/>
      </c>
      <c r="M22" s="5">
        <f>NORMINV(RAND(), $L$6, $L$7)</f>
        <v/>
      </c>
      <c r="N22" s="5">
        <f>NORMINV(RAND(), $L$6, $L$7)</f>
        <v/>
      </c>
      <c r="O22" s="5">
        <f>NORMINV(RAND(), $L$6, $L$7)</f>
        <v/>
      </c>
      <c r="P22" s="5">
        <f>NORMINV(RAND(), $L$6, $L$7)</f>
        <v/>
      </c>
      <c r="Q22" s="5">
        <f>NORMINV(RAND(), $L$6, $L$7)</f>
        <v/>
      </c>
      <c r="S22" s="35" t="inlineStr">
        <is>
          <t>Pada tingkat kepercayaan 95% dan holding period 1 hari dengan modal $100.000, estimasi rata-rata VaR saham Amazon dari 5 iterasi simulasi berada di kisaran 3,3% - 3,6% (sekitar $3.300 - $3.600). Artinya, potensi kerugian maksimum saham AMZN pada tingkat kepercayaan 95% berada di batas rata-rata simulasi tersebut.</t>
        </is>
      </c>
    </row>
    <row r="23" ht="24.95" customHeight="1" s="32">
      <c r="A23" t="inlineStr">
        <is>
          <t>2025-10-02</t>
        </is>
      </c>
      <c r="B23" s="6" t="n">
        <v>515.74</v>
      </c>
      <c r="C23" s="5">
        <f>(B23-B22)/B22</f>
        <v/>
      </c>
      <c r="D23" s="5">
        <f>NORMINV(RAND(), $C$6, $C$7)</f>
        <v/>
      </c>
      <c r="E23" s="5">
        <f>NORMINV(RAND(), $C$6, $C$7)</f>
        <v/>
      </c>
      <c r="F23" s="5">
        <f>NORMINV(RAND(), $C$6, $C$7)</f>
        <v/>
      </c>
      <c r="G23" s="5">
        <f>NORMINV(RAND(), $C$6, $C$7)</f>
        <v/>
      </c>
      <c r="H23" s="5">
        <f>NORMINV(RAND(), $C$6, $C$7)</f>
        <v/>
      </c>
      <c r="J23" t="inlineStr">
        <is>
          <t>2025-10-02</t>
        </is>
      </c>
      <c r="K23" s="6" t="n">
        <v>222.41</v>
      </c>
      <c r="L23" s="5">
        <f>(K23-K22)/K22</f>
        <v/>
      </c>
      <c r="M23" s="5">
        <f>NORMINV(RAND(), $L$6, $L$7)</f>
        <v/>
      </c>
      <c r="N23" s="5">
        <f>NORMINV(RAND(), $L$6, $L$7)</f>
        <v/>
      </c>
      <c r="O23" s="5">
        <f>NORMINV(RAND(), $L$6, $L$7)</f>
        <v/>
      </c>
      <c r="P23" s="5">
        <f>NORMINV(RAND(), $L$6, $L$7)</f>
        <v/>
      </c>
      <c r="Q23" s="5">
        <f>NORMINV(RAND(), $L$6, $L$7)</f>
        <v/>
      </c>
    </row>
    <row r="24">
      <c r="A24" t="inlineStr">
        <is>
          <t>2025-10-03</t>
        </is>
      </c>
      <c r="B24" s="6" t="n">
        <v>517.35</v>
      </c>
      <c r="C24" s="5">
        <f>(B24-B23)/B23</f>
        <v/>
      </c>
      <c r="D24" s="5">
        <f>NORMINV(RAND(), $C$6, $C$7)</f>
        <v/>
      </c>
      <c r="E24" s="5">
        <f>NORMINV(RAND(), $C$6, $C$7)</f>
        <v/>
      </c>
      <c r="F24" s="5">
        <f>NORMINV(RAND(), $C$6, $C$7)</f>
        <v/>
      </c>
      <c r="G24" s="5">
        <f>NORMINV(RAND(), $C$6, $C$7)</f>
        <v/>
      </c>
      <c r="H24" s="5">
        <f>NORMINV(RAND(), $C$6, $C$7)</f>
        <v/>
      </c>
      <c r="J24" t="inlineStr">
        <is>
          <t>2025-10-03</t>
        </is>
      </c>
      <c r="K24" s="6" t="n">
        <v>219.51</v>
      </c>
      <c r="L24" s="5">
        <f>(K24-K23)/K23</f>
        <v/>
      </c>
      <c r="M24" s="5">
        <f>NORMINV(RAND(), $L$6, $L$7)</f>
        <v/>
      </c>
      <c r="N24" s="5">
        <f>NORMINV(RAND(), $L$6, $L$7)</f>
        <v/>
      </c>
      <c r="O24" s="5">
        <f>NORMINV(RAND(), $L$6, $L$7)</f>
        <v/>
      </c>
      <c r="P24" s="5">
        <f>NORMINV(RAND(), $L$6, $L$7)</f>
        <v/>
      </c>
      <c r="Q24" s="5">
        <f>NORMINV(RAND(), $L$6, $L$7)</f>
        <v/>
      </c>
      <c r="S24" s="30" t="inlineStr">
        <is>
          <t>3. Perbandingan Risiko (AMZN vs MSFT):</t>
        </is>
      </c>
    </row>
    <row r="25" ht="24.95" customHeight="1" s="32">
      <c r="A25" t="inlineStr">
        <is>
          <t>2025-10-06</t>
        </is>
      </c>
      <c r="B25" s="6" t="n">
        <v>528.5700000000001</v>
      </c>
      <c r="C25" s="5">
        <f>(B25-B24)/B24</f>
        <v/>
      </c>
      <c r="D25" s="5">
        <f>NORMINV(RAND(), $C$6, $C$7)</f>
        <v/>
      </c>
      <c r="E25" s="5">
        <f>NORMINV(RAND(), $C$6, $C$7)</f>
        <v/>
      </c>
      <c r="F25" s="5">
        <f>NORMINV(RAND(), $C$6, $C$7)</f>
        <v/>
      </c>
      <c r="G25" s="5">
        <f>NORMINV(RAND(), $C$6, $C$7)</f>
        <v/>
      </c>
      <c r="H25" s="5">
        <f>NORMINV(RAND(), $C$6, $C$7)</f>
        <v/>
      </c>
      <c r="J25" t="inlineStr">
        <is>
          <t>2025-10-06</t>
        </is>
      </c>
      <c r="K25" s="6" t="n">
        <v>220.9</v>
      </c>
      <c r="L25" s="5">
        <f>(K25-K24)/K24</f>
        <v/>
      </c>
      <c r="M25" s="5">
        <f>NORMINV(RAND(), $L$6, $L$7)</f>
        <v/>
      </c>
      <c r="N25" s="5">
        <f>NORMINV(RAND(), $L$6, $L$7)</f>
        <v/>
      </c>
      <c r="O25" s="5">
        <f>NORMINV(RAND(), $L$6, $L$7)</f>
        <v/>
      </c>
      <c r="P25" s="5">
        <f>NORMINV(RAND(), $L$6, $L$7)</f>
        <v/>
      </c>
      <c r="Q25" s="5">
        <f>NORMINV(RAND(), $L$6, $L$7)</f>
        <v/>
      </c>
      <c r="S25" s="35" t="inlineStr">
        <is>
          <t>Saham Amazon menunjukkan potensi risiko kerugian yang lebih tinggi dibandingkan saham Microsoft, sejalan dengan tingkat volatilitas hariannya yang lebih besar (2,17% vs 2,06%). Investor saham Amazon membutuhkan alokasi cadangan modal risiko yang lebih tinggi untuk menutup potensi kerugian.</t>
        </is>
      </c>
    </row>
    <row r="26" ht="24.95" customHeight="1" s="32">
      <c r="A26" t="inlineStr">
        <is>
          <t>2025-10-07</t>
        </is>
      </c>
      <c r="B26" s="6" t="n">
        <v>523.98</v>
      </c>
      <c r="C26" s="5">
        <f>(B26-B25)/B25</f>
        <v/>
      </c>
      <c r="D26" s="5">
        <f>NORMINV(RAND(), $C$6, $C$7)</f>
        <v/>
      </c>
      <c r="E26" s="5">
        <f>NORMINV(RAND(), $C$6, $C$7)</f>
        <v/>
      </c>
      <c r="F26" s="5">
        <f>NORMINV(RAND(), $C$6, $C$7)</f>
        <v/>
      </c>
      <c r="G26" s="5">
        <f>NORMINV(RAND(), $C$6, $C$7)</f>
        <v/>
      </c>
      <c r="H26" s="5">
        <f>NORMINV(RAND(), $C$6, $C$7)</f>
        <v/>
      </c>
      <c r="J26" t="inlineStr">
        <is>
          <t>2025-10-07</t>
        </is>
      </c>
      <c r="K26" s="6" t="n">
        <v>221.78</v>
      </c>
      <c r="L26" s="5">
        <f>(K26-K25)/K25</f>
        <v/>
      </c>
      <c r="M26" s="5">
        <f>NORMINV(RAND(), $L$6, $L$7)</f>
        <v/>
      </c>
      <c r="N26" s="5">
        <f>NORMINV(RAND(), $L$6, $L$7)</f>
        <v/>
      </c>
      <c r="O26" s="5">
        <f>NORMINV(RAND(), $L$6, $L$7)</f>
        <v/>
      </c>
      <c r="P26" s="5">
        <f>NORMINV(RAND(), $L$6, $L$7)</f>
        <v/>
      </c>
      <c r="Q26" s="5">
        <f>NORMINV(RAND(), $L$6, $L$7)</f>
        <v/>
      </c>
    </row>
    <row r="27">
      <c r="A27" t="inlineStr">
        <is>
          <t>2025-10-08</t>
        </is>
      </c>
      <c r="B27" s="6" t="n">
        <v>524.85</v>
      </c>
      <c r="C27" s="5">
        <f>(B27-B26)/B26</f>
        <v/>
      </c>
      <c r="D27" s="5">
        <f>NORMINV(RAND(), $C$6, $C$7)</f>
        <v/>
      </c>
      <c r="E27" s="5">
        <f>NORMINV(RAND(), $C$6, $C$7)</f>
        <v/>
      </c>
      <c r="F27" s="5">
        <f>NORMINV(RAND(), $C$6, $C$7)</f>
        <v/>
      </c>
      <c r="G27" s="5">
        <f>NORMINV(RAND(), $C$6, $C$7)</f>
        <v/>
      </c>
      <c r="H27" s="5">
        <f>NORMINV(RAND(), $C$6, $C$7)</f>
        <v/>
      </c>
      <c r="J27" t="inlineStr">
        <is>
          <t>2025-10-08</t>
        </is>
      </c>
      <c r="K27" s="6" t="n">
        <v>225.22</v>
      </c>
      <c r="L27" s="5">
        <f>(K27-K26)/K26</f>
        <v/>
      </c>
      <c r="M27" s="5">
        <f>NORMINV(RAND(), $L$6, $L$7)</f>
        <v/>
      </c>
      <c r="N27" s="5">
        <f>NORMINV(RAND(), $L$6, $L$7)</f>
        <v/>
      </c>
      <c r="O27" s="5">
        <f>NORMINV(RAND(), $L$6, $L$7)</f>
        <v/>
      </c>
      <c r="P27" s="5">
        <f>NORMINV(RAND(), $L$6, $L$7)</f>
        <v/>
      </c>
      <c r="Q27" s="5">
        <f>NORMINV(RAND(), $L$6, $L$7)</f>
        <v/>
      </c>
      <c r="S27" s="30" t="inlineStr">
        <is>
          <t>4. Evaluasi Asumsi Normalitas terhadap Simulasi Monte Carlo:</t>
        </is>
      </c>
    </row>
    <row r="28" ht="24.95" customHeight="1" s="32">
      <c r="A28" t="inlineStr">
        <is>
          <t>2025-10-09</t>
        </is>
      </c>
      <c r="B28" s="6" t="n">
        <v>522.4</v>
      </c>
      <c r="C28" s="5">
        <f>(B28-B27)/B27</f>
        <v/>
      </c>
      <c r="D28" s="5">
        <f>NORMINV(RAND(), $C$6, $C$7)</f>
        <v/>
      </c>
      <c r="E28" s="5">
        <f>NORMINV(RAND(), $C$6, $C$7)</f>
        <v/>
      </c>
      <c r="F28" s="5">
        <f>NORMINV(RAND(), $C$6, $C$7)</f>
        <v/>
      </c>
      <c r="G28" s="5">
        <f>NORMINV(RAND(), $C$6, $C$7)</f>
        <v/>
      </c>
      <c r="H28" s="5">
        <f>NORMINV(RAND(), $C$6, $C$7)</f>
        <v/>
      </c>
      <c r="J28" t="inlineStr">
        <is>
          <t>2025-10-09</t>
        </is>
      </c>
      <c r="K28" s="6" t="n">
        <v>227.74</v>
      </c>
      <c r="L28" s="5">
        <f>(K28-K27)/K27</f>
        <v/>
      </c>
      <c r="M28" s="5">
        <f>NORMINV(RAND(), $L$6, $L$7)</f>
        <v/>
      </c>
      <c r="N28" s="5">
        <f>NORMINV(RAND(), $L$6, $L$7)</f>
        <v/>
      </c>
      <c r="O28" s="5">
        <f>NORMINV(RAND(), $L$6, $L$7)</f>
        <v/>
      </c>
      <c r="P28" s="5">
        <f>NORMINV(RAND(), $L$6, $L$7)</f>
        <v/>
      </c>
      <c r="Q28" s="5">
        <f>NORMINV(RAND(), $L$6, $L$7)</f>
        <v/>
      </c>
      <c r="S28" s="35" t="inlineStr">
        <is>
          <t>Uji Kolmogorov-Smirnov tidak menolak asumsi normalitas pada taraf 5% (p = 0,0739 untuk MSFT dan p = 0,1383 untuk AMZN), sehingga secara formal prosedur simulasi Monte Carlo Normal di sheet ini dapat dijustifikasi. Namun, uji Jarque-Bera dan Shapiro-Wilk mendeteksi excess kurtosis signifikan (MSFT = 13,99; AMZN = 9,95). Sebagai mitigasi risiko kerugian ekstrem di pasar riil, pendekatan Student-t VaR atau Historical Bootstrap direkomendasikan.</t>
        </is>
      </c>
    </row>
    <row r="29" ht="24.95" customHeight="1" s="32">
      <c r="A29" t="inlineStr">
        <is>
          <t>2025-10-10</t>
        </is>
      </c>
      <c r="B29" s="6" t="n">
        <v>510.96</v>
      </c>
      <c r="C29" s="5">
        <f>(B29-B28)/B28</f>
        <v/>
      </c>
      <c r="D29" s="5">
        <f>NORMINV(RAND(), $C$6, $C$7)</f>
        <v/>
      </c>
      <c r="E29" s="5">
        <f>NORMINV(RAND(), $C$6, $C$7)</f>
        <v/>
      </c>
      <c r="F29" s="5">
        <f>NORMINV(RAND(), $C$6, $C$7)</f>
        <v/>
      </c>
      <c r="G29" s="5">
        <f>NORMINV(RAND(), $C$6, $C$7)</f>
        <v/>
      </c>
      <c r="H29" s="5">
        <f>NORMINV(RAND(), $C$6, $C$7)</f>
        <v/>
      </c>
      <c r="J29" t="inlineStr">
        <is>
          <t>2025-10-10</t>
        </is>
      </c>
      <c r="K29" s="6" t="n">
        <v>216.37</v>
      </c>
      <c r="L29" s="5">
        <f>(K29-K28)/K28</f>
        <v/>
      </c>
      <c r="M29" s="5">
        <f>NORMINV(RAND(), $L$6, $L$7)</f>
        <v/>
      </c>
      <c r="N29" s="5">
        <f>NORMINV(RAND(), $L$6, $L$7)</f>
        <v/>
      </c>
      <c r="O29" s="5">
        <f>NORMINV(RAND(), $L$6, $L$7)</f>
        <v/>
      </c>
      <c r="P29" s="5">
        <f>NORMINV(RAND(), $L$6, $L$7)</f>
        <v/>
      </c>
      <c r="Q29" s="5">
        <f>NORMINV(RAND(), $L$6, $L$7)</f>
        <v/>
      </c>
    </row>
    <row r="30">
      <c r="A30" t="inlineStr">
        <is>
          <t>2025-10-13</t>
        </is>
      </c>
      <c r="B30" s="6" t="n">
        <v>514.05</v>
      </c>
      <c r="C30" s="5">
        <f>(B30-B29)/B29</f>
        <v/>
      </c>
      <c r="D30" s="5">
        <f>NORMINV(RAND(), $C$6, $C$7)</f>
        <v/>
      </c>
      <c r="E30" s="5">
        <f>NORMINV(RAND(), $C$6, $C$7)</f>
        <v/>
      </c>
      <c r="F30" s="5">
        <f>NORMINV(RAND(), $C$6, $C$7)</f>
        <v/>
      </c>
      <c r="G30" s="5">
        <f>NORMINV(RAND(), $C$6, $C$7)</f>
        <v/>
      </c>
      <c r="H30" s="5">
        <f>NORMINV(RAND(), $C$6, $C$7)</f>
        <v/>
      </c>
      <c r="J30" t="inlineStr">
        <is>
          <t>2025-10-13</t>
        </is>
      </c>
      <c r="K30" s="6" t="n">
        <v>220.07</v>
      </c>
      <c r="L30" s="5">
        <f>(K30-K29)/K29</f>
        <v/>
      </c>
      <c r="M30" s="5">
        <f>NORMINV(RAND(), $L$6, $L$7)</f>
        <v/>
      </c>
      <c r="N30" s="5">
        <f>NORMINV(RAND(), $L$6, $L$7)</f>
        <v/>
      </c>
      <c r="O30" s="5">
        <f>NORMINV(RAND(), $L$6, $L$7)</f>
        <v/>
      </c>
      <c r="P30" s="5">
        <f>NORMINV(RAND(), $L$6, $L$7)</f>
        <v/>
      </c>
      <c r="Q30" s="5">
        <f>NORMINV(RAND(), $L$6, $L$7)</f>
        <v/>
      </c>
    </row>
    <row r="31">
      <c r="A31" t="inlineStr">
        <is>
          <t>2025-10-14</t>
        </is>
      </c>
      <c r="B31" s="6" t="n">
        <v>513.5700000000001</v>
      </c>
      <c r="C31" s="5">
        <f>(B31-B30)/B30</f>
        <v/>
      </c>
      <c r="D31" s="5">
        <f>NORMINV(RAND(), $C$6, $C$7)</f>
        <v/>
      </c>
      <c r="E31" s="5">
        <f>NORMINV(RAND(), $C$6, $C$7)</f>
        <v/>
      </c>
      <c r="F31" s="5">
        <f>NORMINV(RAND(), $C$6, $C$7)</f>
        <v/>
      </c>
      <c r="G31" s="5">
        <f>NORMINV(RAND(), $C$6, $C$7)</f>
        <v/>
      </c>
      <c r="H31" s="5">
        <f>NORMINV(RAND(), $C$6, $C$7)</f>
        <v/>
      </c>
      <c r="J31" t="inlineStr">
        <is>
          <t>2025-10-14</t>
        </is>
      </c>
      <c r="K31" s="6" t="n">
        <v>216.39</v>
      </c>
      <c r="L31" s="5">
        <f>(K31-K30)/K30</f>
        <v/>
      </c>
      <c r="M31" s="5">
        <f>NORMINV(RAND(), $L$6, $L$7)</f>
        <v/>
      </c>
      <c r="N31" s="5">
        <f>NORMINV(RAND(), $L$6, $L$7)</f>
        <v/>
      </c>
      <c r="O31" s="5">
        <f>NORMINV(RAND(), $L$6, $L$7)</f>
        <v/>
      </c>
      <c r="P31" s="5">
        <f>NORMINV(RAND(), $L$6, $L$7)</f>
        <v/>
      </c>
      <c r="Q31" s="5">
        <f>NORMINV(RAND(), $L$6, $L$7)</f>
        <v/>
      </c>
    </row>
    <row r="32">
      <c r="A32" t="inlineStr">
        <is>
          <t>2025-10-15</t>
        </is>
      </c>
      <c r="B32" s="6" t="n">
        <v>513.4299999999999</v>
      </c>
      <c r="C32" s="5">
        <f>(B32-B31)/B31</f>
        <v/>
      </c>
      <c r="D32" s="5">
        <f>NORMINV(RAND(), $C$6, $C$7)</f>
        <v/>
      </c>
      <c r="E32" s="5">
        <f>NORMINV(RAND(), $C$6, $C$7)</f>
        <v/>
      </c>
      <c r="F32" s="5">
        <f>NORMINV(RAND(), $C$6, $C$7)</f>
        <v/>
      </c>
      <c r="G32" s="5">
        <f>NORMINV(RAND(), $C$6, $C$7)</f>
        <v/>
      </c>
      <c r="H32" s="5">
        <f>NORMINV(RAND(), $C$6, $C$7)</f>
        <v/>
      </c>
      <c r="J32" t="inlineStr">
        <is>
          <t>2025-10-15</t>
        </is>
      </c>
      <c r="K32" s="6" t="n">
        <v>215.57</v>
      </c>
      <c r="L32" s="5">
        <f>(K32-K31)/K31</f>
        <v/>
      </c>
      <c r="M32" s="5">
        <f>NORMINV(RAND(), $L$6, $L$7)</f>
        <v/>
      </c>
      <c r="N32" s="5">
        <f>NORMINV(RAND(), $L$6, $L$7)</f>
        <v/>
      </c>
      <c r="O32" s="5">
        <f>NORMINV(RAND(), $L$6, $L$7)</f>
        <v/>
      </c>
      <c r="P32" s="5">
        <f>NORMINV(RAND(), $L$6, $L$7)</f>
        <v/>
      </c>
      <c r="Q32" s="5">
        <f>NORMINV(RAND(), $L$6, $L$7)</f>
        <v/>
      </c>
    </row>
    <row r="33">
      <c r="A33" t="inlineStr">
        <is>
          <t>2025-10-16</t>
        </is>
      </c>
      <c r="B33" s="6" t="n">
        <v>511.61</v>
      </c>
      <c r="C33" s="5">
        <f>(B33-B32)/B32</f>
        <v/>
      </c>
      <c r="D33" s="5">
        <f>NORMINV(RAND(), $C$6, $C$7)</f>
        <v/>
      </c>
      <c r="E33" s="5">
        <f>NORMINV(RAND(), $C$6, $C$7)</f>
        <v/>
      </c>
      <c r="F33" s="5">
        <f>NORMINV(RAND(), $C$6, $C$7)</f>
        <v/>
      </c>
      <c r="G33" s="5">
        <f>NORMINV(RAND(), $C$6, $C$7)</f>
        <v/>
      </c>
      <c r="H33" s="5">
        <f>NORMINV(RAND(), $C$6, $C$7)</f>
        <v/>
      </c>
      <c r="J33" t="inlineStr">
        <is>
          <t>2025-10-16</t>
        </is>
      </c>
      <c r="K33" s="6" t="n">
        <v>214.47</v>
      </c>
      <c r="L33" s="5">
        <f>(K33-K32)/K32</f>
        <v/>
      </c>
      <c r="M33" s="5">
        <f>NORMINV(RAND(), $L$6, $L$7)</f>
        <v/>
      </c>
      <c r="N33" s="5">
        <f>NORMINV(RAND(), $L$6, $L$7)</f>
        <v/>
      </c>
      <c r="O33" s="5">
        <f>NORMINV(RAND(), $L$6, $L$7)</f>
        <v/>
      </c>
      <c r="P33" s="5">
        <f>NORMINV(RAND(), $L$6, $L$7)</f>
        <v/>
      </c>
      <c r="Q33" s="5">
        <f>NORMINV(RAND(), $L$6, $L$7)</f>
        <v/>
      </c>
    </row>
    <row r="34">
      <c r="A34" t="inlineStr">
        <is>
          <t>2025-10-17</t>
        </is>
      </c>
      <c r="B34" s="6" t="n">
        <v>513.58</v>
      </c>
      <c r="C34" s="5">
        <f>(B34-B33)/B33</f>
        <v/>
      </c>
      <c r="D34" s="5">
        <f>NORMINV(RAND(), $C$6, $C$7)</f>
        <v/>
      </c>
      <c r="E34" s="5">
        <f>NORMINV(RAND(), $C$6, $C$7)</f>
        <v/>
      </c>
      <c r="F34" s="5">
        <f>NORMINV(RAND(), $C$6, $C$7)</f>
        <v/>
      </c>
      <c r="G34" s="5">
        <f>NORMINV(RAND(), $C$6, $C$7)</f>
        <v/>
      </c>
      <c r="H34" s="5">
        <f>NORMINV(RAND(), $C$6, $C$7)</f>
        <v/>
      </c>
      <c r="J34" t="inlineStr">
        <is>
          <t>2025-10-17</t>
        </is>
      </c>
      <c r="K34" s="6" t="n">
        <v>213.04</v>
      </c>
      <c r="L34" s="5">
        <f>(K34-K33)/K33</f>
        <v/>
      </c>
      <c r="M34" s="5">
        <f>NORMINV(RAND(), $L$6, $L$7)</f>
        <v/>
      </c>
      <c r="N34" s="5">
        <f>NORMINV(RAND(), $L$6, $L$7)</f>
        <v/>
      </c>
      <c r="O34" s="5">
        <f>NORMINV(RAND(), $L$6, $L$7)</f>
        <v/>
      </c>
      <c r="P34" s="5">
        <f>NORMINV(RAND(), $L$6, $L$7)</f>
        <v/>
      </c>
      <c r="Q34" s="5">
        <f>NORMINV(RAND(), $L$6, $L$7)</f>
        <v/>
      </c>
    </row>
    <row r="35">
      <c r="A35" t="inlineStr">
        <is>
          <t>2025-10-20</t>
        </is>
      </c>
      <c r="B35" s="6" t="n">
        <v>516.79</v>
      </c>
      <c r="C35" s="5">
        <f>(B35-B34)/B34</f>
        <v/>
      </c>
      <c r="D35" s="5">
        <f>NORMINV(RAND(), $C$6, $C$7)</f>
        <v/>
      </c>
      <c r="E35" s="5">
        <f>NORMINV(RAND(), $C$6, $C$7)</f>
        <v/>
      </c>
      <c r="F35" s="5">
        <f>NORMINV(RAND(), $C$6, $C$7)</f>
        <v/>
      </c>
      <c r="G35" s="5">
        <f>NORMINV(RAND(), $C$6, $C$7)</f>
        <v/>
      </c>
      <c r="H35" s="5">
        <f>NORMINV(RAND(), $C$6, $C$7)</f>
        <v/>
      </c>
      <c r="J35" t="inlineStr">
        <is>
          <t>2025-10-20</t>
        </is>
      </c>
      <c r="K35" s="6" t="n">
        <v>216.48</v>
      </c>
      <c r="L35" s="5">
        <f>(K35-K34)/K34</f>
        <v/>
      </c>
      <c r="M35" s="5">
        <f>NORMINV(RAND(), $L$6, $L$7)</f>
        <v/>
      </c>
      <c r="N35" s="5">
        <f>NORMINV(RAND(), $L$6, $L$7)</f>
        <v/>
      </c>
      <c r="O35" s="5">
        <f>NORMINV(RAND(), $L$6, $L$7)</f>
        <v/>
      </c>
      <c r="P35" s="5">
        <f>NORMINV(RAND(), $L$6, $L$7)</f>
        <v/>
      </c>
      <c r="Q35" s="5">
        <f>NORMINV(RAND(), $L$6, $L$7)</f>
        <v/>
      </c>
    </row>
    <row r="36">
      <c r="A36" t="inlineStr">
        <is>
          <t>2025-10-21</t>
        </is>
      </c>
      <c r="B36" s="6" t="n">
        <v>517.66</v>
      </c>
      <c r="C36" s="5">
        <f>(B36-B35)/B35</f>
        <v/>
      </c>
      <c r="D36" s="5">
        <f>NORMINV(RAND(), $C$6, $C$7)</f>
        <v/>
      </c>
      <c r="E36" s="5">
        <f>NORMINV(RAND(), $C$6, $C$7)</f>
        <v/>
      </c>
      <c r="F36" s="5">
        <f>NORMINV(RAND(), $C$6, $C$7)</f>
        <v/>
      </c>
      <c r="G36" s="5">
        <f>NORMINV(RAND(), $C$6, $C$7)</f>
        <v/>
      </c>
      <c r="H36" s="5">
        <f>NORMINV(RAND(), $C$6, $C$7)</f>
        <v/>
      </c>
      <c r="J36" t="inlineStr">
        <is>
          <t>2025-10-21</t>
        </is>
      </c>
      <c r="K36" s="6" t="n">
        <v>222.03</v>
      </c>
      <c r="L36" s="5">
        <f>(K36-K35)/K35</f>
        <v/>
      </c>
      <c r="M36" s="5">
        <f>NORMINV(RAND(), $L$6, $L$7)</f>
        <v/>
      </c>
      <c r="N36" s="5">
        <f>NORMINV(RAND(), $L$6, $L$7)</f>
        <v/>
      </c>
      <c r="O36" s="5">
        <f>NORMINV(RAND(), $L$6, $L$7)</f>
        <v/>
      </c>
      <c r="P36" s="5">
        <f>NORMINV(RAND(), $L$6, $L$7)</f>
        <v/>
      </c>
      <c r="Q36" s="5">
        <f>NORMINV(RAND(), $L$6, $L$7)</f>
        <v/>
      </c>
    </row>
    <row r="37">
      <c r="A37" t="inlineStr">
        <is>
          <t>2025-10-22</t>
        </is>
      </c>
      <c r="B37" s="6" t="n">
        <v>520.54</v>
      </c>
      <c r="C37" s="5">
        <f>(B37-B36)/B36</f>
        <v/>
      </c>
      <c r="D37" s="5">
        <f>NORMINV(RAND(), $C$6, $C$7)</f>
        <v/>
      </c>
      <c r="E37" s="5">
        <f>NORMINV(RAND(), $C$6, $C$7)</f>
        <v/>
      </c>
      <c r="F37" s="5">
        <f>NORMINV(RAND(), $C$6, $C$7)</f>
        <v/>
      </c>
      <c r="G37" s="5">
        <f>NORMINV(RAND(), $C$6, $C$7)</f>
        <v/>
      </c>
      <c r="H37" s="5">
        <f>NORMINV(RAND(), $C$6, $C$7)</f>
        <v/>
      </c>
      <c r="J37" t="inlineStr">
        <is>
          <t>2025-10-22</t>
        </is>
      </c>
      <c r="K37" s="6" t="n">
        <v>217.95</v>
      </c>
      <c r="L37" s="5">
        <f>(K37-K36)/K36</f>
        <v/>
      </c>
      <c r="M37" s="5">
        <f>NORMINV(RAND(), $L$6, $L$7)</f>
        <v/>
      </c>
      <c r="N37" s="5">
        <f>NORMINV(RAND(), $L$6, $L$7)</f>
        <v/>
      </c>
      <c r="O37" s="5">
        <f>NORMINV(RAND(), $L$6, $L$7)</f>
        <v/>
      </c>
      <c r="P37" s="5">
        <f>NORMINV(RAND(), $L$6, $L$7)</f>
        <v/>
      </c>
      <c r="Q37" s="5">
        <f>NORMINV(RAND(), $L$6, $L$7)</f>
        <v/>
      </c>
    </row>
    <row r="38">
      <c r="A38" t="inlineStr">
        <is>
          <t>2025-10-23</t>
        </is>
      </c>
      <c r="B38" s="6" t="n">
        <v>520.5599999999999</v>
      </c>
      <c r="C38" s="5">
        <f>(B38-B37)/B37</f>
        <v/>
      </c>
      <c r="D38" s="5">
        <f>NORMINV(RAND(), $C$6, $C$7)</f>
        <v/>
      </c>
      <c r="E38" s="5">
        <f>NORMINV(RAND(), $C$6, $C$7)</f>
        <v/>
      </c>
      <c r="F38" s="5">
        <f>NORMINV(RAND(), $C$6, $C$7)</f>
        <v/>
      </c>
      <c r="G38" s="5">
        <f>NORMINV(RAND(), $C$6, $C$7)</f>
        <v/>
      </c>
      <c r="H38" s="5">
        <f>NORMINV(RAND(), $C$6, $C$7)</f>
        <v/>
      </c>
      <c r="J38" t="inlineStr">
        <is>
          <t>2025-10-23</t>
        </is>
      </c>
      <c r="K38" s="6" t="n">
        <v>221.09</v>
      </c>
      <c r="L38" s="5">
        <f>(K38-K37)/K37</f>
        <v/>
      </c>
      <c r="M38" s="5">
        <f>NORMINV(RAND(), $L$6, $L$7)</f>
        <v/>
      </c>
      <c r="N38" s="5">
        <f>NORMINV(RAND(), $L$6, $L$7)</f>
        <v/>
      </c>
      <c r="O38" s="5">
        <f>NORMINV(RAND(), $L$6, $L$7)</f>
        <v/>
      </c>
      <c r="P38" s="5">
        <f>NORMINV(RAND(), $L$6, $L$7)</f>
        <v/>
      </c>
      <c r="Q38" s="5">
        <f>NORMINV(RAND(), $L$6, $L$7)</f>
        <v/>
      </c>
    </row>
    <row r="39">
      <c r="A39" t="inlineStr">
        <is>
          <t>2025-10-24</t>
        </is>
      </c>
      <c r="B39" s="6" t="n">
        <v>523.61</v>
      </c>
      <c r="C39" s="5">
        <f>(B39-B38)/B38</f>
        <v/>
      </c>
      <c r="D39" s="5">
        <f>NORMINV(RAND(), $C$6, $C$7)</f>
        <v/>
      </c>
      <c r="E39" s="5">
        <f>NORMINV(RAND(), $C$6, $C$7)</f>
        <v/>
      </c>
      <c r="F39" s="5">
        <f>NORMINV(RAND(), $C$6, $C$7)</f>
        <v/>
      </c>
      <c r="G39" s="5">
        <f>NORMINV(RAND(), $C$6, $C$7)</f>
        <v/>
      </c>
      <c r="H39" s="5">
        <f>NORMINV(RAND(), $C$6, $C$7)</f>
        <v/>
      </c>
      <c r="J39" t="inlineStr">
        <is>
          <t>2025-10-24</t>
        </is>
      </c>
      <c r="K39" s="6" t="n">
        <v>224.21</v>
      </c>
      <c r="L39" s="5">
        <f>(K39-K38)/K38</f>
        <v/>
      </c>
      <c r="M39" s="5">
        <f>NORMINV(RAND(), $L$6, $L$7)</f>
        <v/>
      </c>
      <c r="N39" s="5">
        <f>NORMINV(RAND(), $L$6, $L$7)</f>
        <v/>
      </c>
      <c r="O39" s="5">
        <f>NORMINV(RAND(), $L$6, $L$7)</f>
        <v/>
      </c>
      <c r="P39" s="5">
        <f>NORMINV(RAND(), $L$6, $L$7)</f>
        <v/>
      </c>
      <c r="Q39" s="5">
        <f>NORMINV(RAND(), $L$6, $L$7)</f>
        <v/>
      </c>
    </row>
    <row r="40">
      <c r="A40" t="inlineStr">
        <is>
          <t>2025-10-27</t>
        </is>
      </c>
      <c r="B40" s="6" t="n">
        <v>531.52</v>
      </c>
      <c r="C40" s="5">
        <f>(B40-B39)/B39</f>
        <v/>
      </c>
      <c r="D40" s="5">
        <f>NORMINV(RAND(), $C$6, $C$7)</f>
        <v/>
      </c>
      <c r="E40" s="5">
        <f>NORMINV(RAND(), $C$6, $C$7)</f>
        <v/>
      </c>
      <c r="F40" s="5">
        <f>NORMINV(RAND(), $C$6, $C$7)</f>
        <v/>
      </c>
      <c r="G40" s="5">
        <f>NORMINV(RAND(), $C$6, $C$7)</f>
        <v/>
      </c>
      <c r="H40" s="5">
        <f>NORMINV(RAND(), $C$6, $C$7)</f>
        <v/>
      </c>
      <c r="J40" t="inlineStr">
        <is>
          <t>2025-10-27</t>
        </is>
      </c>
      <c r="K40" s="6" t="n">
        <v>226.97</v>
      </c>
      <c r="L40" s="5">
        <f>(K40-K39)/K39</f>
        <v/>
      </c>
      <c r="M40" s="5">
        <f>NORMINV(RAND(), $L$6, $L$7)</f>
        <v/>
      </c>
      <c r="N40" s="5">
        <f>NORMINV(RAND(), $L$6, $L$7)</f>
        <v/>
      </c>
      <c r="O40" s="5">
        <f>NORMINV(RAND(), $L$6, $L$7)</f>
        <v/>
      </c>
      <c r="P40" s="5">
        <f>NORMINV(RAND(), $L$6, $L$7)</f>
        <v/>
      </c>
      <c r="Q40" s="5">
        <f>NORMINV(RAND(), $L$6, $L$7)</f>
        <v/>
      </c>
    </row>
    <row r="41">
      <c r="A41" t="inlineStr">
        <is>
          <t>2025-10-28</t>
        </is>
      </c>
      <c r="B41" s="6" t="n">
        <v>542.0700000000001</v>
      </c>
      <c r="C41" s="5">
        <f>(B41-B40)/B40</f>
        <v/>
      </c>
      <c r="D41" s="5">
        <f>NORMINV(RAND(), $C$6, $C$7)</f>
        <v/>
      </c>
      <c r="E41" s="5">
        <f>NORMINV(RAND(), $C$6, $C$7)</f>
        <v/>
      </c>
      <c r="F41" s="5">
        <f>NORMINV(RAND(), $C$6, $C$7)</f>
        <v/>
      </c>
      <c r="G41" s="5">
        <f>NORMINV(RAND(), $C$6, $C$7)</f>
        <v/>
      </c>
      <c r="H41" s="5">
        <f>NORMINV(RAND(), $C$6, $C$7)</f>
        <v/>
      </c>
      <c r="J41" t="inlineStr">
        <is>
          <t>2025-10-28</t>
        </is>
      </c>
      <c r="K41" s="6" t="n">
        <v>229.25</v>
      </c>
      <c r="L41" s="5">
        <f>(K41-K40)/K40</f>
        <v/>
      </c>
      <c r="M41" s="5">
        <f>NORMINV(RAND(), $L$6, $L$7)</f>
        <v/>
      </c>
      <c r="N41" s="5">
        <f>NORMINV(RAND(), $L$6, $L$7)</f>
        <v/>
      </c>
      <c r="O41" s="5">
        <f>NORMINV(RAND(), $L$6, $L$7)</f>
        <v/>
      </c>
      <c r="P41" s="5">
        <f>NORMINV(RAND(), $L$6, $L$7)</f>
        <v/>
      </c>
      <c r="Q41" s="5">
        <f>NORMINV(RAND(), $L$6, $L$7)</f>
        <v/>
      </c>
    </row>
    <row r="42">
      <c r="A42" t="inlineStr">
        <is>
          <t>2025-10-29</t>
        </is>
      </c>
      <c r="B42" s="6" t="n">
        <v>541.55</v>
      </c>
      <c r="C42" s="5">
        <f>(B42-B41)/B41</f>
        <v/>
      </c>
      <c r="D42" s="5">
        <f>NORMINV(RAND(), $C$6, $C$7)</f>
        <v/>
      </c>
      <c r="E42" s="5">
        <f>NORMINV(RAND(), $C$6, $C$7)</f>
        <v/>
      </c>
      <c r="F42" s="5">
        <f>NORMINV(RAND(), $C$6, $C$7)</f>
        <v/>
      </c>
      <c r="G42" s="5">
        <f>NORMINV(RAND(), $C$6, $C$7)</f>
        <v/>
      </c>
      <c r="H42" s="5">
        <f>NORMINV(RAND(), $C$6, $C$7)</f>
        <v/>
      </c>
      <c r="J42" t="inlineStr">
        <is>
          <t>2025-10-29</t>
        </is>
      </c>
      <c r="K42" s="6" t="n">
        <v>230.3</v>
      </c>
      <c r="L42" s="5">
        <f>(K42-K41)/K41</f>
        <v/>
      </c>
      <c r="M42" s="5">
        <f>NORMINV(RAND(), $L$6, $L$7)</f>
        <v/>
      </c>
      <c r="N42" s="5">
        <f>NORMINV(RAND(), $L$6, $L$7)</f>
        <v/>
      </c>
      <c r="O42" s="5">
        <f>NORMINV(RAND(), $L$6, $L$7)</f>
        <v/>
      </c>
      <c r="P42" s="5">
        <f>NORMINV(RAND(), $L$6, $L$7)</f>
        <v/>
      </c>
      <c r="Q42" s="5">
        <f>NORMINV(RAND(), $L$6, $L$7)</f>
        <v/>
      </c>
    </row>
    <row r="43">
      <c r="A43" t="inlineStr">
        <is>
          <t>2025-10-30</t>
        </is>
      </c>
      <c r="B43" s="6" t="n">
        <v>525.76</v>
      </c>
      <c r="C43" s="5">
        <f>(B43-B42)/B42</f>
        <v/>
      </c>
      <c r="D43" s="5">
        <f>NORMINV(RAND(), $C$6, $C$7)</f>
        <v/>
      </c>
      <c r="E43" s="5">
        <f>NORMINV(RAND(), $C$6, $C$7)</f>
        <v/>
      </c>
      <c r="F43" s="5">
        <f>NORMINV(RAND(), $C$6, $C$7)</f>
        <v/>
      </c>
      <c r="G43" s="5">
        <f>NORMINV(RAND(), $C$6, $C$7)</f>
        <v/>
      </c>
      <c r="H43" s="5">
        <f>NORMINV(RAND(), $C$6, $C$7)</f>
        <v/>
      </c>
      <c r="J43" t="inlineStr">
        <is>
          <t>2025-10-30</t>
        </is>
      </c>
      <c r="K43" s="6" t="n">
        <v>222.86</v>
      </c>
      <c r="L43" s="5">
        <f>(K43-K42)/K42</f>
        <v/>
      </c>
      <c r="M43" s="5">
        <f>NORMINV(RAND(), $L$6, $L$7)</f>
        <v/>
      </c>
      <c r="N43" s="5">
        <f>NORMINV(RAND(), $L$6, $L$7)</f>
        <v/>
      </c>
      <c r="O43" s="5">
        <f>NORMINV(RAND(), $L$6, $L$7)</f>
        <v/>
      </c>
      <c r="P43" s="5">
        <f>NORMINV(RAND(), $L$6, $L$7)</f>
        <v/>
      </c>
      <c r="Q43" s="5">
        <f>NORMINV(RAND(), $L$6, $L$7)</f>
        <v/>
      </c>
    </row>
    <row r="44">
      <c r="A44" t="inlineStr">
        <is>
          <t>2025-10-31</t>
        </is>
      </c>
      <c r="B44" s="6" t="n">
        <v>517.8099999999999</v>
      </c>
      <c r="C44" s="5">
        <f>(B44-B43)/B43</f>
        <v/>
      </c>
      <c r="D44" s="5">
        <f>NORMINV(RAND(), $C$6, $C$7)</f>
        <v/>
      </c>
      <c r="E44" s="5">
        <f>NORMINV(RAND(), $C$6, $C$7)</f>
        <v/>
      </c>
      <c r="F44" s="5">
        <f>NORMINV(RAND(), $C$6, $C$7)</f>
        <v/>
      </c>
      <c r="G44" s="5">
        <f>NORMINV(RAND(), $C$6, $C$7)</f>
        <v/>
      </c>
      <c r="H44" s="5">
        <f>NORMINV(RAND(), $C$6, $C$7)</f>
        <v/>
      </c>
      <c r="J44" t="inlineStr">
        <is>
          <t>2025-10-31</t>
        </is>
      </c>
      <c r="K44" s="6" t="n">
        <v>244.22</v>
      </c>
      <c r="L44" s="5">
        <f>(K44-K43)/K43</f>
        <v/>
      </c>
      <c r="M44" s="5">
        <f>NORMINV(RAND(), $L$6, $L$7)</f>
        <v/>
      </c>
      <c r="N44" s="5">
        <f>NORMINV(RAND(), $L$6, $L$7)</f>
        <v/>
      </c>
      <c r="O44" s="5">
        <f>NORMINV(RAND(), $L$6, $L$7)</f>
        <v/>
      </c>
      <c r="P44" s="5">
        <f>NORMINV(RAND(), $L$6, $L$7)</f>
        <v/>
      </c>
      <c r="Q44" s="5">
        <f>NORMINV(RAND(), $L$6, $L$7)</f>
        <v/>
      </c>
    </row>
    <row r="45">
      <c r="A45" t="inlineStr">
        <is>
          <t>2025-11-03</t>
        </is>
      </c>
      <c r="B45" s="6" t="n">
        <v>517.03</v>
      </c>
      <c r="C45" s="5">
        <f>(B45-B44)/B44</f>
        <v/>
      </c>
      <c r="D45" s="5">
        <f>NORMINV(RAND(), $C$6, $C$7)</f>
        <v/>
      </c>
      <c r="E45" s="5">
        <f>NORMINV(RAND(), $C$6, $C$7)</f>
        <v/>
      </c>
      <c r="F45" s="5">
        <f>NORMINV(RAND(), $C$6, $C$7)</f>
        <v/>
      </c>
      <c r="G45" s="5">
        <f>NORMINV(RAND(), $C$6, $C$7)</f>
        <v/>
      </c>
      <c r="H45" s="5">
        <f>NORMINV(RAND(), $C$6, $C$7)</f>
        <v/>
      </c>
      <c r="J45" t="inlineStr">
        <is>
          <t>2025-11-03</t>
        </is>
      </c>
      <c r="K45" s="6" t="n">
        <v>254</v>
      </c>
      <c r="L45" s="5">
        <f>(K45-K44)/K44</f>
        <v/>
      </c>
      <c r="M45" s="5">
        <f>NORMINV(RAND(), $L$6, $L$7)</f>
        <v/>
      </c>
      <c r="N45" s="5">
        <f>NORMINV(RAND(), $L$6, $L$7)</f>
        <v/>
      </c>
      <c r="O45" s="5">
        <f>NORMINV(RAND(), $L$6, $L$7)</f>
        <v/>
      </c>
      <c r="P45" s="5">
        <f>NORMINV(RAND(), $L$6, $L$7)</f>
        <v/>
      </c>
      <c r="Q45" s="5">
        <f>NORMINV(RAND(), $L$6, $L$7)</f>
        <v/>
      </c>
    </row>
    <row r="46">
      <c r="A46" t="inlineStr">
        <is>
          <t>2025-11-04</t>
        </is>
      </c>
      <c r="B46" s="6" t="n">
        <v>514.33</v>
      </c>
      <c r="C46" s="5">
        <f>(B46-B45)/B45</f>
        <v/>
      </c>
      <c r="D46" s="5">
        <f>NORMINV(RAND(), $C$6, $C$7)</f>
        <v/>
      </c>
      <c r="E46" s="5">
        <f>NORMINV(RAND(), $C$6, $C$7)</f>
        <v/>
      </c>
      <c r="F46" s="5">
        <f>NORMINV(RAND(), $C$6, $C$7)</f>
        <v/>
      </c>
      <c r="G46" s="5">
        <f>NORMINV(RAND(), $C$6, $C$7)</f>
        <v/>
      </c>
      <c r="H46" s="5">
        <f>NORMINV(RAND(), $C$6, $C$7)</f>
        <v/>
      </c>
      <c r="J46" t="inlineStr">
        <is>
          <t>2025-11-04</t>
        </is>
      </c>
      <c r="K46" s="6" t="n">
        <v>249.32</v>
      </c>
      <c r="L46" s="5">
        <f>(K46-K45)/K45</f>
        <v/>
      </c>
      <c r="M46" s="5">
        <f>NORMINV(RAND(), $L$6, $L$7)</f>
        <v/>
      </c>
      <c r="N46" s="5">
        <f>NORMINV(RAND(), $L$6, $L$7)</f>
        <v/>
      </c>
      <c r="O46" s="5">
        <f>NORMINV(RAND(), $L$6, $L$7)</f>
        <v/>
      </c>
      <c r="P46" s="5">
        <f>NORMINV(RAND(), $L$6, $L$7)</f>
        <v/>
      </c>
      <c r="Q46" s="5">
        <f>NORMINV(RAND(), $L$6, $L$7)</f>
        <v/>
      </c>
    </row>
    <row r="47">
      <c r="A47" t="inlineStr">
        <is>
          <t>2025-11-05</t>
        </is>
      </c>
      <c r="B47" s="6" t="n">
        <v>507.16</v>
      </c>
      <c r="C47" s="5">
        <f>(B47-B46)/B46</f>
        <v/>
      </c>
      <c r="D47" s="5">
        <f>NORMINV(RAND(), $C$6, $C$7)</f>
        <v/>
      </c>
      <c r="E47" s="5">
        <f>NORMINV(RAND(), $C$6, $C$7)</f>
        <v/>
      </c>
      <c r="F47" s="5">
        <f>NORMINV(RAND(), $C$6, $C$7)</f>
        <v/>
      </c>
      <c r="G47" s="5">
        <f>NORMINV(RAND(), $C$6, $C$7)</f>
        <v/>
      </c>
      <c r="H47" s="5">
        <f>NORMINV(RAND(), $C$6, $C$7)</f>
        <v/>
      </c>
      <c r="J47" t="inlineStr">
        <is>
          <t>2025-11-05</t>
        </is>
      </c>
      <c r="K47" s="6" t="n">
        <v>250.2</v>
      </c>
      <c r="L47" s="5">
        <f>(K47-K46)/K46</f>
        <v/>
      </c>
      <c r="M47" s="5">
        <f>NORMINV(RAND(), $L$6, $L$7)</f>
        <v/>
      </c>
      <c r="N47" s="5">
        <f>NORMINV(RAND(), $L$6, $L$7)</f>
        <v/>
      </c>
      <c r="O47" s="5">
        <f>NORMINV(RAND(), $L$6, $L$7)</f>
        <v/>
      </c>
      <c r="P47" s="5">
        <f>NORMINV(RAND(), $L$6, $L$7)</f>
        <v/>
      </c>
      <c r="Q47" s="5">
        <f>NORMINV(RAND(), $L$6, $L$7)</f>
        <v/>
      </c>
    </row>
    <row r="48">
      <c r="A48" t="inlineStr">
        <is>
          <t>2025-11-06</t>
        </is>
      </c>
      <c r="B48" s="6" t="n">
        <v>497.1</v>
      </c>
      <c r="C48" s="5">
        <f>(B48-B47)/B47</f>
        <v/>
      </c>
      <c r="D48" s="5">
        <f>NORMINV(RAND(), $C$6, $C$7)</f>
        <v/>
      </c>
      <c r="E48" s="5">
        <f>NORMINV(RAND(), $C$6, $C$7)</f>
        <v/>
      </c>
      <c r="F48" s="5">
        <f>NORMINV(RAND(), $C$6, $C$7)</f>
        <v/>
      </c>
      <c r="G48" s="5">
        <f>NORMINV(RAND(), $C$6, $C$7)</f>
        <v/>
      </c>
      <c r="H48" s="5">
        <f>NORMINV(RAND(), $C$6, $C$7)</f>
        <v/>
      </c>
      <c r="J48" t="inlineStr">
        <is>
          <t>2025-11-06</t>
        </is>
      </c>
      <c r="K48" s="6" t="n">
        <v>243.04</v>
      </c>
      <c r="L48" s="5">
        <f>(K48-K47)/K47</f>
        <v/>
      </c>
      <c r="M48" s="5">
        <f>NORMINV(RAND(), $L$6, $L$7)</f>
        <v/>
      </c>
      <c r="N48" s="5">
        <f>NORMINV(RAND(), $L$6, $L$7)</f>
        <v/>
      </c>
      <c r="O48" s="5">
        <f>NORMINV(RAND(), $L$6, $L$7)</f>
        <v/>
      </c>
      <c r="P48" s="5">
        <f>NORMINV(RAND(), $L$6, $L$7)</f>
        <v/>
      </c>
      <c r="Q48" s="5">
        <f>NORMINV(RAND(), $L$6, $L$7)</f>
        <v/>
      </c>
    </row>
    <row r="49">
      <c r="A49" t="inlineStr">
        <is>
          <t>2025-11-07</t>
        </is>
      </c>
      <c r="B49" s="6" t="n">
        <v>496.82</v>
      </c>
      <c r="C49" s="5">
        <f>(B49-B48)/B48</f>
        <v/>
      </c>
      <c r="D49" s="5">
        <f>NORMINV(RAND(), $C$6, $C$7)</f>
        <v/>
      </c>
      <c r="E49" s="5">
        <f>NORMINV(RAND(), $C$6, $C$7)</f>
        <v/>
      </c>
      <c r="F49" s="5">
        <f>NORMINV(RAND(), $C$6, $C$7)</f>
        <v/>
      </c>
      <c r="G49" s="5">
        <f>NORMINV(RAND(), $C$6, $C$7)</f>
        <v/>
      </c>
      <c r="H49" s="5">
        <f>NORMINV(RAND(), $C$6, $C$7)</f>
        <v/>
      </c>
      <c r="J49" t="inlineStr">
        <is>
          <t>2025-11-07</t>
        </is>
      </c>
      <c r="K49" s="6" t="n">
        <v>244.41</v>
      </c>
      <c r="L49" s="5">
        <f>(K49-K48)/K48</f>
        <v/>
      </c>
      <c r="M49" s="5">
        <f>NORMINV(RAND(), $L$6, $L$7)</f>
        <v/>
      </c>
      <c r="N49" s="5">
        <f>NORMINV(RAND(), $L$6, $L$7)</f>
        <v/>
      </c>
      <c r="O49" s="5">
        <f>NORMINV(RAND(), $L$6, $L$7)</f>
        <v/>
      </c>
      <c r="P49" s="5">
        <f>NORMINV(RAND(), $L$6, $L$7)</f>
        <v/>
      </c>
      <c r="Q49" s="5">
        <f>NORMINV(RAND(), $L$6, $L$7)</f>
        <v/>
      </c>
    </row>
    <row r="50">
      <c r="A50" t="inlineStr">
        <is>
          <t>2025-11-10</t>
        </is>
      </c>
      <c r="B50" s="6" t="n">
        <v>506</v>
      </c>
      <c r="C50" s="5">
        <f>(B50-B49)/B49</f>
        <v/>
      </c>
      <c r="D50" s="5">
        <f>NORMINV(RAND(), $C$6, $C$7)</f>
        <v/>
      </c>
      <c r="E50" s="5">
        <f>NORMINV(RAND(), $C$6, $C$7)</f>
        <v/>
      </c>
      <c r="F50" s="5">
        <f>NORMINV(RAND(), $C$6, $C$7)</f>
        <v/>
      </c>
      <c r="G50" s="5">
        <f>NORMINV(RAND(), $C$6, $C$7)</f>
        <v/>
      </c>
      <c r="H50" s="5">
        <f>NORMINV(RAND(), $C$6, $C$7)</f>
        <v/>
      </c>
      <c r="J50" t="inlineStr">
        <is>
          <t>2025-11-10</t>
        </is>
      </c>
      <c r="K50" s="6" t="n">
        <v>248.4</v>
      </c>
      <c r="L50" s="5">
        <f>(K50-K49)/K49</f>
        <v/>
      </c>
      <c r="M50" s="5">
        <f>NORMINV(RAND(), $L$6, $L$7)</f>
        <v/>
      </c>
      <c r="N50" s="5">
        <f>NORMINV(RAND(), $L$6, $L$7)</f>
        <v/>
      </c>
      <c r="O50" s="5">
        <f>NORMINV(RAND(), $L$6, $L$7)</f>
        <v/>
      </c>
      <c r="P50" s="5">
        <f>NORMINV(RAND(), $L$6, $L$7)</f>
        <v/>
      </c>
      <c r="Q50" s="5">
        <f>NORMINV(RAND(), $L$6, $L$7)</f>
        <v/>
      </c>
    </row>
    <row r="51">
      <c r="A51" t="inlineStr">
        <is>
          <t>2025-11-11</t>
        </is>
      </c>
      <c r="B51" s="6" t="n">
        <v>508.68</v>
      </c>
      <c r="C51" s="5">
        <f>(B51-B50)/B50</f>
        <v/>
      </c>
      <c r="D51" s="5">
        <f>NORMINV(RAND(), $C$6, $C$7)</f>
        <v/>
      </c>
      <c r="E51" s="5">
        <f>NORMINV(RAND(), $C$6, $C$7)</f>
        <v/>
      </c>
      <c r="F51" s="5">
        <f>NORMINV(RAND(), $C$6, $C$7)</f>
        <v/>
      </c>
      <c r="G51" s="5">
        <f>NORMINV(RAND(), $C$6, $C$7)</f>
        <v/>
      </c>
      <c r="H51" s="5">
        <f>NORMINV(RAND(), $C$6, $C$7)</f>
        <v/>
      </c>
      <c r="J51" t="inlineStr">
        <is>
          <t>2025-11-11</t>
        </is>
      </c>
      <c r="K51" s="6" t="n">
        <v>249.1</v>
      </c>
      <c r="L51" s="5">
        <f>(K51-K50)/K50</f>
        <v/>
      </c>
      <c r="M51" s="5">
        <f>NORMINV(RAND(), $L$6, $L$7)</f>
        <v/>
      </c>
      <c r="N51" s="5">
        <f>NORMINV(RAND(), $L$6, $L$7)</f>
        <v/>
      </c>
      <c r="O51" s="5">
        <f>NORMINV(RAND(), $L$6, $L$7)</f>
        <v/>
      </c>
      <c r="P51" s="5">
        <f>NORMINV(RAND(), $L$6, $L$7)</f>
        <v/>
      </c>
      <c r="Q51" s="5">
        <f>NORMINV(RAND(), $L$6, $L$7)</f>
        <v/>
      </c>
    </row>
    <row r="52">
      <c r="A52" t="inlineStr">
        <is>
          <t>2025-11-12</t>
        </is>
      </c>
      <c r="B52" s="6" t="n">
        <v>511.14</v>
      </c>
      <c r="C52" s="5">
        <f>(B52-B51)/B51</f>
        <v/>
      </c>
      <c r="D52" s="5">
        <f>NORMINV(RAND(), $C$6, $C$7)</f>
        <v/>
      </c>
      <c r="E52" s="5">
        <f>NORMINV(RAND(), $C$6, $C$7)</f>
        <v/>
      </c>
      <c r="F52" s="5">
        <f>NORMINV(RAND(), $C$6, $C$7)</f>
        <v/>
      </c>
      <c r="G52" s="5">
        <f>NORMINV(RAND(), $C$6, $C$7)</f>
        <v/>
      </c>
      <c r="H52" s="5">
        <f>NORMINV(RAND(), $C$6, $C$7)</f>
        <v/>
      </c>
      <c r="J52" t="inlineStr">
        <is>
          <t>2025-11-12</t>
        </is>
      </c>
      <c r="K52" s="6" t="n">
        <v>244.2</v>
      </c>
      <c r="L52" s="5">
        <f>(K52-K51)/K51</f>
        <v/>
      </c>
      <c r="M52" s="5">
        <f>NORMINV(RAND(), $L$6, $L$7)</f>
        <v/>
      </c>
      <c r="N52" s="5">
        <f>NORMINV(RAND(), $L$6, $L$7)</f>
        <v/>
      </c>
      <c r="O52" s="5">
        <f>NORMINV(RAND(), $L$6, $L$7)</f>
        <v/>
      </c>
      <c r="P52" s="5">
        <f>NORMINV(RAND(), $L$6, $L$7)</f>
        <v/>
      </c>
      <c r="Q52" s="5">
        <f>NORMINV(RAND(), $L$6, $L$7)</f>
        <v/>
      </c>
    </row>
    <row r="53">
      <c r="A53" t="inlineStr">
        <is>
          <t>2025-11-13</t>
        </is>
      </c>
      <c r="B53" s="6" t="n">
        <v>503.29</v>
      </c>
      <c r="C53" s="5">
        <f>(B53-B52)/B52</f>
        <v/>
      </c>
      <c r="D53" s="5">
        <f>NORMINV(RAND(), $C$6, $C$7)</f>
        <v/>
      </c>
      <c r="E53" s="5">
        <f>NORMINV(RAND(), $C$6, $C$7)</f>
        <v/>
      </c>
      <c r="F53" s="5">
        <f>NORMINV(RAND(), $C$6, $C$7)</f>
        <v/>
      </c>
      <c r="G53" s="5">
        <f>NORMINV(RAND(), $C$6, $C$7)</f>
        <v/>
      </c>
      <c r="H53" s="5">
        <f>NORMINV(RAND(), $C$6, $C$7)</f>
        <v/>
      </c>
      <c r="J53" t="inlineStr">
        <is>
          <t>2025-11-13</t>
        </is>
      </c>
      <c r="K53" s="6" t="n">
        <v>237.58</v>
      </c>
      <c r="L53" s="5">
        <f>(K53-K52)/K52</f>
        <v/>
      </c>
      <c r="M53" s="5">
        <f>NORMINV(RAND(), $L$6, $L$7)</f>
        <v/>
      </c>
      <c r="N53" s="5">
        <f>NORMINV(RAND(), $L$6, $L$7)</f>
        <v/>
      </c>
      <c r="O53" s="5">
        <f>NORMINV(RAND(), $L$6, $L$7)</f>
        <v/>
      </c>
      <c r="P53" s="5">
        <f>NORMINV(RAND(), $L$6, $L$7)</f>
        <v/>
      </c>
      <c r="Q53" s="5">
        <f>NORMINV(RAND(), $L$6, $L$7)</f>
        <v/>
      </c>
    </row>
    <row r="54">
      <c r="A54" t="inlineStr">
        <is>
          <t>2025-11-14</t>
        </is>
      </c>
      <c r="B54" s="6" t="n">
        <v>510.18</v>
      </c>
      <c r="C54" s="5">
        <f>(B54-B53)/B53</f>
        <v/>
      </c>
      <c r="D54" s="5">
        <f>NORMINV(RAND(), $C$6, $C$7)</f>
        <v/>
      </c>
      <c r="E54" s="5">
        <f>NORMINV(RAND(), $C$6, $C$7)</f>
        <v/>
      </c>
      <c r="F54" s="5">
        <f>NORMINV(RAND(), $C$6, $C$7)</f>
        <v/>
      </c>
      <c r="G54" s="5">
        <f>NORMINV(RAND(), $C$6, $C$7)</f>
        <v/>
      </c>
      <c r="H54" s="5">
        <f>NORMINV(RAND(), $C$6, $C$7)</f>
        <v/>
      </c>
      <c r="J54" t="inlineStr">
        <is>
          <t>2025-11-14</t>
        </is>
      </c>
      <c r="K54" s="6" t="n">
        <v>234.69</v>
      </c>
      <c r="L54" s="5">
        <f>(K54-K53)/K53</f>
        <v/>
      </c>
      <c r="M54" s="5">
        <f>NORMINV(RAND(), $L$6, $L$7)</f>
        <v/>
      </c>
      <c r="N54" s="5">
        <f>NORMINV(RAND(), $L$6, $L$7)</f>
        <v/>
      </c>
      <c r="O54" s="5">
        <f>NORMINV(RAND(), $L$6, $L$7)</f>
        <v/>
      </c>
      <c r="P54" s="5">
        <f>NORMINV(RAND(), $L$6, $L$7)</f>
        <v/>
      </c>
      <c r="Q54" s="5">
        <f>NORMINV(RAND(), $L$6, $L$7)</f>
        <v/>
      </c>
    </row>
    <row r="55">
      <c r="A55" t="inlineStr">
        <is>
          <t>2025-11-17</t>
        </is>
      </c>
      <c r="B55" s="6" t="n">
        <v>507.49</v>
      </c>
      <c r="C55" s="5">
        <f>(B55-B54)/B54</f>
        <v/>
      </c>
      <c r="D55" s="5">
        <f>NORMINV(RAND(), $C$6, $C$7)</f>
        <v/>
      </c>
      <c r="E55" s="5">
        <f>NORMINV(RAND(), $C$6, $C$7)</f>
        <v/>
      </c>
      <c r="F55" s="5">
        <f>NORMINV(RAND(), $C$6, $C$7)</f>
        <v/>
      </c>
      <c r="G55" s="5">
        <f>NORMINV(RAND(), $C$6, $C$7)</f>
        <v/>
      </c>
      <c r="H55" s="5">
        <f>NORMINV(RAND(), $C$6, $C$7)</f>
        <v/>
      </c>
      <c r="J55" t="inlineStr">
        <is>
          <t>2025-11-17</t>
        </is>
      </c>
      <c r="K55" s="6" t="n">
        <v>232.87</v>
      </c>
      <c r="L55" s="5">
        <f>(K55-K54)/K54</f>
        <v/>
      </c>
      <c r="M55" s="5">
        <f>NORMINV(RAND(), $L$6, $L$7)</f>
        <v/>
      </c>
      <c r="N55" s="5">
        <f>NORMINV(RAND(), $L$6, $L$7)</f>
        <v/>
      </c>
      <c r="O55" s="5">
        <f>NORMINV(RAND(), $L$6, $L$7)</f>
        <v/>
      </c>
      <c r="P55" s="5">
        <f>NORMINV(RAND(), $L$6, $L$7)</f>
        <v/>
      </c>
      <c r="Q55" s="5">
        <f>NORMINV(RAND(), $L$6, $L$7)</f>
        <v/>
      </c>
    </row>
    <row r="56">
      <c r="A56" t="inlineStr">
        <is>
          <t>2025-11-18</t>
        </is>
      </c>
      <c r="B56" s="6" t="n">
        <v>493.79</v>
      </c>
      <c r="C56" s="5">
        <f>(B56-B55)/B55</f>
        <v/>
      </c>
      <c r="D56" s="5">
        <f>NORMINV(RAND(), $C$6, $C$7)</f>
        <v/>
      </c>
      <c r="E56" s="5">
        <f>NORMINV(RAND(), $C$6, $C$7)</f>
        <v/>
      </c>
      <c r="F56" s="5">
        <f>NORMINV(RAND(), $C$6, $C$7)</f>
        <v/>
      </c>
      <c r="G56" s="5">
        <f>NORMINV(RAND(), $C$6, $C$7)</f>
        <v/>
      </c>
      <c r="H56" s="5">
        <f>NORMINV(RAND(), $C$6, $C$7)</f>
        <v/>
      </c>
      <c r="J56" t="inlineStr">
        <is>
          <t>2025-11-18</t>
        </is>
      </c>
      <c r="K56" s="6" t="n">
        <v>222.55</v>
      </c>
      <c r="L56" s="5">
        <f>(K56-K55)/K55</f>
        <v/>
      </c>
      <c r="M56" s="5">
        <f>NORMINV(RAND(), $L$6, $L$7)</f>
        <v/>
      </c>
      <c r="N56" s="5">
        <f>NORMINV(RAND(), $L$6, $L$7)</f>
        <v/>
      </c>
      <c r="O56" s="5">
        <f>NORMINV(RAND(), $L$6, $L$7)</f>
        <v/>
      </c>
      <c r="P56" s="5">
        <f>NORMINV(RAND(), $L$6, $L$7)</f>
        <v/>
      </c>
      <c r="Q56" s="5">
        <f>NORMINV(RAND(), $L$6, $L$7)</f>
        <v/>
      </c>
    </row>
    <row r="57">
      <c r="A57" t="inlineStr">
        <is>
          <t>2025-11-19</t>
        </is>
      </c>
      <c r="B57" s="6" t="n">
        <v>487.12</v>
      </c>
      <c r="C57" s="5">
        <f>(B57-B56)/B56</f>
        <v/>
      </c>
      <c r="D57" s="5">
        <f>NORMINV(RAND(), $C$6, $C$7)</f>
        <v/>
      </c>
      <c r="E57" s="5">
        <f>NORMINV(RAND(), $C$6, $C$7)</f>
        <v/>
      </c>
      <c r="F57" s="5">
        <f>NORMINV(RAND(), $C$6, $C$7)</f>
        <v/>
      </c>
      <c r="G57" s="5">
        <f>NORMINV(RAND(), $C$6, $C$7)</f>
        <v/>
      </c>
      <c r="H57" s="5">
        <f>NORMINV(RAND(), $C$6, $C$7)</f>
        <v/>
      </c>
      <c r="J57" t="inlineStr">
        <is>
          <t>2025-11-19</t>
        </is>
      </c>
      <c r="K57" s="6" t="n">
        <v>222.69</v>
      </c>
      <c r="L57" s="5">
        <f>(K57-K56)/K56</f>
        <v/>
      </c>
      <c r="M57" s="5">
        <f>NORMINV(RAND(), $L$6, $L$7)</f>
        <v/>
      </c>
      <c r="N57" s="5">
        <f>NORMINV(RAND(), $L$6, $L$7)</f>
        <v/>
      </c>
      <c r="O57" s="5">
        <f>NORMINV(RAND(), $L$6, $L$7)</f>
        <v/>
      </c>
      <c r="P57" s="5">
        <f>NORMINV(RAND(), $L$6, $L$7)</f>
        <v/>
      </c>
      <c r="Q57" s="5">
        <f>NORMINV(RAND(), $L$6, $L$7)</f>
        <v/>
      </c>
    </row>
    <row r="58">
      <c r="A58" t="inlineStr">
        <is>
          <t>2025-11-20</t>
        </is>
      </c>
      <c r="B58" s="6" t="n">
        <v>478.43</v>
      </c>
      <c r="C58" s="5">
        <f>(B58-B57)/B57</f>
        <v/>
      </c>
      <c r="D58" s="5">
        <f>NORMINV(RAND(), $C$6, $C$7)</f>
        <v/>
      </c>
      <c r="E58" s="5">
        <f>NORMINV(RAND(), $C$6, $C$7)</f>
        <v/>
      </c>
      <c r="F58" s="5">
        <f>NORMINV(RAND(), $C$6, $C$7)</f>
        <v/>
      </c>
      <c r="G58" s="5">
        <f>NORMINV(RAND(), $C$6, $C$7)</f>
        <v/>
      </c>
      <c r="H58" s="5">
        <f>NORMINV(RAND(), $C$6, $C$7)</f>
        <v/>
      </c>
      <c r="J58" t="inlineStr">
        <is>
          <t>2025-11-20</t>
        </is>
      </c>
      <c r="K58" s="6" t="n">
        <v>217.14</v>
      </c>
      <c r="L58" s="5">
        <f>(K58-K57)/K57</f>
        <v/>
      </c>
      <c r="M58" s="5">
        <f>NORMINV(RAND(), $L$6, $L$7)</f>
        <v/>
      </c>
      <c r="N58" s="5">
        <f>NORMINV(RAND(), $L$6, $L$7)</f>
        <v/>
      </c>
      <c r="O58" s="5">
        <f>NORMINV(RAND(), $L$6, $L$7)</f>
        <v/>
      </c>
      <c r="P58" s="5">
        <f>NORMINV(RAND(), $L$6, $L$7)</f>
        <v/>
      </c>
      <c r="Q58" s="5">
        <f>NORMINV(RAND(), $L$6, $L$7)</f>
        <v/>
      </c>
    </row>
    <row r="59">
      <c r="A59" t="inlineStr">
        <is>
          <t>2025-11-21</t>
        </is>
      </c>
      <c r="B59" s="6" t="n">
        <v>472.12</v>
      </c>
      <c r="C59" s="5">
        <f>(B59-B58)/B58</f>
        <v/>
      </c>
      <c r="D59" s="5">
        <f>NORMINV(RAND(), $C$6, $C$7)</f>
        <v/>
      </c>
      <c r="E59" s="5">
        <f>NORMINV(RAND(), $C$6, $C$7)</f>
        <v/>
      </c>
      <c r="F59" s="5">
        <f>NORMINV(RAND(), $C$6, $C$7)</f>
        <v/>
      </c>
      <c r="G59" s="5">
        <f>NORMINV(RAND(), $C$6, $C$7)</f>
        <v/>
      </c>
      <c r="H59" s="5">
        <f>NORMINV(RAND(), $C$6, $C$7)</f>
        <v/>
      </c>
      <c r="J59" t="inlineStr">
        <is>
          <t>2025-11-21</t>
        </is>
      </c>
      <c r="K59" s="6" t="n">
        <v>220.69</v>
      </c>
      <c r="L59" s="5">
        <f>(K59-K58)/K58</f>
        <v/>
      </c>
      <c r="M59" s="5">
        <f>NORMINV(RAND(), $L$6, $L$7)</f>
        <v/>
      </c>
      <c r="N59" s="5">
        <f>NORMINV(RAND(), $L$6, $L$7)</f>
        <v/>
      </c>
      <c r="O59" s="5">
        <f>NORMINV(RAND(), $L$6, $L$7)</f>
        <v/>
      </c>
      <c r="P59" s="5">
        <f>NORMINV(RAND(), $L$6, $L$7)</f>
        <v/>
      </c>
      <c r="Q59" s="5">
        <f>NORMINV(RAND(), $L$6, $L$7)</f>
        <v/>
      </c>
    </row>
    <row r="60">
      <c r="A60" t="inlineStr">
        <is>
          <t>2025-11-24</t>
        </is>
      </c>
      <c r="B60" s="6" t="n">
        <v>474</v>
      </c>
      <c r="C60" s="5">
        <f>(B60-B59)/B59</f>
        <v/>
      </c>
      <c r="D60" s="5">
        <f>NORMINV(RAND(), $C$6, $C$7)</f>
        <v/>
      </c>
      <c r="E60" s="5">
        <f>NORMINV(RAND(), $C$6, $C$7)</f>
        <v/>
      </c>
      <c r="F60" s="5">
        <f>NORMINV(RAND(), $C$6, $C$7)</f>
        <v/>
      </c>
      <c r="G60" s="5">
        <f>NORMINV(RAND(), $C$6, $C$7)</f>
        <v/>
      </c>
      <c r="H60" s="5">
        <f>NORMINV(RAND(), $C$6, $C$7)</f>
        <v/>
      </c>
      <c r="J60" t="inlineStr">
        <is>
          <t>2025-11-24</t>
        </is>
      </c>
      <c r="K60" s="6" t="n">
        <v>226.28</v>
      </c>
      <c r="L60" s="5">
        <f>(K60-K59)/K59</f>
        <v/>
      </c>
      <c r="M60" s="5">
        <f>NORMINV(RAND(), $L$6, $L$7)</f>
        <v/>
      </c>
      <c r="N60" s="5">
        <f>NORMINV(RAND(), $L$6, $L$7)</f>
        <v/>
      </c>
      <c r="O60" s="5">
        <f>NORMINV(RAND(), $L$6, $L$7)</f>
        <v/>
      </c>
      <c r="P60" s="5">
        <f>NORMINV(RAND(), $L$6, $L$7)</f>
        <v/>
      </c>
      <c r="Q60" s="5">
        <f>NORMINV(RAND(), $L$6, $L$7)</f>
        <v/>
      </c>
    </row>
    <row r="61">
      <c r="A61" t="inlineStr">
        <is>
          <t>2025-11-25</t>
        </is>
      </c>
      <c r="B61" s="6" t="n">
        <v>476.99</v>
      </c>
      <c r="C61" s="5">
        <f>(B61-B60)/B60</f>
        <v/>
      </c>
      <c r="D61" s="5">
        <f>NORMINV(RAND(), $C$6, $C$7)</f>
        <v/>
      </c>
      <c r="E61" s="5">
        <f>NORMINV(RAND(), $C$6, $C$7)</f>
        <v/>
      </c>
      <c r="F61" s="5">
        <f>NORMINV(RAND(), $C$6, $C$7)</f>
        <v/>
      </c>
      <c r="G61" s="5">
        <f>NORMINV(RAND(), $C$6, $C$7)</f>
        <v/>
      </c>
      <c r="H61" s="5">
        <f>NORMINV(RAND(), $C$6, $C$7)</f>
        <v/>
      </c>
      <c r="J61" t="inlineStr">
        <is>
          <t>2025-11-25</t>
        </is>
      </c>
      <c r="K61" s="6" t="n">
        <v>229.67</v>
      </c>
      <c r="L61" s="5">
        <f>(K61-K60)/K60</f>
        <v/>
      </c>
      <c r="M61" s="5">
        <f>NORMINV(RAND(), $L$6, $L$7)</f>
        <v/>
      </c>
      <c r="N61" s="5">
        <f>NORMINV(RAND(), $L$6, $L$7)</f>
        <v/>
      </c>
      <c r="O61" s="5">
        <f>NORMINV(RAND(), $L$6, $L$7)</f>
        <v/>
      </c>
      <c r="P61" s="5">
        <f>NORMINV(RAND(), $L$6, $L$7)</f>
        <v/>
      </c>
      <c r="Q61" s="5">
        <f>NORMINV(RAND(), $L$6, $L$7)</f>
        <v/>
      </c>
    </row>
    <row r="62">
      <c r="A62" t="inlineStr">
        <is>
          <t>2025-11-26</t>
        </is>
      </c>
      <c r="B62" s="6" t="n">
        <v>485.5</v>
      </c>
      <c r="C62" s="5">
        <f>(B62-B61)/B61</f>
        <v/>
      </c>
      <c r="D62" s="5">
        <f>NORMINV(RAND(), $C$6, $C$7)</f>
        <v/>
      </c>
      <c r="E62" s="5">
        <f>NORMINV(RAND(), $C$6, $C$7)</f>
        <v/>
      </c>
      <c r="F62" s="5">
        <f>NORMINV(RAND(), $C$6, $C$7)</f>
        <v/>
      </c>
      <c r="G62" s="5">
        <f>NORMINV(RAND(), $C$6, $C$7)</f>
        <v/>
      </c>
      <c r="H62" s="5">
        <f>NORMINV(RAND(), $C$6, $C$7)</f>
        <v/>
      </c>
      <c r="J62" t="inlineStr">
        <is>
          <t>2025-11-26</t>
        </is>
      </c>
      <c r="K62" s="6" t="n">
        <v>229.16</v>
      </c>
      <c r="L62" s="5">
        <f>(K62-K61)/K61</f>
        <v/>
      </c>
      <c r="M62" s="5">
        <f>NORMINV(RAND(), $L$6, $L$7)</f>
        <v/>
      </c>
      <c r="N62" s="5">
        <f>NORMINV(RAND(), $L$6, $L$7)</f>
        <v/>
      </c>
      <c r="O62" s="5">
        <f>NORMINV(RAND(), $L$6, $L$7)</f>
        <v/>
      </c>
      <c r="P62" s="5">
        <f>NORMINV(RAND(), $L$6, $L$7)</f>
        <v/>
      </c>
      <c r="Q62" s="5">
        <f>NORMINV(RAND(), $L$6, $L$7)</f>
        <v/>
      </c>
    </row>
    <row r="63">
      <c r="A63" t="inlineStr">
        <is>
          <t>2025-11-28</t>
        </is>
      </c>
      <c r="B63" s="6" t="n">
        <v>492.01</v>
      </c>
      <c r="C63" s="5">
        <f>(B63-B62)/B62</f>
        <v/>
      </c>
      <c r="D63" s="5">
        <f>NORMINV(RAND(), $C$6, $C$7)</f>
        <v/>
      </c>
      <c r="E63" s="5">
        <f>NORMINV(RAND(), $C$6, $C$7)</f>
        <v/>
      </c>
      <c r="F63" s="5">
        <f>NORMINV(RAND(), $C$6, $C$7)</f>
        <v/>
      </c>
      <c r="G63" s="5">
        <f>NORMINV(RAND(), $C$6, $C$7)</f>
        <v/>
      </c>
      <c r="H63" s="5">
        <f>NORMINV(RAND(), $C$6, $C$7)</f>
        <v/>
      </c>
      <c r="J63" t="inlineStr">
        <is>
          <t>2025-11-28</t>
        </is>
      </c>
      <c r="K63" s="6" t="n">
        <v>233.22</v>
      </c>
      <c r="L63" s="5">
        <f>(K63-K62)/K62</f>
        <v/>
      </c>
      <c r="M63" s="5">
        <f>NORMINV(RAND(), $L$6, $L$7)</f>
        <v/>
      </c>
      <c r="N63" s="5">
        <f>NORMINV(RAND(), $L$6, $L$7)</f>
        <v/>
      </c>
      <c r="O63" s="5">
        <f>NORMINV(RAND(), $L$6, $L$7)</f>
        <v/>
      </c>
      <c r="P63" s="5">
        <f>NORMINV(RAND(), $L$6, $L$7)</f>
        <v/>
      </c>
      <c r="Q63" s="5">
        <f>NORMINV(RAND(), $L$6, $L$7)</f>
        <v/>
      </c>
    </row>
    <row r="64">
      <c r="A64" t="inlineStr">
        <is>
          <t>2025-12-01</t>
        </is>
      </c>
      <c r="B64" s="6" t="n">
        <v>486.74</v>
      </c>
      <c r="C64" s="5">
        <f>(B64-B63)/B63</f>
        <v/>
      </c>
      <c r="D64" s="5">
        <f>NORMINV(RAND(), $C$6, $C$7)</f>
        <v/>
      </c>
      <c r="E64" s="5">
        <f>NORMINV(RAND(), $C$6, $C$7)</f>
        <v/>
      </c>
      <c r="F64" s="5">
        <f>NORMINV(RAND(), $C$6, $C$7)</f>
        <v/>
      </c>
      <c r="G64" s="5">
        <f>NORMINV(RAND(), $C$6, $C$7)</f>
        <v/>
      </c>
      <c r="H64" s="5">
        <f>NORMINV(RAND(), $C$6, $C$7)</f>
        <v/>
      </c>
      <c r="J64" t="inlineStr">
        <is>
          <t>2025-12-01</t>
        </is>
      </c>
      <c r="K64" s="6" t="n">
        <v>233.88</v>
      </c>
      <c r="L64" s="5">
        <f>(K64-K63)/K63</f>
        <v/>
      </c>
      <c r="M64" s="5">
        <f>NORMINV(RAND(), $L$6, $L$7)</f>
        <v/>
      </c>
      <c r="N64" s="5">
        <f>NORMINV(RAND(), $L$6, $L$7)</f>
        <v/>
      </c>
      <c r="O64" s="5">
        <f>NORMINV(RAND(), $L$6, $L$7)</f>
        <v/>
      </c>
      <c r="P64" s="5">
        <f>NORMINV(RAND(), $L$6, $L$7)</f>
        <v/>
      </c>
      <c r="Q64" s="5">
        <f>NORMINV(RAND(), $L$6, $L$7)</f>
        <v/>
      </c>
    </row>
    <row r="65">
      <c r="A65" t="inlineStr">
        <is>
          <t>2025-12-02</t>
        </is>
      </c>
      <c r="B65" s="6" t="n">
        <v>490</v>
      </c>
      <c r="C65" s="5">
        <f>(B65-B64)/B64</f>
        <v/>
      </c>
      <c r="D65" s="5">
        <f>NORMINV(RAND(), $C$6, $C$7)</f>
        <v/>
      </c>
      <c r="E65" s="5">
        <f>NORMINV(RAND(), $C$6, $C$7)</f>
        <v/>
      </c>
      <c r="F65" s="5">
        <f>NORMINV(RAND(), $C$6, $C$7)</f>
        <v/>
      </c>
      <c r="G65" s="5">
        <f>NORMINV(RAND(), $C$6, $C$7)</f>
        <v/>
      </c>
      <c r="H65" s="5">
        <f>NORMINV(RAND(), $C$6, $C$7)</f>
        <v/>
      </c>
      <c r="J65" t="inlineStr">
        <is>
          <t>2025-12-02</t>
        </is>
      </c>
      <c r="K65" s="6" t="n">
        <v>234.42</v>
      </c>
      <c r="L65" s="5">
        <f>(K65-K64)/K64</f>
        <v/>
      </c>
      <c r="M65" s="5">
        <f>NORMINV(RAND(), $L$6, $L$7)</f>
        <v/>
      </c>
      <c r="N65" s="5">
        <f>NORMINV(RAND(), $L$6, $L$7)</f>
        <v/>
      </c>
      <c r="O65" s="5">
        <f>NORMINV(RAND(), $L$6, $L$7)</f>
        <v/>
      </c>
      <c r="P65" s="5">
        <f>NORMINV(RAND(), $L$6, $L$7)</f>
        <v/>
      </c>
      <c r="Q65" s="5">
        <f>NORMINV(RAND(), $L$6, $L$7)</f>
        <v/>
      </c>
    </row>
    <row r="66">
      <c r="A66" t="inlineStr">
        <is>
          <t>2025-12-03</t>
        </is>
      </c>
      <c r="B66" s="6" t="n">
        <v>477.73</v>
      </c>
      <c r="C66" s="5">
        <f>(B66-B65)/B65</f>
        <v/>
      </c>
      <c r="D66" s="5">
        <f>NORMINV(RAND(), $C$6, $C$7)</f>
        <v/>
      </c>
      <c r="E66" s="5">
        <f>NORMINV(RAND(), $C$6, $C$7)</f>
        <v/>
      </c>
      <c r="F66" s="5">
        <f>NORMINV(RAND(), $C$6, $C$7)</f>
        <v/>
      </c>
      <c r="G66" s="5">
        <f>NORMINV(RAND(), $C$6, $C$7)</f>
        <v/>
      </c>
      <c r="H66" s="5">
        <f>NORMINV(RAND(), $C$6, $C$7)</f>
        <v/>
      </c>
      <c r="J66" t="inlineStr">
        <is>
          <t>2025-12-03</t>
        </is>
      </c>
      <c r="K66" s="6" t="n">
        <v>232.38</v>
      </c>
      <c r="L66" s="5">
        <f>(K66-K65)/K65</f>
        <v/>
      </c>
      <c r="M66" s="5">
        <f>NORMINV(RAND(), $L$6, $L$7)</f>
        <v/>
      </c>
      <c r="N66" s="5">
        <f>NORMINV(RAND(), $L$6, $L$7)</f>
        <v/>
      </c>
      <c r="O66" s="5">
        <f>NORMINV(RAND(), $L$6, $L$7)</f>
        <v/>
      </c>
      <c r="P66" s="5">
        <f>NORMINV(RAND(), $L$6, $L$7)</f>
        <v/>
      </c>
      <c r="Q66" s="5">
        <f>NORMINV(RAND(), $L$6, $L$7)</f>
        <v/>
      </c>
    </row>
    <row r="67">
      <c r="A67" t="inlineStr">
        <is>
          <t>2025-12-04</t>
        </is>
      </c>
      <c r="B67" s="6" t="n">
        <v>480.84</v>
      </c>
      <c r="C67" s="5">
        <f>(B67-B66)/B66</f>
        <v/>
      </c>
      <c r="D67" s="5">
        <f>NORMINV(RAND(), $C$6, $C$7)</f>
        <v/>
      </c>
      <c r="E67" s="5">
        <f>NORMINV(RAND(), $C$6, $C$7)</f>
        <v/>
      </c>
      <c r="F67" s="5">
        <f>NORMINV(RAND(), $C$6, $C$7)</f>
        <v/>
      </c>
      <c r="G67" s="5">
        <f>NORMINV(RAND(), $C$6, $C$7)</f>
        <v/>
      </c>
      <c r="H67" s="5">
        <f>NORMINV(RAND(), $C$6, $C$7)</f>
        <v/>
      </c>
      <c r="J67" t="inlineStr">
        <is>
          <t>2025-12-04</t>
        </is>
      </c>
      <c r="K67" s="6" t="n">
        <v>229.11</v>
      </c>
      <c r="L67" s="5">
        <f>(K67-K66)/K66</f>
        <v/>
      </c>
      <c r="M67" s="5">
        <f>NORMINV(RAND(), $L$6, $L$7)</f>
        <v/>
      </c>
      <c r="N67" s="5">
        <f>NORMINV(RAND(), $L$6, $L$7)</f>
        <v/>
      </c>
      <c r="O67" s="5">
        <f>NORMINV(RAND(), $L$6, $L$7)</f>
        <v/>
      </c>
      <c r="P67" s="5">
        <f>NORMINV(RAND(), $L$6, $L$7)</f>
        <v/>
      </c>
      <c r="Q67" s="5">
        <f>NORMINV(RAND(), $L$6, $L$7)</f>
        <v/>
      </c>
    </row>
    <row r="68">
      <c r="A68" t="inlineStr">
        <is>
          <t>2025-12-05</t>
        </is>
      </c>
      <c r="B68" s="6" t="n">
        <v>483.16</v>
      </c>
      <c r="C68" s="5">
        <f>(B68-B67)/B67</f>
        <v/>
      </c>
      <c r="D68" s="5">
        <f>NORMINV(RAND(), $C$6, $C$7)</f>
        <v/>
      </c>
      <c r="E68" s="5">
        <f>NORMINV(RAND(), $C$6, $C$7)</f>
        <v/>
      </c>
      <c r="F68" s="5">
        <f>NORMINV(RAND(), $C$6, $C$7)</f>
        <v/>
      </c>
      <c r="G68" s="5">
        <f>NORMINV(RAND(), $C$6, $C$7)</f>
        <v/>
      </c>
      <c r="H68" s="5">
        <f>NORMINV(RAND(), $C$6, $C$7)</f>
        <v/>
      </c>
      <c r="J68" t="inlineStr">
        <is>
          <t>2025-12-05</t>
        </is>
      </c>
      <c r="K68" s="6" t="n">
        <v>229.53</v>
      </c>
      <c r="L68" s="5">
        <f>(K68-K67)/K67</f>
        <v/>
      </c>
      <c r="M68" s="5">
        <f>NORMINV(RAND(), $L$6, $L$7)</f>
        <v/>
      </c>
      <c r="N68" s="5">
        <f>NORMINV(RAND(), $L$6, $L$7)</f>
        <v/>
      </c>
      <c r="O68" s="5">
        <f>NORMINV(RAND(), $L$6, $L$7)</f>
        <v/>
      </c>
      <c r="P68" s="5">
        <f>NORMINV(RAND(), $L$6, $L$7)</f>
        <v/>
      </c>
      <c r="Q68" s="5">
        <f>NORMINV(RAND(), $L$6, $L$7)</f>
        <v/>
      </c>
    </row>
    <row r="69">
      <c r="A69" t="inlineStr">
        <is>
          <t>2025-12-08</t>
        </is>
      </c>
      <c r="B69" s="6" t="n">
        <v>491.02</v>
      </c>
      <c r="C69" s="5">
        <f>(B69-B68)/B68</f>
        <v/>
      </c>
      <c r="D69" s="5">
        <f>NORMINV(RAND(), $C$6, $C$7)</f>
        <v/>
      </c>
      <c r="E69" s="5">
        <f>NORMINV(RAND(), $C$6, $C$7)</f>
        <v/>
      </c>
      <c r="F69" s="5">
        <f>NORMINV(RAND(), $C$6, $C$7)</f>
        <v/>
      </c>
      <c r="G69" s="5">
        <f>NORMINV(RAND(), $C$6, $C$7)</f>
        <v/>
      </c>
      <c r="H69" s="5">
        <f>NORMINV(RAND(), $C$6, $C$7)</f>
        <v/>
      </c>
      <c r="J69" t="inlineStr">
        <is>
          <t>2025-12-08</t>
        </is>
      </c>
      <c r="K69" s="6" t="n">
        <v>226.89</v>
      </c>
      <c r="L69" s="5">
        <f>(K69-K68)/K68</f>
        <v/>
      </c>
      <c r="M69" s="5">
        <f>NORMINV(RAND(), $L$6, $L$7)</f>
        <v/>
      </c>
      <c r="N69" s="5">
        <f>NORMINV(RAND(), $L$6, $L$7)</f>
        <v/>
      </c>
      <c r="O69" s="5">
        <f>NORMINV(RAND(), $L$6, $L$7)</f>
        <v/>
      </c>
      <c r="P69" s="5">
        <f>NORMINV(RAND(), $L$6, $L$7)</f>
        <v/>
      </c>
      <c r="Q69" s="5">
        <f>NORMINV(RAND(), $L$6, $L$7)</f>
        <v/>
      </c>
    </row>
    <row r="70">
      <c r="A70" t="inlineStr">
        <is>
          <t>2025-12-09</t>
        </is>
      </c>
      <c r="B70" s="6" t="n">
        <v>492.02</v>
      </c>
      <c r="C70" s="5">
        <f>(B70-B69)/B69</f>
        <v/>
      </c>
      <c r="D70" s="5">
        <f>NORMINV(RAND(), $C$6, $C$7)</f>
        <v/>
      </c>
      <c r="E70" s="5">
        <f>NORMINV(RAND(), $C$6, $C$7)</f>
        <v/>
      </c>
      <c r="F70" s="5">
        <f>NORMINV(RAND(), $C$6, $C$7)</f>
        <v/>
      </c>
      <c r="G70" s="5">
        <f>NORMINV(RAND(), $C$6, $C$7)</f>
        <v/>
      </c>
      <c r="H70" s="5">
        <f>NORMINV(RAND(), $C$6, $C$7)</f>
        <v/>
      </c>
      <c r="J70" t="inlineStr">
        <is>
          <t>2025-12-09</t>
        </is>
      </c>
      <c r="K70" s="6" t="n">
        <v>227.92</v>
      </c>
      <c r="L70" s="5">
        <f>(K70-K69)/K69</f>
        <v/>
      </c>
      <c r="M70" s="5">
        <f>NORMINV(RAND(), $L$6, $L$7)</f>
        <v/>
      </c>
      <c r="N70" s="5">
        <f>NORMINV(RAND(), $L$6, $L$7)</f>
        <v/>
      </c>
      <c r="O70" s="5">
        <f>NORMINV(RAND(), $L$6, $L$7)</f>
        <v/>
      </c>
      <c r="P70" s="5">
        <f>NORMINV(RAND(), $L$6, $L$7)</f>
        <v/>
      </c>
      <c r="Q70" s="5">
        <f>NORMINV(RAND(), $L$6, $L$7)</f>
        <v/>
      </c>
    </row>
    <row r="71">
      <c r="A71" t="inlineStr">
        <is>
          <t>2025-12-10</t>
        </is>
      </c>
      <c r="B71" s="6" t="n">
        <v>478.56</v>
      </c>
      <c r="C71" s="5">
        <f>(B71-B70)/B70</f>
        <v/>
      </c>
      <c r="D71" s="5">
        <f>NORMINV(RAND(), $C$6, $C$7)</f>
        <v/>
      </c>
      <c r="E71" s="5">
        <f>NORMINV(RAND(), $C$6, $C$7)</f>
        <v/>
      </c>
      <c r="F71" s="5">
        <f>NORMINV(RAND(), $C$6, $C$7)</f>
        <v/>
      </c>
      <c r="G71" s="5">
        <f>NORMINV(RAND(), $C$6, $C$7)</f>
        <v/>
      </c>
      <c r="H71" s="5">
        <f>NORMINV(RAND(), $C$6, $C$7)</f>
        <v/>
      </c>
      <c r="J71" t="inlineStr">
        <is>
          <t>2025-12-10</t>
        </is>
      </c>
      <c r="K71" s="6" t="n">
        <v>231.78</v>
      </c>
      <c r="L71" s="5">
        <f>(K71-K70)/K70</f>
        <v/>
      </c>
      <c r="M71" s="5">
        <f>NORMINV(RAND(), $L$6, $L$7)</f>
        <v/>
      </c>
      <c r="N71" s="5">
        <f>NORMINV(RAND(), $L$6, $L$7)</f>
        <v/>
      </c>
      <c r="O71" s="5">
        <f>NORMINV(RAND(), $L$6, $L$7)</f>
        <v/>
      </c>
      <c r="P71" s="5">
        <f>NORMINV(RAND(), $L$6, $L$7)</f>
        <v/>
      </c>
      <c r="Q71" s="5">
        <f>NORMINV(RAND(), $L$6, $L$7)</f>
        <v/>
      </c>
    </row>
    <row r="72">
      <c r="A72" t="inlineStr">
        <is>
          <t>2025-12-11</t>
        </is>
      </c>
      <c r="B72" s="6" t="n">
        <v>483.47</v>
      </c>
      <c r="C72" s="5">
        <f>(B72-B71)/B71</f>
        <v/>
      </c>
      <c r="D72" s="5">
        <f>NORMINV(RAND(), $C$6, $C$7)</f>
        <v/>
      </c>
      <c r="E72" s="5">
        <f>NORMINV(RAND(), $C$6, $C$7)</f>
        <v/>
      </c>
      <c r="F72" s="5">
        <f>NORMINV(RAND(), $C$6, $C$7)</f>
        <v/>
      </c>
      <c r="G72" s="5">
        <f>NORMINV(RAND(), $C$6, $C$7)</f>
        <v/>
      </c>
      <c r="H72" s="5">
        <f>NORMINV(RAND(), $C$6, $C$7)</f>
        <v/>
      </c>
      <c r="J72" t="inlineStr">
        <is>
          <t>2025-12-11</t>
        </is>
      </c>
      <c r="K72" s="6" t="n">
        <v>230.28</v>
      </c>
      <c r="L72" s="5">
        <f>(K72-K71)/K71</f>
        <v/>
      </c>
      <c r="M72" s="5">
        <f>NORMINV(RAND(), $L$6, $L$7)</f>
        <v/>
      </c>
      <c r="N72" s="5">
        <f>NORMINV(RAND(), $L$6, $L$7)</f>
        <v/>
      </c>
      <c r="O72" s="5">
        <f>NORMINV(RAND(), $L$6, $L$7)</f>
        <v/>
      </c>
      <c r="P72" s="5">
        <f>NORMINV(RAND(), $L$6, $L$7)</f>
        <v/>
      </c>
      <c r="Q72" s="5">
        <f>NORMINV(RAND(), $L$6, $L$7)</f>
        <v/>
      </c>
    </row>
    <row r="73">
      <c r="A73" t="inlineStr">
        <is>
          <t>2025-12-12</t>
        </is>
      </c>
      <c r="B73" s="6" t="n">
        <v>478.53</v>
      </c>
      <c r="C73" s="5">
        <f>(B73-B72)/B72</f>
        <v/>
      </c>
      <c r="D73" s="5">
        <f>NORMINV(RAND(), $C$6, $C$7)</f>
        <v/>
      </c>
      <c r="E73" s="5">
        <f>NORMINV(RAND(), $C$6, $C$7)</f>
        <v/>
      </c>
      <c r="F73" s="5">
        <f>NORMINV(RAND(), $C$6, $C$7)</f>
        <v/>
      </c>
      <c r="G73" s="5">
        <f>NORMINV(RAND(), $C$6, $C$7)</f>
        <v/>
      </c>
      <c r="H73" s="5">
        <f>NORMINV(RAND(), $C$6, $C$7)</f>
        <v/>
      </c>
      <c r="J73" t="inlineStr">
        <is>
          <t>2025-12-12</t>
        </is>
      </c>
      <c r="K73" s="6" t="n">
        <v>226.19</v>
      </c>
      <c r="L73" s="5">
        <f>(K73-K72)/K72</f>
        <v/>
      </c>
      <c r="M73" s="5">
        <f>NORMINV(RAND(), $L$6, $L$7)</f>
        <v/>
      </c>
      <c r="N73" s="5">
        <f>NORMINV(RAND(), $L$6, $L$7)</f>
        <v/>
      </c>
      <c r="O73" s="5">
        <f>NORMINV(RAND(), $L$6, $L$7)</f>
        <v/>
      </c>
      <c r="P73" s="5">
        <f>NORMINV(RAND(), $L$6, $L$7)</f>
        <v/>
      </c>
      <c r="Q73" s="5">
        <f>NORMINV(RAND(), $L$6, $L$7)</f>
        <v/>
      </c>
    </row>
    <row r="74">
      <c r="A74" t="inlineStr">
        <is>
          <t>2025-12-15</t>
        </is>
      </c>
      <c r="B74" s="6" t="n">
        <v>474.82</v>
      </c>
      <c r="C74" s="5">
        <f>(B74-B73)/B73</f>
        <v/>
      </c>
      <c r="D74" s="5">
        <f>NORMINV(RAND(), $C$6, $C$7)</f>
        <v/>
      </c>
      <c r="E74" s="5">
        <f>NORMINV(RAND(), $C$6, $C$7)</f>
        <v/>
      </c>
      <c r="F74" s="5">
        <f>NORMINV(RAND(), $C$6, $C$7)</f>
        <v/>
      </c>
      <c r="G74" s="5">
        <f>NORMINV(RAND(), $C$6, $C$7)</f>
        <v/>
      </c>
      <c r="H74" s="5">
        <f>NORMINV(RAND(), $C$6, $C$7)</f>
        <v/>
      </c>
      <c r="J74" t="inlineStr">
        <is>
          <t>2025-12-15</t>
        </is>
      </c>
      <c r="K74" s="6" t="n">
        <v>222.54</v>
      </c>
      <c r="L74" s="5">
        <f>(K74-K73)/K73</f>
        <v/>
      </c>
      <c r="M74" s="5">
        <f>NORMINV(RAND(), $L$6, $L$7)</f>
        <v/>
      </c>
      <c r="N74" s="5">
        <f>NORMINV(RAND(), $L$6, $L$7)</f>
        <v/>
      </c>
      <c r="O74" s="5">
        <f>NORMINV(RAND(), $L$6, $L$7)</f>
        <v/>
      </c>
      <c r="P74" s="5">
        <f>NORMINV(RAND(), $L$6, $L$7)</f>
        <v/>
      </c>
      <c r="Q74" s="5">
        <f>NORMINV(RAND(), $L$6, $L$7)</f>
        <v/>
      </c>
    </row>
    <row r="75">
      <c r="A75" t="inlineStr">
        <is>
          <t>2025-12-16</t>
        </is>
      </c>
      <c r="B75" s="6" t="n">
        <v>476.39</v>
      </c>
      <c r="C75" s="5">
        <f>(B75-B74)/B74</f>
        <v/>
      </c>
      <c r="D75" s="5">
        <f>NORMINV(RAND(), $C$6, $C$7)</f>
        <v/>
      </c>
      <c r="E75" s="5">
        <f>NORMINV(RAND(), $C$6, $C$7)</f>
        <v/>
      </c>
      <c r="F75" s="5">
        <f>NORMINV(RAND(), $C$6, $C$7)</f>
        <v/>
      </c>
      <c r="G75" s="5">
        <f>NORMINV(RAND(), $C$6, $C$7)</f>
        <v/>
      </c>
      <c r="H75" s="5">
        <f>NORMINV(RAND(), $C$6, $C$7)</f>
        <v/>
      </c>
      <c r="J75" t="inlineStr">
        <is>
          <t>2025-12-16</t>
        </is>
      </c>
      <c r="K75" s="6" t="n">
        <v>222.56</v>
      </c>
      <c r="L75" s="5">
        <f>(K75-K74)/K74</f>
        <v/>
      </c>
      <c r="M75" s="5">
        <f>NORMINV(RAND(), $L$6, $L$7)</f>
        <v/>
      </c>
      <c r="N75" s="5">
        <f>NORMINV(RAND(), $L$6, $L$7)</f>
        <v/>
      </c>
      <c r="O75" s="5">
        <f>NORMINV(RAND(), $L$6, $L$7)</f>
        <v/>
      </c>
      <c r="P75" s="5">
        <f>NORMINV(RAND(), $L$6, $L$7)</f>
        <v/>
      </c>
      <c r="Q75" s="5">
        <f>NORMINV(RAND(), $L$6, $L$7)</f>
        <v/>
      </c>
    </row>
    <row r="76">
      <c r="A76" t="inlineStr">
        <is>
          <t>2025-12-17</t>
        </is>
      </c>
      <c r="B76" s="6" t="n">
        <v>476.12</v>
      </c>
      <c r="C76" s="5">
        <f>(B76-B75)/B75</f>
        <v/>
      </c>
      <c r="D76" s="5">
        <f>NORMINV(RAND(), $C$6, $C$7)</f>
        <v/>
      </c>
      <c r="E76" s="5">
        <f>NORMINV(RAND(), $C$6, $C$7)</f>
        <v/>
      </c>
      <c r="F76" s="5">
        <f>NORMINV(RAND(), $C$6, $C$7)</f>
        <v/>
      </c>
      <c r="G76" s="5">
        <f>NORMINV(RAND(), $C$6, $C$7)</f>
        <v/>
      </c>
      <c r="H76" s="5">
        <f>NORMINV(RAND(), $C$6, $C$7)</f>
        <v/>
      </c>
      <c r="J76" t="inlineStr">
        <is>
          <t>2025-12-17</t>
        </is>
      </c>
      <c r="K76" s="6" t="n">
        <v>221.27</v>
      </c>
      <c r="L76" s="5">
        <f>(K76-K75)/K75</f>
        <v/>
      </c>
      <c r="M76" s="5">
        <f>NORMINV(RAND(), $L$6, $L$7)</f>
        <v/>
      </c>
      <c r="N76" s="5">
        <f>NORMINV(RAND(), $L$6, $L$7)</f>
        <v/>
      </c>
      <c r="O76" s="5">
        <f>NORMINV(RAND(), $L$6, $L$7)</f>
        <v/>
      </c>
      <c r="P76" s="5">
        <f>NORMINV(RAND(), $L$6, $L$7)</f>
        <v/>
      </c>
      <c r="Q76" s="5">
        <f>NORMINV(RAND(), $L$6, $L$7)</f>
        <v/>
      </c>
    </row>
    <row r="77">
      <c r="A77" t="inlineStr">
        <is>
          <t>2025-12-18</t>
        </is>
      </c>
      <c r="B77" s="6" t="n">
        <v>483.98</v>
      </c>
      <c r="C77" s="5">
        <f>(B77-B76)/B76</f>
        <v/>
      </c>
      <c r="D77" s="5">
        <f>NORMINV(RAND(), $C$6, $C$7)</f>
        <v/>
      </c>
      <c r="E77" s="5">
        <f>NORMINV(RAND(), $C$6, $C$7)</f>
        <v/>
      </c>
      <c r="F77" s="5">
        <f>NORMINV(RAND(), $C$6, $C$7)</f>
        <v/>
      </c>
      <c r="G77" s="5">
        <f>NORMINV(RAND(), $C$6, $C$7)</f>
        <v/>
      </c>
      <c r="H77" s="5">
        <f>NORMINV(RAND(), $C$6, $C$7)</f>
        <v/>
      </c>
      <c r="J77" t="inlineStr">
        <is>
          <t>2025-12-18</t>
        </is>
      </c>
      <c r="K77" s="6" t="n">
        <v>226.76</v>
      </c>
      <c r="L77" s="5">
        <f>(K77-K76)/K76</f>
        <v/>
      </c>
      <c r="M77" s="5">
        <f>NORMINV(RAND(), $L$6, $L$7)</f>
        <v/>
      </c>
      <c r="N77" s="5">
        <f>NORMINV(RAND(), $L$6, $L$7)</f>
        <v/>
      </c>
      <c r="O77" s="5">
        <f>NORMINV(RAND(), $L$6, $L$7)</f>
        <v/>
      </c>
      <c r="P77" s="5">
        <f>NORMINV(RAND(), $L$6, $L$7)</f>
        <v/>
      </c>
      <c r="Q77" s="5">
        <f>NORMINV(RAND(), $L$6, $L$7)</f>
        <v/>
      </c>
    </row>
    <row r="78">
      <c r="A78" t="inlineStr">
        <is>
          <t>2025-12-19</t>
        </is>
      </c>
      <c r="B78" s="6" t="n">
        <v>485.92</v>
      </c>
      <c r="C78" s="5">
        <f>(B78-B77)/B77</f>
        <v/>
      </c>
      <c r="D78" s="5">
        <f>NORMINV(RAND(), $C$6, $C$7)</f>
        <v/>
      </c>
      <c r="E78" s="5">
        <f>NORMINV(RAND(), $C$6, $C$7)</f>
        <v/>
      </c>
      <c r="F78" s="5">
        <f>NORMINV(RAND(), $C$6, $C$7)</f>
        <v/>
      </c>
      <c r="G78" s="5">
        <f>NORMINV(RAND(), $C$6, $C$7)</f>
        <v/>
      </c>
      <c r="H78" s="5">
        <f>NORMINV(RAND(), $C$6, $C$7)</f>
        <v/>
      </c>
      <c r="J78" t="inlineStr">
        <is>
          <t>2025-12-19</t>
        </is>
      </c>
      <c r="K78" s="6" t="n">
        <v>227.35</v>
      </c>
      <c r="L78" s="5">
        <f>(K78-K77)/K77</f>
        <v/>
      </c>
      <c r="M78" s="5">
        <f>NORMINV(RAND(), $L$6, $L$7)</f>
        <v/>
      </c>
      <c r="N78" s="5">
        <f>NORMINV(RAND(), $L$6, $L$7)</f>
        <v/>
      </c>
      <c r="O78" s="5">
        <f>NORMINV(RAND(), $L$6, $L$7)</f>
        <v/>
      </c>
      <c r="P78" s="5">
        <f>NORMINV(RAND(), $L$6, $L$7)</f>
        <v/>
      </c>
      <c r="Q78" s="5">
        <f>NORMINV(RAND(), $L$6, $L$7)</f>
        <v/>
      </c>
    </row>
    <row r="79">
      <c r="A79" t="inlineStr">
        <is>
          <t>2025-12-22</t>
        </is>
      </c>
      <c r="B79" s="6" t="n">
        <v>484.92</v>
      </c>
      <c r="C79" s="5">
        <f>(B79-B78)/B78</f>
        <v/>
      </c>
      <c r="D79" s="5">
        <f>NORMINV(RAND(), $C$6, $C$7)</f>
        <v/>
      </c>
      <c r="E79" s="5">
        <f>NORMINV(RAND(), $C$6, $C$7)</f>
        <v/>
      </c>
      <c r="F79" s="5">
        <f>NORMINV(RAND(), $C$6, $C$7)</f>
        <v/>
      </c>
      <c r="G79" s="5">
        <f>NORMINV(RAND(), $C$6, $C$7)</f>
        <v/>
      </c>
      <c r="H79" s="5">
        <f>NORMINV(RAND(), $C$6, $C$7)</f>
        <v/>
      </c>
      <c r="J79" t="inlineStr">
        <is>
          <t>2025-12-22</t>
        </is>
      </c>
      <c r="K79" s="6" t="n">
        <v>228.43</v>
      </c>
      <c r="L79" s="5">
        <f>(K79-K78)/K78</f>
        <v/>
      </c>
      <c r="M79" s="5">
        <f>NORMINV(RAND(), $L$6, $L$7)</f>
        <v/>
      </c>
      <c r="N79" s="5">
        <f>NORMINV(RAND(), $L$6, $L$7)</f>
        <v/>
      </c>
      <c r="O79" s="5">
        <f>NORMINV(RAND(), $L$6, $L$7)</f>
        <v/>
      </c>
      <c r="P79" s="5">
        <f>NORMINV(RAND(), $L$6, $L$7)</f>
        <v/>
      </c>
      <c r="Q79" s="5">
        <f>NORMINV(RAND(), $L$6, $L$7)</f>
        <v/>
      </c>
    </row>
    <row r="80">
      <c r="A80" t="inlineStr">
        <is>
          <t>2025-12-23</t>
        </is>
      </c>
      <c r="B80" s="6" t="n">
        <v>486.85</v>
      </c>
      <c r="C80" s="5">
        <f>(B80-B79)/B79</f>
        <v/>
      </c>
      <c r="D80" s="5">
        <f>NORMINV(RAND(), $C$6, $C$7)</f>
        <v/>
      </c>
      <c r="E80" s="5">
        <f>NORMINV(RAND(), $C$6, $C$7)</f>
        <v/>
      </c>
      <c r="F80" s="5">
        <f>NORMINV(RAND(), $C$6, $C$7)</f>
        <v/>
      </c>
      <c r="G80" s="5">
        <f>NORMINV(RAND(), $C$6, $C$7)</f>
        <v/>
      </c>
      <c r="H80" s="5">
        <f>NORMINV(RAND(), $C$6, $C$7)</f>
        <v/>
      </c>
      <c r="J80" t="inlineStr">
        <is>
          <t>2025-12-23</t>
        </is>
      </c>
      <c r="K80" s="6" t="n">
        <v>232.14</v>
      </c>
      <c r="L80" s="5">
        <f>(K80-K79)/K79</f>
        <v/>
      </c>
      <c r="M80" s="5">
        <f>NORMINV(RAND(), $L$6, $L$7)</f>
        <v/>
      </c>
      <c r="N80" s="5">
        <f>NORMINV(RAND(), $L$6, $L$7)</f>
        <v/>
      </c>
      <c r="O80" s="5">
        <f>NORMINV(RAND(), $L$6, $L$7)</f>
        <v/>
      </c>
      <c r="P80" s="5">
        <f>NORMINV(RAND(), $L$6, $L$7)</f>
        <v/>
      </c>
      <c r="Q80" s="5">
        <f>NORMINV(RAND(), $L$6, $L$7)</f>
        <v/>
      </c>
    </row>
    <row r="81">
      <c r="A81" t="inlineStr">
        <is>
          <t>2025-12-24</t>
        </is>
      </c>
      <c r="B81" s="6" t="n">
        <v>488.02</v>
      </c>
      <c r="C81" s="5">
        <f>(B81-B80)/B80</f>
        <v/>
      </c>
      <c r="D81" s="5">
        <f>NORMINV(RAND(), $C$6, $C$7)</f>
        <v/>
      </c>
      <c r="E81" s="5">
        <f>NORMINV(RAND(), $C$6, $C$7)</f>
        <v/>
      </c>
      <c r="F81" s="5">
        <f>NORMINV(RAND(), $C$6, $C$7)</f>
        <v/>
      </c>
      <c r="G81" s="5">
        <f>NORMINV(RAND(), $C$6, $C$7)</f>
        <v/>
      </c>
      <c r="H81" s="5">
        <f>NORMINV(RAND(), $C$6, $C$7)</f>
        <v/>
      </c>
      <c r="J81" t="inlineStr">
        <is>
          <t>2025-12-24</t>
        </is>
      </c>
      <c r="K81" s="6" t="n">
        <v>232.38</v>
      </c>
      <c r="L81" s="5">
        <f>(K81-K80)/K80</f>
        <v/>
      </c>
      <c r="M81" s="5">
        <f>NORMINV(RAND(), $L$6, $L$7)</f>
        <v/>
      </c>
      <c r="N81" s="5">
        <f>NORMINV(RAND(), $L$6, $L$7)</f>
        <v/>
      </c>
      <c r="O81" s="5">
        <f>NORMINV(RAND(), $L$6, $L$7)</f>
        <v/>
      </c>
      <c r="P81" s="5">
        <f>NORMINV(RAND(), $L$6, $L$7)</f>
        <v/>
      </c>
      <c r="Q81" s="5">
        <f>NORMINV(RAND(), $L$6, $L$7)</f>
        <v/>
      </c>
    </row>
    <row r="82">
      <c r="A82" t="inlineStr">
        <is>
          <t>2025-12-26</t>
        </is>
      </c>
      <c r="B82" s="6" t="n">
        <v>487.71</v>
      </c>
      <c r="C82" s="5">
        <f>(B82-B81)/B81</f>
        <v/>
      </c>
      <c r="D82" s="5">
        <f>NORMINV(RAND(), $C$6, $C$7)</f>
        <v/>
      </c>
      <c r="E82" s="5">
        <f>NORMINV(RAND(), $C$6, $C$7)</f>
        <v/>
      </c>
      <c r="F82" s="5">
        <f>NORMINV(RAND(), $C$6, $C$7)</f>
        <v/>
      </c>
      <c r="G82" s="5">
        <f>NORMINV(RAND(), $C$6, $C$7)</f>
        <v/>
      </c>
      <c r="H82" s="5">
        <f>NORMINV(RAND(), $C$6, $C$7)</f>
        <v/>
      </c>
      <c r="J82" t="inlineStr">
        <is>
          <t>2025-12-26</t>
        </is>
      </c>
      <c r="K82" s="6" t="n">
        <v>232.52</v>
      </c>
      <c r="L82" s="5">
        <f>(K82-K81)/K81</f>
        <v/>
      </c>
      <c r="M82" s="5">
        <f>NORMINV(RAND(), $L$6, $L$7)</f>
        <v/>
      </c>
      <c r="N82" s="5">
        <f>NORMINV(RAND(), $L$6, $L$7)</f>
        <v/>
      </c>
      <c r="O82" s="5">
        <f>NORMINV(RAND(), $L$6, $L$7)</f>
        <v/>
      </c>
      <c r="P82" s="5">
        <f>NORMINV(RAND(), $L$6, $L$7)</f>
        <v/>
      </c>
      <c r="Q82" s="5">
        <f>NORMINV(RAND(), $L$6, $L$7)</f>
        <v/>
      </c>
    </row>
    <row r="83">
      <c r="A83" t="inlineStr">
        <is>
          <t>2025-12-29</t>
        </is>
      </c>
      <c r="B83" s="6" t="n">
        <v>487.1</v>
      </c>
      <c r="C83" s="5">
        <f>(B83-B82)/B82</f>
        <v/>
      </c>
      <c r="D83" s="5">
        <f>NORMINV(RAND(), $C$6, $C$7)</f>
        <v/>
      </c>
      <c r="E83" s="5">
        <f>NORMINV(RAND(), $C$6, $C$7)</f>
        <v/>
      </c>
      <c r="F83" s="5">
        <f>NORMINV(RAND(), $C$6, $C$7)</f>
        <v/>
      </c>
      <c r="G83" s="5">
        <f>NORMINV(RAND(), $C$6, $C$7)</f>
        <v/>
      </c>
      <c r="H83" s="5">
        <f>NORMINV(RAND(), $C$6, $C$7)</f>
        <v/>
      </c>
      <c r="J83" t="inlineStr">
        <is>
          <t>2025-12-29</t>
        </is>
      </c>
      <c r="K83" s="6" t="n">
        <v>232.07</v>
      </c>
      <c r="L83" s="5">
        <f>(K83-K82)/K82</f>
        <v/>
      </c>
      <c r="M83" s="5">
        <f>NORMINV(RAND(), $L$6, $L$7)</f>
        <v/>
      </c>
      <c r="N83" s="5">
        <f>NORMINV(RAND(), $L$6, $L$7)</f>
        <v/>
      </c>
      <c r="O83" s="5">
        <f>NORMINV(RAND(), $L$6, $L$7)</f>
        <v/>
      </c>
      <c r="P83" s="5">
        <f>NORMINV(RAND(), $L$6, $L$7)</f>
        <v/>
      </c>
      <c r="Q83" s="5">
        <f>NORMINV(RAND(), $L$6, $L$7)</f>
        <v/>
      </c>
    </row>
    <row r="84">
      <c r="A84" t="inlineStr">
        <is>
          <t>2025-12-30</t>
        </is>
      </c>
      <c r="B84" s="6" t="n">
        <v>487.48</v>
      </c>
      <c r="C84" s="5">
        <f>(B84-B83)/B83</f>
        <v/>
      </c>
      <c r="D84" s="5">
        <f>NORMINV(RAND(), $C$6, $C$7)</f>
        <v/>
      </c>
      <c r="E84" s="5">
        <f>NORMINV(RAND(), $C$6, $C$7)</f>
        <v/>
      </c>
      <c r="F84" s="5">
        <f>NORMINV(RAND(), $C$6, $C$7)</f>
        <v/>
      </c>
      <c r="G84" s="5">
        <f>NORMINV(RAND(), $C$6, $C$7)</f>
        <v/>
      </c>
      <c r="H84" s="5">
        <f>NORMINV(RAND(), $C$6, $C$7)</f>
        <v/>
      </c>
      <c r="J84" t="inlineStr">
        <is>
          <t>2025-12-30</t>
        </is>
      </c>
      <c r="K84" s="6" t="n">
        <v>232.53</v>
      </c>
      <c r="L84" s="5">
        <f>(K84-K83)/K83</f>
        <v/>
      </c>
      <c r="M84" s="5">
        <f>NORMINV(RAND(), $L$6, $L$7)</f>
        <v/>
      </c>
      <c r="N84" s="5">
        <f>NORMINV(RAND(), $L$6, $L$7)</f>
        <v/>
      </c>
      <c r="O84" s="5">
        <f>NORMINV(RAND(), $L$6, $L$7)</f>
        <v/>
      </c>
      <c r="P84" s="5">
        <f>NORMINV(RAND(), $L$6, $L$7)</f>
        <v/>
      </c>
      <c r="Q84" s="5">
        <f>NORMINV(RAND(), $L$6, $L$7)</f>
        <v/>
      </c>
    </row>
    <row r="85">
      <c r="A85" t="inlineStr">
        <is>
          <t>2025-12-31</t>
        </is>
      </c>
      <c r="B85" s="6" t="n">
        <v>483.62</v>
      </c>
      <c r="C85" s="5">
        <f>(B85-B84)/B84</f>
        <v/>
      </c>
      <c r="D85" s="5">
        <f>NORMINV(RAND(), $C$6, $C$7)</f>
        <v/>
      </c>
      <c r="E85" s="5">
        <f>NORMINV(RAND(), $C$6, $C$7)</f>
        <v/>
      </c>
      <c r="F85" s="5">
        <f>NORMINV(RAND(), $C$6, $C$7)</f>
        <v/>
      </c>
      <c r="G85" s="5">
        <f>NORMINV(RAND(), $C$6, $C$7)</f>
        <v/>
      </c>
      <c r="H85" s="5">
        <f>NORMINV(RAND(), $C$6, $C$7)</f>
        <v/>
      </c>
      <c r="J85" t="inlineStr">
        <is>
          <t>2025-12-31</t>
        </is>
      </c>
      <c r="K85" s="6" t="n">
        <v>230.82</v>
      </c>
      <c r="L85" s="5">
        <f>(K85-K84)/K84</f>
        <v/>
      </c>
      <c r="M85" s="5">
        <f>NORMINV(RAND(), $L$6, $L$7)</f>
        <v/>
      </c>
      <c r="N85" s="5">
        <f>NORMINV(RAND(), $L$6, $L$7)</f>
        <v/>
      </c>
      <c r="O85" s="5">
        <f>NORMINV(RAND(), $L$6, $L$7)</f>
        <v/>
      </c>
      <c r="P85" s="5">
        <f>NORMINV(RAND(), $L$6, $L$7)</f>
        <v/>
      </c>
      <c r="Q85" s="5">
        <f>NORMINV(RAND(), $L$6, $L$7)</f>
        <v/>
      </c>
    </row>
    <row r="86">
      <c r="A86" t="inlineStr">
        <is>
          <t>2026-01-02</t>
        </is>
      </c>
      <c r="B86" s="6" t="n">
        <v>472.94</v>
      </c>
      <c r="C86" s="5">
        <f>(B86-B85)/B85</f>
        <v/>
      </c>
      <c r="D86" s="5">
        <f>NORMINV(RAND(), $C$6, $C$7)</f>
        <v/>
      </c>
      <c r="E86" s="5">
        <f>NORMINV(RAND(), $C$6, $C$7)</f>
        <v/>
      </c>
      <c r="F86" s="5">
        <f>NORMINV(RAND(), $C$6, $C$7)</f>
        <v/>
      </c>
      <c r="G86" s="5">
        <f>NORMINV(RAND(), $C$6, $C$7)</f>
        <v/>
      </c>
      <c r="H86" s="5">
        <f>NORMINV(RAND(), $C$6, $C$7)</f>
        <v/>
      </c>
      <c r="J86" t="inlineStr">
        <is>
          <t>2026-01-02</t>
        </is>
      </c>
      <c r="K86" s="6" t="n">
        <v>226.5</v>
      </c>
      <c r="L86" s="5">
        <f>(K86-K85)/K85</f>
        <v/>
      </c>
      <c r="M86" s="5">
        <f>NORMINV(RAND(), $L$6, $L$7)</f>
        <v/>
      </c>
      <c r="N86" s="5">
        <f>NORMINV(RAND(), $L$6, $L$7)</f>
        <v/>
      </c>
      <c r="O86" s="5">
        <f>NORMINV(RAND(), $L$6, $L$7)</f>
        <v/>
      </c>
      <c r="P86" s="5">
        <f>NORMINV(RAND(), $L$6, $L$7)</f>
        <v/>
      </c>
      <c r="Q86" s="5">
        <f>NORMINV(RAND(), $L$6, $L$7)</f>
        <v/>
      </c>
    </row>
    <row r="87">
      <c r="A87" t="inlineStr">
        <is>
          <t>2026-01-05</t>
        </is>
      </c>
      <c r="B87" s="6" t="n">
        <v>472.85</v>
      </c>
      <c r="C87" s="5">
        <f>(B87-B86)/B86</f>
        <v/>
      </c>
      <c r="D87" s="5">
        <f>NORMINV(RAND(), $C$6, $C$7)</f>
        <v/>
      </c>
      <c r="E87" s="5">
        <f>NORMINV(RAND(), $C$6, $C$7)</f>
        <v/>
      </c>
      <c r="F87" s="5">
        <f>NORMINV(RAND(), $C$6, $C$7)</f>
        <v/>
      </c>
      <c r="G87" s="5">
        <f>NORMINV(RAND(), $C$6, $C$7)</f>
        <v/>
      </c>
      <c r="H87" s="5">
        <f>NORMINV(RAND(), $C$6, $C$7)</f>
        <v/>
      </c>
      <c r="J87" t="inlineStr">
        <is>
          <t>2026-01-05</t>
        </is>
      </c>
      <c r="K87" s="6" t="n">
        <v>233.06</v>
      </c>
      <c r="L87" s="5">
        <f>(K87-K86)/K86</f>
        <v/>
      </c>
      <c r="M87" s="5">
        <f>NORMINV(RAND(), $L$6, $L$7)</f>
        <v/>
      </c>
      <c r="N87" s="5">
        <f>NORMINV(RAND(), $L$6, $L$7)</f>
        <v/>
      </c>
      <c r="O87" s="5">
        <f>NORMINV(RAND(), $L$6, $L$7)</f>
        <v/>
      </c>
      <c r="P87" s="5">
        <f>NORMINV(RAND(), $L$6, $L$7)</f>
        <v/>
      </c>
      <c r="Q87" s="5">
        <f>NORMINV(RAND(), $L$6, $L$7)</f>
        <v/>
      </c>
    </row>
    <row r="88">
      <c r="A88" t="inlineStr">
        <is>
          <t>2026-01-06</t>
        </is>
      </c>
      <c r="B88" s="6" t="n">
        <v>478.51</v>
      </c>
      <c r="C88" s="5">
        <f>(B88-B87)/B87</f>
        <v/>
      </c>
      <c r="D88" s="5">
        <f>NORMINV(RAND(), $C$6, $C$7)</f>
        <v/>
      </c>
      <c r="E88" s="5">
        <f>NORMINV(RAND(), $C$6, $C$7)</f>
        <v/>
      </c>
      <c r="F88" s="5">
        <f>NORMINV(RAND(), $C$6, $C$7)</f>
        <v/>
      </c>
      <c r="G88" s="5">
        <f>NORMINV(RAND(), $C$6, $C$7)</f>
        <v/>
      </c>
      <c r="H88" s="5">
        <f>NORMINV(RAND(), $C$6, $C$7)</f>
        <v/>
      </c>
      <c r="J88" t="inlineStr">
        <is>
          <t>2026-01-06</t>
        </is>
      </c>
      <c r="K88" s="6" t="n">
        <v>240.93</v>
      </c>
      <c r="L88" s="5">
        <f>(K88-K87)/K87</f>
        <v/>
      </c>
      <c r="M88" s="5">
        <f>NORMINV(RAND(), $L$6, $L$7)</f>
        <v/>
      </c>
      <c r="N88" s="5">
        <f>NORMINV(RAND(), $L$6, $L$7)</f>
        <v/>
      </c>
      <c r="O88" s="5">
        <f>NORMINV(RAND(), $L$6, $L$7)</f>
        <v/>
      </c>
      <c r="P88" s="5">
        <f>NORMINV(RAND(), $L$6, $L$7)</f>
        <v/>
      </c>
      <c r="Q88" s="5">
        <f>NORMINV(RAND(), $L$6, $L$7)</f>
        <v/>
      </c>
    </row>
    <row r="89">
      <c r="A89" t="inlineStr">
        <is>
          <t>2026-01-07</t>
        </is>
      </c>
      <c r="B89" s="6" t="n">
        <v>483.47</v>
      </c>
      <c r="C89" s="5">
        <f>(B89-B88)/B88</f>
        <v/>
      </c>
      <c r="D89" s="5">
        <f>NORMINV(RAND(), $C$6, $C$7)</f>
        <v/>
      </c>
      <c r="E89" s="5">
        <f>NORMINV(RAND(), $C$6, $C$7)</f>
        <v/>
      </c>
      <c r="F89" s="5">
        <f>NORMINV(RAND(), $C$6, $C$7)</f>
        <v/>
      </c>
      <c r="G89" s="5">
        <f>NORMINV(RAND(), $C$6, $C$7)</f>
        <v/>
      </c>
      <c r="H89" s="5">
        <f>NORMINV(RAND(), $C$6, $C$7)</f>
        <v/>
      </c>
      <c r="J89" t="inlineStr">
        <is>
          <t>2026-01-07</t>
        </is>
      </c>
      <c r="K89" s="6" t="n">
        <v>241.56</v>
      </c>
      <c r="L89" s="5">
        <f>(K89-K88)/K88</f>
        <v/>
      </c>
      <c r="M89" s="5">
        <f>NORMINV(RAND(), $L$6, $L$7)</f>
        <v/>
      </c>
      <c r="N89" s="5">
        <f>NORMINV(RAND(), $L$6, $L$7)</f>
        <v/>
      </c>
      <c r="O89" s="5">
        <f>NORMINV(RAND(), $L$6, $L$7)</f>
        <v/>
      </c>
      <c r="P89" s="5">
        <f>NORMINV(RAND(), $L$6, $L$7)</f>
        <v/>
      </c>
      <c r="Q89" s="5">
        <f>NORMINV(RAND(), $L$6, $L$7)</f>
        <v/>
      </c>
    </row>
    <row r="90">
      <c r="A90" t="inlineStr">
        <is>
          <t>2026-01-08</t>
        </is>
      </c>
      <c r="B90" s="6" t="n">
        <v>478.11</v>
      </c>
      <c r="C90" s="5">
        <f>(B90-B89)/B89</f>
        <v/>
      </c>
      <c r="D90" s="5">
        <f>NORMINV(RAND(), $C$6, $C$7)</f>
        <v/>
      </c>
      <c r="E90" s="5">
        <f>NORMINV(RAND(), $C$6, $C$7)</f>
        <v/>
      </c>
      <c r="F90" s="5">
        <f>NORMINV(RAND(), $C$6, $C$7)</f>
        <v/>
      </c>
      <c r="G90" s="5">
        <f>NORMINV(RAND(), $C$6, $C$7)</f>
        <v/>
      </c>
      <c r="H90" s="5">
        <f>NORMINV(RAND(), $C$6, $C$7)</f>
        <v/>
      </c>
      <c r="J90" t="inlineStr">
        <is>
          <t>2026-01-08</t>
        </is>
      </c>
      <c r="K90" s="6" t="n">
        <v>246.29</v>
      </c>
      <c r="L90" s="5">
        <f>(K90-K89)/K89</f>
        <v/>
      </c>
      <c r="M90" s="5">
        <f>NORMINV(RAND(), $L$6, $L$7)</f>
        <v/>
      </c>
      <c r="N90" s="5">
        <f>NORMINV(RAND(), $L$6, $L$7)</f>
        <v/>
      </c>
      <c r="O90" s="5">
        <f>NORMINV(RAND(), $L$6, $L$7)</f>
        <v/>
      </c>
      <c r="P90" s="5">
        <f>NORMINV(RAND(), $L$6, $L$7)</f>
        <v/>
      </c>
      <c r="Q90" s="5">
        <f>NORMINV(RAND(), $L$6, $L$7)</f>
        <v/>
      </c>
    </row>
    <row r="91">
      <c r="A91" t="inlineStr">
        <is>
          <t>2026-01-09</t>
        </is>
      </c>
      <c r="B91" s="6" t="n">
        <v>479.28</v>
      </c>
      <c r="C91" s="5">
        <f>(B91-B90)/B90</f>
        <v/>
      </c>
      <c r="D91" s="5">
        <f>NORMINV(RAND(), $C$6, $C$7)</f>
        <v/>
      </c>
      <c r="E91" s="5">
        <f>NORMINV(RAND(), $C$6, $C$7)</f>
        <v/>
      </c>
      <c r="F91" s="5">
        <f>NORMINV(RAND(), $C$6, $C$7)</f>
        <v/>
      </c>
      <c r="G91" s="5">
        <f>NORMINV(RAND(), $C$6, $C$7)</f>
        <v/>
      </c>
      <c r="H91" s="5">
        <f>NORMINV(RAND(), $C$6, $C$7)</f>
        <v/>
      </c>
      <c r="J91" t="inlineStr">
        <is>
          <t>2026-01-09</t>
        </is>
      </c>
      <c r="K91" s="6" t="n">
        <v>247.38</v>
      </c>
      <c r="L91" s="5">
        <f>(K91-K90)/K90</f>
        <v/>
      </c>
      <c r="M91" s="5">
        <f>NORMINV(RAND(), $L$6, $L$7)</f>
        <v/>
      </c>
      <c r="N91" s="5">
        <f>NORMINV(RAND(), $L$6, $L$7)</f>
        <v/>
      </c>
      <c r="O91" s="5">
        <f>NORMINV(RAND(), $L$6, $L$7)</f>
        <v/>
      </c>
      <c r="P91" s="5">
        <f>NORMINV(RAND(), $L$6, $L$7)</f>
        <v/>
      </c>
      <c r="Q91" s="5">
        <f>NORMINV(RAND(), $L$6, $L$7)</f>
        <v/>
      </c>
    </row>
    <row r="92">
      <c r="A92" t="inlineStr">
        <is>
          <t>2026-01-12</t>
        </is>
      </c>
      <c r="B92" s="6" t="n">
        <v>477.18</v>
      </c>
      <c r="C92" s="5">
        <f>(B92-B91)/B91</f>
        <v/>
      </c>
      <c r="D92" s="5">
        <f>NORMINV(RAND(), $C$6, $C$7)</f>
        <v/>
      </c>
      <c r="E92" s="5">
        <f>NORMINV(RAND(), $C$6, $C$7)</f>
        <v/>
      </c>
      <c r="F92" s="5">
        <f>NORMINV(RAND(), $C$6, $C$7)</f>
        <v/>
      </c>
      <c r="G92" s="5">
        <f>NORMINV(RAND(), $C$6, $C$7)</f>
        <v/>
      </c>
      <c r="H92" s="5">
        <f>NORMINV(RAND(), $C$6, $C$7)</f>
        <v/>
      </c>
      <c r="J92" t="inlineStr">
        <is>
          <t>2026-01-12</t>
        </is>
      </c>
      <c r="K92" s="6" t="n">
        <v>246.47</v>
      </c>
      <c r="L92" s="5">
        <f>(K92-K91)/K91</f>
        <v/>
      </c>
      <c r="M92" s="5">
        <f>NORMINV(RAND(), $L$6, $L$7)</f>
        <v/>
      </c>
      <c r="N92" s="5">
        <f>NORMINV(RAND(), $L$6, $L$7)</f>
        <v/>
      </c>
      <c r="O92" s="5">
        <f>NORMINV(RAND(), $L$6, $L$7)</f>
        <v/>
      </c>
      <c r="P92" s="5">
        <f>NORMINV(RAND(), $L$6, $L$7)</f>
        <v/>
      </c>
      <c r="Q92" s="5">
        <f>NORMINV(RAND(), $L$6, $L$7)</f>
        <v/>
      </c>
    </row>
    <row r="93">
      <c r="A93" t="inlineStr">
        <is>
          <t>2026-01-13</t>
        </is>
      </c>
      <c r="B93" s="6" t="n">
        <v>470.67</v>
      </c>
      <c r="C93" s="5">
        <f>(B93-B92)/B92</f>
        <v/>
      </c>
      <c r="D93" s="5">
        <f>NORMINV(RAND(), $C$6, $C$7)</f>
        <v/>
      </c>
      <c r="E93" s="5">
        <f>NORMINV(RAND(), $C$6, $C$7)</f>
        <v/>
      </c>
      <c r="F93" s="5">
        <f>NORMINV(RAND(), $C$6, $C$7)</f>
        <v/>
      </c>
      <c r="G93" s="5">
        <f>NORMINV(RAND(), $C$6, $C$7)</f>
        <v/>
      </c>
      <c r="H93" s="5">
        <f>NORMINV(RAND(), $C$6, $C$7)</f>
        <v/>
      </c>
      <c r="J93" t="inlineStr">
        <is>
          <t>2026-01-13</t>
        </is>
      </c>
      <c r="K93" s="6" t="n">
        <v>242.6</v>
      </c>
      <c r="L93" s="5">
        <f>(K93-K92)/K92</f>
        <v/>
      </c>
      <c r="M93" s="5">
        <f>NORMINV(RAND(), $L$6, $L$7)</f>
        <v/>
      </c>
      <c r="N93" s="5">
        <f>NORMINV(RAND(), $L$6, $L$7)</f>
        <v/>
      </c>
      <c r="O93" s="5">
        <f>NORMINV(RAND(), $L$6, $L$7)</f>
        <v/>
      </c>
      <c r="P93" s="5">
        <f>NORMINV(RAND(), $L$6, $L$7)</f>
        <v/>
      </c>
      <c r="Q93" s="5">
        <f>NORMINV(RAND(), $L$6, $L$7)</f>
        <v/>
      </c>
    </row>
    <row r="94">
      <c r="A94" t="inlineStr">
        <is>
          <t>2026-01-14</t>
        </is>
      </c>
      <c r="B94" s="6" t="n">
        <v>459.38</v>
      </c>
      <c r="C94" s="5">
        <f>(B94-B93)/B93</f>
        <v/>
      </c>
      <c r="D94" s="5">
        <f>NORMINV(RAND(), $C$6, $C$7)</f>
        <v/>
      </c>
      <c r="E94" s="5">
        <f>NORMINV(RAND(), $C$6, $C$7)</f>
        <v/>
      </c>
      <c r="F94" s="5">
        <f>NORMINV(RAND(), $C$6, $C$7)</f>
        <v/>
      </c>
      <c r="G94" s="5">
        <f>NORMINV(RAND(), $C$6, $C$7)</f>
        <v/>
      </c>
      <c r="H94" s="5">
        <f>NORMINV(RAND(), $C$6, $C$7)</f>
        <v/>
      </c>
      <c r="J94" t="inlineStr">
        <is>
          <t>2026-01-14</t>
        </is>
      </c>
      <c r="K94" s="6" t="n">
        <v>236.65</v>
      </c>
      <c r="L94" s="5">
        <f>(K94-K93)/K93</f>
        <v/>
      </c>
      <c r="M94" s="5">
        <f>NORMINV(RAND(), $L$6, $L$7)</f>
        <v/>
      </c>
      <c r="N94" s="5">
        <f>NORMINV(RAND(), $L$6, $L$7)</f>
        <v/>
      </c>
      <c r="O94" s="5">
        <f>NORMINV(RAND(), $L$6, $L$7)</f>
        <v/>
      </c>
      <c r="P94" s="5">
        <f>NORMINV(RAND(), $L$6, $L$7)</f>
        <v/>
      </c>
      <c r="Q94" s="5">
        <f>NORMINV(RAND(), $L$6, $L$7)</f>
        <v/>
      </c>
    </row>
    <row r="95">
      <c r="A95" t="inlineStr">
        <is>
          <t>2026-01-15</t>
        </is>
      </c>
      <c r="B95" s="6" t="n">
        <v>456.66</v>
      </c>
      <c r="C95" s="5">
        <f>(B95-B94)/B94</f>
        <v/>
      </c>
      <c r="D95" s="5">
        <f>NORMINV(RAND(), $C$6, $C$7)</f>
        <v/>
      </c>
      <c r="E95" s="5">
        <f>NORMINV(RAND(), $C$6, $C$7)</f>
        <v/>
      </c>
      <c r="F95" s="5">
        <f>NORMINV(RAND(), $C$6, $C$7)</f>
        <v/>
      </c>
      <c r="G95" s="5">
        <f>NORMINV(RAND(), $C$6, $C$7)</f>
        <v/>
      </c>
      <c r="H95" s="5">
        <f>NORMINV(RAND(), $C$6, $C$7)</f>
        <v/>
      </c>
      <c r="J95" t="inlineStr">
        <is>
          <t>2026-01-15</t>
        </is>
      </c>
      <c r="K95" s="6" t="n">
        <v>238.18</v>
      </c>
      <c r="L95" s="5">
        <f>(K95-K94)/K94</f>
        <v/>
      </c>
      <c r="M95" s="5">
        <f>NORMINV(RAND(), $L$6, $L$7)</f>
        <v/>
      </c>
      <c r="N95" s="5">
        <f>NORMINV(RAND(), $L$6, $L$7)</f>
        <v/>
      </c>
      <c r="O95" s="5">
        <f>NORMINV(RAND(), $L$6, $L$7)</f>
        <v/>
      </c>
      <c r="P95" s="5">
        <f>NORMINV(RAND(), $L$6, $L$7)</f>
        <v/>
      </c>
      <c r="Q95" s="5">
        <f>NORMINV(RAND(), $L$6, $L$7)</f>
        <v/>
      </c>
    </row>
    <row r="96">
      <c r="A96" t="inlineStr">
        <is>
          <t>2026-01-16</t>
        </is>
      </c>
      <c r="B96" s="6" t="n">
        <v>459.86</v>
      </c>
      <c r="C96" s="5">
        <f>(B96-B95)/B95</f>
        <v/>
      </c>
      <c r="D96" s="5">
        <f>NORMINV(RAND(), $C$6, $C$7)</f>
        <v/>
      </c>
      <c r="E96" s="5">
        <f>NORMINV(RAND(), $C$6, $C$7)</f>
        <v/>
      </c>
      <c r="F96" s="5">
        <f>NORMINV(RAND(), $C$6, $C$7)</f>
        <v/>
      </c>
      <c r="G96" s="5">
        <f>NORMINV(RAND(), $C$6, $C$7)</f>
        <v/>
      </c>
      <c r="H96" s="5">
        <f>NORMINV(RAND(), $C$6, $C$7)</f>
        <v/>
      </c>
      <c r="J96" t="inlineStr">
        <is>
          <t>2026-01-16</t>
        </is>
      </c>
      <c r="K96" s="6" t="n">
        <v>239.12</v>
      </c>
      <c r="L96" s="5">
        <f>(K96-K95)/K95</f>
        <v/>
      </c>
      <c r="M96" s="5">
        <f>NORMINV(RAND(), $L$6, $L$7)</f>
        <v/>
      </c>
      <c r="N96" s="5">
        <f>NORMINV(RAND(), $L$6, $L$7)</f>
        <v/>
      </c>
      <c r="O96" s="5">
        <f>NORMINV(RAND(), $L$6, $L$7)</f>
        <v/>
      </c>
      <c r="P96" s="5">
        <f>NORMINV(RAND(), $L$6, $L$7)</f>
        <v/>
      </c>
      <c r="Q96" s="5">
        <f>NORMINV(RAND(), $L$6, $L$7)</f>
        <v/>
      </c>
    </row>
    <row r="97">
      <c r="A97" t="inlineStr">
        <is>
          <t>2026-01-20</t>
        </is>
      </c>
      <c r="B97" s="6" t="n">
        <v>454.52</v>
      </c>
      <c r="C97" s="5">
        <f>(B97-B96)/B96</f>
        <v/>
      </c>
      <c r="D97" s="5">
        <f>NORMINV(RAND(), $C$6, $C$7)</f>
        <v/>
      </c>
      <c r="E97" s="5">
        <f>NORMINV(RAND(), $C$6, $C$7)</f>
        <v/>
      </c>
      <c r="F97" s="5">
        <f>NORMINV(RAND(), $C$6, $C$7)</f>
        <v/>
      </c>
      <c r="G97" s="5">
        <f>NORMINV(RAND(), $C$6, $C$7)</f>
        <v/>
      </c>
      <c r="H97" s="5">
        <f>NORMINV(RAND(), $C$6, $C$7)</f>
        <v/>
      </c>
      <c r="J97" t="inlineStr">
        <is>
          <t>2026-01-20</t>
        </is>
      </c>
      <c r="K97" s="6" t="n">
        <v>231</v>
      </c>
      <c r="L97" s="5">
        <f>(K97-K96)/K96</f>
        <v/>
      </c>
      <c r="M97" s="5">
        <f>NORMINV(RAND(), $L$6, $L$7)</f>
        <v/>
      </c>
      <c r="N97" s="5">
        <f>NORMINV(RAND(), $L$6, $L$7)</f>
        <v/>
      </c>
      <c r="O97" s="5">
        <f>NORMINV(RAND(), $L$6, $L$7)</f>
        <v/>
      </c>
      <c r="P97" s="5">
        <f>NORMINV(RAND(), $L$6, $L$7)</f>
        <v/>
      </c>
      <c r="Q97" s="5">
        <f>NORMINV(RAND(), $L$6, $L$7)</f>
        <v/>
      </c>
    </row>
    <row r="98">
      <c r="A98" t="inlineStr">
        <is>
          <t>2026-01-21</t>
        </is>
      </c>
      <c r="B98" s="6" t="n">
        <v>444.11</v>
      </c>
      <c r="C98" s="5">
        <f>(B98-B97)/B97</f>
        <v/>
      </c>
      <c r="D98" s="5">
        <f>NORMINV(RAND(), $C$6, $C$7)</f>
        <v/>
      </c>
      <c r="E98" s="5">
        <f>NORMINV(RAND(), $C$6, $C$7)</f>
        <v/>
      </c>
      <c r="F98" s="5">
        <f>NORMINV(RAND(), $C$6, $C$7)</f>
        <v/>
      </c>
      <c r="G98" s="5">
        <f>NORMINV(RAND(), $C$6, $C$7)</f>
        <v/>
      </c>
      <c r="H98" s="5">
        <f>NORMINV(RAND(), $C$6, $C$7)</f>
        <v/>
      </c>
      <c r="J98" t="inlineStr">
        <is>
          <t>2026-01-21</t>
        </is>
      </c>
      <c r="K98" s="6" t="n">
        <v>231.31</v>
      </c>
      <c r="L98" s="5">
        <f>(K98-K97)/K97</f>
        <v/>
      </c>
      <c r="M98" s="5">
        <f>NORMINV(RAND(), $L$6, $L$7)</f>
        <v/>
      </c>
      <c r="N98" s="5">
        <f>NORMINV(RAND(), $L$6, $L$7)</f>
        <v/>
      </c>
      <c r="O98" s="5">
        <f>NORMINV(RAND(), $L$6, $L$7)</f>
        <v/>
      </c>
      <c r="P98" s="5">
        <f>NORMINV(RAND(), $L$6, $L$7)</f>
        <v/>
      </c>
      <c r="Q98" s="5">
        <f>NORMINV(RAND(), $L$6, $L$7)</f>
        <v/>
      </c>
    </row>
    <row r="99">
      <c r="A99" t="inlineStr">
        <is>
          <t>2026-01-22</t>
        </is>
      </c>
      <c r="B99" s="6" t="n">
        <v>451.14</v>
      </c>
      <c r="C99" s="5">
        <f>(B99-B98)/B98</f>
        <v/>
      </c>
      <c r="D99" s="5">
        <f>NORMINV(RAND(), $C$6, $C$7)</f>
        <v/>
      </c>
      <c r="E99" s="5">
        <f>NORMINV(RAND(), $C$6, $C$7)</f>
        <v/>
      </c>
      <c r="F99" s="5">
        <f>NORMINV(RAND(), $C$6, $C$7)</f>
        <v/>
      </c>
      <c r="G99" s="5">
        <f>NORMINV(RAND(), $C$6, $C$7)</f>
        <v/>
      </c>
      <c r="H99" s="5">
        <f>NORMINV(RAND(), $C$6, $C$7)</f>
        <v/>
      </c>
      <c r="J99" t="inlineStr">
        <is>
          <t>2026-01-22</t>
        </is>
      </c>
      <c r="K99" s="6" t="n">
        <v>234.34</v>
      </c>
      <c r="L99" s="5">
        <f>(K99-K98)/K98</f>
        <v/>
      </c>
      <c r="M99" s="5">
        <f>NORMINV(RAND(), $L$6, $L$7)</f>
        <v/>
      </c>
      <c r="N99" s="5">
        <f>NORMINV(RAND(), $L$6, $L$7)</f>
        <v/>
      </c>
      <c r="O99" s="5">
        <f>NORMINV(RAND(), $L$6, $L$7)</f>
        <v/>
      </c>
      <c r="P99" s="5">
        <f>NORMINV(RAND(), $L$6, $L$7)</f>
        <v/>
      </c>
      <c r="Q99" s="5">
        <f>NORMINV(RAND(), $L$6, $L$7)</f>
        <v/>
      </c>
    </row>
    <row r="100">
      <c r="A100" t="inlineStr">
        <is>
          <t>2026-01-23</t>
        </is>
      </c>
      <c r="B100" s="6" t="n">
        <v>465.95</v>
      </c>
      <c r="C100" s="5">
        <f>(B100-B99)/B99</f>
        <v/>
      </c>
      <c r="D100" s="5">
        <f>NORMINV(RAND(), $C$6, $C$7)</f>
        <v/>
      </c>
      <c r="E100" s="5">
        <f>NORMINV(RAND(), $C$6, $C$7)</f>
        <v/>
      </c>
      <c r="F100" s="5">
        <f>NORMINV(RAND(), $C$6, $C$7)</f>
        <v/>
      </c>
      <c r="G100" s="5">
        <f>NORMINV(RAND(), $C$6, $C$7)</f>
        <v/>
      </c>
      <c r="H100" s="5">
        <f>NORMINV(RAND(), $C$6, $C$7)</f>
        <v/>
      </c>
      <c r="J100" t="inlineStr">
        <is>
          <t>2026-01-23</t>
        </is>
      </c>
      <c r="K100" s="6" t="n">
        <v>239.16</v>
      </c>
      <c r="L100" s="5">
        <f>(K100-K99)/K99</f>
        <v/>
      </c>
      <c r="M100" s="5">
        <f>NORMINV(RAND(), $L$6, $L$7)</f>
        <v/>
      </c>
      <c r="N100" s="5">
        <f>NORMINV(RAND(), $L$6, $L$7)</f>
        <v/>
      </c>
      <c r="O100" s="5">
        <f>NORMINV(RAND(), $L$6, $L$7)</f>
        <v/>
      </c>
      <c r="P100" s="5">
        <f>NORMINV(RAND(), $L$6, $L$7)</f>
        <v/>
      </c>
      <c r="Q100" s="5">
        <f>NORMINV(RAND(), $L$6, $L$7)</f>
        <v/>
      </c>
    </row>
    <row r="101">
      <c r="A101" t="inlineStr">
        <is>
          <t>2026-01-26</t>
        </is>
      </c>
      <c r="B101" s="6" t="n">
        <v>470.28</v>
      </c>
      <c r="C101" s="5">
        <f>(B101-B100)/B100</f>
        <v/>
      </c>
      <c r="D101" s="5">
        <f>NORMINV(RAND(), $C$6, $C$7)</f>
        <v/>
      </c>
      <c r="E101" s="5">
        <f>NORMINV(RAND(), $C$6, $C$7)</f>
        <v/>
      </c>
      <c r="F101" s="5">
        <f>NORMINV(RAND(), $C$6, $C$7)</f>
        <v/>
      </c>
      <c r="G101" s="5">
        <f>NORMINV(RAND(), $C$6, $C$7)</f>
        <v/>
      </c>
      <c r="H101" s="5">
        <f>NORMINV(RAND(), $C$6, $C$7)</f>
        <v/>
      </c>
      <c r="J101" t="inlineStr">
        <is>
          <t>2026-01-26</t>
        </is>
      </c>
      <c r="K101" s="6" t="n">
        <v>238.42</v>
      </c>
      <c r="L101" s="5">
        <f>(K101-K100)/K100</f>
        <v/>
      </c>
      <c r="M101" s="5">
        <f>NORMINV(RAND(), $L$6, $L$7)</f>
        <v/>
      </c>
      <c r="N101" s="5">
        <f>NORMINV(RAND(), $L$6, $L$7)</f>
        <v/>
      </c>
      <c r="O101" s="5">
        <f>NORMINV(RAND(), $L$6, $L$7)</f>
        <v/>
      </c>
      <c r="P101" s="5">
        <f>NORMINV(RAND(), $L$6, $L$7)</f>
        <v/>
      </c>
      <c r="Q101" s="5">
        <f>NORMINV(RAND(), $L$6, $L$7)</f>
        <v/>
      </c>
    </row>
    <row r="102">
      <c r="A102" t="inlineStr">
        <is>
          <t>2026-01-27</t>
        </is>
      </c>
      <c r="B102" s="6" t="n">
        <v>480.58</v>
      </c>
      <c r="C102" s="5">
        <f>(B102-B101)/B101</f>
        <v/>
      </c>
      <c r="D102" s="5">
        <f>NORMINV(RAND(), $C$6, $C$7)</f>
        <v/>
      </c>
      <c r="E102" s="5">
        <f>NORMINV(RAND(), $C$6, $C$7)</f>
        <v/>
      </c>
      <c r="F102" s="5">
        <f>NORMINV(RAND(), $C$6, $C$7)</f>
        <v/>
      </c>
      <c r="G102" s="5">
        <f>NORMINV(RAND(), $C$6, $C$7)</f>
        <v/>
      </c>
      <c r="H102" s="5">
        <f>NORMINV(RAND(), $C$6, $C$7)</f>
        <v/>
      </c>
      <c r="J102" t="inlineStr">
        <is>
          <t>2026-01-27</t>
        </is>
      </c>
      <c r="K102" s="6" t="n">
        <v>244.68</v>
      </c>
      <c r="L102" s="5">
        <f>(K102-K101)/K101</f>
        <v/>
      </c>
      <c r="M102" s="5">
        <f>NORMINV(RAND(), $L$6, $L$7)</f>
        <v/>
      </c>
      <c r="N102" s="5">
        <f>NORMINV(RAND(), $L$6, $L$7)</f>
        <v/>
      </c>
      <c r="O102" s="5">
        <f>NORMINV(RAND(), $L$6, $L$7)</f>
        <v/>
      </c>
      <c r="P102" s="5">
        <f>NORMINV(RAND(), $L$6, $L$7)</f>
        <v/>
      </c>
      <c r="Q102" s="5">
        <f>NORMINV(RAND(), $L$6, $L$7)</f>
        <v/>
      </c>
    </row>
    <row r="103">
      <c r="A103" t="inlineStr">
        <is>
          <t>2026-01-28</t>
        </is>
      </c>
      <c r="B103" s="6" t="n">
        <v>481.63</v>
      </c>
      <c r="C103" s="5">
        <f>(B103-B102)/B102</f>
        <v/>
      </c>
      <c r="D103" s="5">
        <f>NORMINV(RAND(), $C$6, $C$7)</f>
        <v/>
      </c>
      <c r="E103" s="5">
        <f>NORMINV(RAND(), $C$6, $C$7)</f>
        <v/>
      </c>
      <c r="F103" s="5">
        <f>NORMINV(RAND(), $C$6, $C$7)</f>
        <v/>
      </c>
      <c r="G103" s="5">
        <f>NORMINV(RAND(), $C$6, $C$7)</f>
        <v/>
      </c>
      <c r="H103" s="5">
        <f>NORMINV(RAND(), $C$6, $C$7)</f>
        <v/>
      </c>
      <c r="J103" t="inlineStr">
        <is>
          <t>2026-01-28</t>
        </is>
      </c>
      <c r="K103" s="6" t="n">
        <v>243.01</v>
      </c>
      <c r="L103" s="5">
        <f>(K103-K102)/K102</f>
        <v/>
      </c>
      <c r="M103" s="5">
        <f>NORMINV(RAND(), $L$6, $L$7)</f>
        <v/>
      </c>
      <c r="N103" s="5">
        <f>NORMINV(RAND(), $L$6, $L$7)</f>
        <v/>
      </c>
      <c r="O103" s="5">
        <f>NORMINV(RAND(), $L$6, $L$7)</f>
        <v/>
      </c>
      <c r="P103" s="5">
        <f>NORMINV(RAND(), $L$6, $L$7)</f>
        <v/>
      </c>
      <c r="Q103" s="5">
        <f>NORMINV(RAND(), $L$6, $L$7)</f>
        <v/>
      </c>
    </row>
    <row r="104">
      <c r="A104" t="inlineStr">
        <is>
          <t>2026-01-29</t>
        </is>
      </c>
      <c r="B104" s="6" t="n">
        <v>433.5</v>
      </c>
      <c r="C104" s="5">
        <f>(B104-B103)/B103</f>
        <v/>
      </c>
      <c r="D104" s="5">
        <f>NORMINV(RAND(), $C$6, $C$7)</f>
        <v/>
      </c>
      <c r="E104" s="5">
        <f>NORMINV(RAND(), $C$6, $C$7)</f>
        <v/>
      </c>
      <c r="F104" s="5">
        <f>NORMINV(RAND(), $C$6, $C$7)</f>
        <v/>
      </c>
      <c r="G104" s="5">
        <f>NORMINV(RAND(), $C$6, $C$7)</f>
        <v/>
      </c>
      <c r="H104" s="5">
        <f>NORMINV(RAND(), $C$6, $C$7)</f>
        <v/>
      </c>
      <c r="J104" t="inlineStr">
        <is>
          <t>2026-01-29</t>
        </is>
      </c>
      <c r="K104" s="6" t="n">
        <v>241.73</v>
      </c>
      <c r="L104" s="5">
        <f>(K104-K103)/K103</f>
        <v/>
      </c>
      <c r="M104" s="5">
        <f>NORMINV(RAND(), $L$6, $L$7)</f>
        <v/>
      </c>
      <c r="N104" s="5">
        <f>NORMINV(RAND(), $L$6, $L$7)</f>
        <v/>
      </c>
      <c r="O104" s="5">
        <f>NORMINV(RAND(), $L$6, $L$7)</f>
        <v/>
      </c>
      <c r="P104" s="5">
        <f>NORMINV(RAND(), $L$6, $L$7)</f>
        <v/>
      </c>
      <c r="Q104" s="5">
        <f>NORMINV(RAND(), $L$6, $L$7)</f>
        <v/>
      </c>
    </row>
    <row r="105">
      <c r="A105" t="inlineStr">
        <is>
          <t>2026-01-30</t>
        </is>
      </c>
      <c r="B105" s="6" t="n">
        <v>430.29</v>
      </c>
      <c r="C105" s="5">
        <f>(B105-B104)/B104</f>
        <v/>
      </c>
      <c r="D105" s="5">
        <f>NORMINV(RAND(), $C$6, $C$7)</f>
        <v/>
      </c>
      <c r="E105" s="5">
        <f>NORMINV(RAND(), $C$6, $C$7)</f>
        <v/>
      </c>
      <c r="F105" s="5">
        <f>NORMINV(RAND(), $C$6, $C$7)</f>
        <v/>
      </c>
      <c r="G105" s="5">
        <f>NORMINV(RAND(), $C$6, $C$7)</f>
        <v/>
      </c>
      <c r="H105" s="5">
        <f>NORMINV(RAND(), $C$6, $C$7)</f>
        <v/>
      </c>
      <c r="J105" t="inlineStr">
        <is>
          <t>2026-01-30</t>
        </is>
      </c>
      <c r="K105" s="6" t="n">
        <v>239.3</v>
      </c>
      <c r="L105" s="5">
        <f>(K105-K104)/K104</f>
        <v/>
      </c>
      <c r="M105" s="5">
        <f>NORMINV(RAND(), $L$6, $L$7)</f>
        <v/>
      </c>
      <c r="N105" s="5">
        <f>NORMINV(RAND(), $L$6, $L$7)</f>
        <v/>
      </c>
      <c r="O105" s="5">
        <f>NORMINV(RAND(), $L$6, $L$7)</f>
        <v/>
      </c>
      <c r="P105" s="5">
        <f>NORMINV(RAND(), $L$6, $L$7)</f>
        <v/>
      </c>
      <c r="Q105" s="5">
        <f>NORMINV(RAND(), $L$6, $L$7)</f>
        <v/>
      </c>
    </row>
    <row r="106">
      <c r="A106" t="inlineStr">
        <is>
          <t>2026-02-02</t>
        </is>
      </c>
      <c r="B106" s="6" t="n">
        <v>423.37</v>
      </c>
      <c r="C106" s="5">
        <f>(B106-B105)/B105</f>
        <v/>
      </c>
      <c r="D106" s="5">
        <f>NORMINV(RAND(), $C$6, $C$7)</f>
        <v/>
      </c>
      <c r="E106" s="5">
        <f>NORMINV(RAND(), $C$6, $C$7)</f>
        <v/>
      </c>
      <c r="F106" s="5">
        <f>NORMINV(RAND(), $C$6, $C$7)</f>
        <v/>
      </c>
      <c r="G106" s="5">
        <f>NORMINV(RAND(), $C$6, $C$7)</f>
        <v/>
      </c>
      <c r="H106" s="5">
        <f>NORMINV(RAND(), $C$6, $C$7)</f>
        <v/>
      </c>
      <c r="J106" t="inlineStr">
        <is>
          <t>2026-02-02</t>
        </is>
      </c>
      <c r="K106" s="6" t="n">
        <v>242.96</v>
      </c>
      <c r="L106" s="5">
        <f>(K106-K105)/K105</f>
        <v/>
      </c>
      <c r="M106" s="5">
        <f>NORMINV(RAND(), $L$6, $L$7)</f>
        <v/>
      </c>
      <c r="N106" s="5">
        <f>NORMINV(RAND(), $L$6, $L$7)</f>
        <v/>
      </c>
      <c r="O106" s="5">
        <f>NORMINV(RAND(), $L$6, $L$7)</f>
        <v/>
      </c>
      <c r="P106" s="5">
        <f>NORMINV(RAND(), $L$6, $L$7)</f>
        <v/>
      </c>
      <c r="Q106" s="5">
        <f>NORMINV(RAND(), $L$6, $L$7)</f>
        <v/>
      </c>
    </row>
    <row r="107">
      <c r="A107" t="inlineStr">
        <is>
          <t>2026-02-03</t>
        </is>
      </c>
      <c r="B107" s="6" t="n">
        <v>411.21</v>
      </c>
      <c r="C107" s="5">
        <f>(B107-B106)/B106</f>
        <v/>
      </c>
      <c r="D107" s="5">
        <f>NORMINV(RAND(), $C$6, $C$7)</f>
        <v/>
      </c>
      <c r="E107" s="5">
        <f>NORMINV(RAND(), $C$6, $C$7)</f>
        <v/>
      </c>
      <c r="F107" s="5">
        <f>NORMINV(RAND(), $C$6, $C$7)</f>
        <v/>
      </c>
      <c r="G107" s="5">
        <f>NORMINV(RAND(), $C$6, $C$7)</f>
        <v/>
      </c>
      <c r="H107" s="5">
        <f>NORMINV(RAND(), $C$6, $C$7)</f>
        <v/>
      </c>
      <c r="J107" t="inlineStr">
        <is>
          <t>2026-02-03</t>
        </is>
      </c>
      <c r="K107" s="6" t="n">
        <v>238.62</v>
      </c>
      <c r="L107" s="5">
        <f>(K107-K106)/K106</f>
        <v/>
      </c>
      <c r="M107" s="5">
        <f>NORMINV(RAND(), $L$6, $L$7)</f>
        <v/>
      </c>
      <c r="N107" s="5">
        <f>NORMINV(RAND(), $L$6, $L$7)</f>
        <v/>
      </c>
      <c r="O107" s="5">
        <f>NORMINV(RAND(), $L$6, $L$7)</f>
        <v/>
      </c>
      <c r="P107" s="5">
        <f>NORMINV(RAND(), $L$6, $L$7)</f>
        <v/>
      </c>
      <c r="Q107" s="5">
        <f>NORMINV(RAND(), $L$6, $L$7)</f>
        <v/>
      </c>
    </row>
    <row r="108">
      <c r="A108" t="inlineStr">
        <is>
          <t>2026-02-04</t>
        </is>
      </c>
      <c r="B108" s="6" t="n">
        <v>414.19</v>
      </c>
      <c r="C108" s="5">
        <f>(B108-B107)/B107</f>
        <v/>
      </c>
      <c r="D108" s="5">
        <f>NORMINV(RAND(), $C$6, $C$7)</f>
        <v/>
      </c>
      <c r="E108" s="5">
        <f>NORMINV(RAND(), $C$6, $C$7)</f>
        <v/>
      </c>
      <c r="F108" s="5">
        <f>NORMINV(RAND(), $C$6, $C$7)</f>
        <v/>
      </c>
      <c r="G108" s="5">
        <f>NORMINV(RAND(), $C$6, $C$7)</f>
        <v/>
      </c>
      <c r="H108" s="5">
        <f>NORMINV(RAND(), $C$6, $C$7)</f>
        <v/>
      </c>
      <c r="J108" t="inlineStr">
        <is>
          <t>2026-02-04</t>
        </is>
      </c>
      <c r="K108" s="6" t="n">
        <v>232.99</v>
      </c>
      <c r="L108" s="5">
        <f>(K108-K107)/K107</f>
        <v/>
      </c>
      <c r="M108" s="5">
        <f>NORMINV(RAND(), $L$6, $L$7)</f>
        <v/>
      </c>
      <c r="N108" s="5">
        <f>NORMINV(RAND(), $L$6, $L$7)</f>
        <v/>
      </c>
      <c r="O108" s="5">
        <f>NORMINV(RAND(), $L$6, $L$7)</f>
        <v/>
      </c>
      <c r="P108" s="5">
        <f>NORMINV(RAND(), $L$6, $L$7)</f>
        <v/>
      </c>
      <c r="Q108" s="5">
        <f>NORMINV(RAND(), $L$6, $L$7)</f>
        <v/>
      </c>
    </row>
    <row r="109">
      <c r="A109" t="inlineStr">
        <is>
          <t>2026-02-05</t>
        </is>
      </c>
      <c r="B109" s="6" t="n">
        <v>393.67</v>
      </c>
      <c r="C109" s="5">
        <f>(B109-B108)/B108</f>
        <v/>
      </c>
      <c r="D109" s="5">
        <f>NORMINV(RAND(), $C$6, $C$7)</f>
        <v/>
      </c>
      <c r="E109" s="5">
        <f>NORMINV(RAND(), $C$6, $C$7)</f>
        <v/>
      </c>
      <c r="F109" s="5">
        <f>NORMINV(RAND(), $C$6, $C$7)</f>
        <v/>
      </c>
      <c r="G109" s="5">
        <f>NORMINV(RAND(), $C$6, $C$7)</f>
        <v/>
      </c>
      <c r="H109" s="5">
        <f>NORMINV(RAND(), $C$6, $C$7)</f>
        <v/>
      </c>
      <c r="J109" t="inlineStr">
        <is>
          <t>2026-02-05</t>
        </is>
      </c>
      <c r="K109" s="6" t="n">
        <v>222.69</v>
      </c>
      <c r="L109" s="5">
        <f>(K109-K108)/K108</f>
        <v/>
      </c>
      <c r="M109" s="5">
        <f>NORMINV(RAND(), $L$6, $L$7)</f>
        <v/>
      </c>
      <c r="N109" s="5">
        <f>NORMINV(RAND(), $L$6, $L$7)</f>
        <v/>
      </c>
      <c r="O109" s="5">
        <f>NORMINV(RAND(), $L$6, $L$7)</f>
        <v/>
      </c>
      <c r="P109" s="5">
        <f>NORMINV(RAND(), $L$6, $L$7)</f>
        <v/>
      </c>
      <c r="Q109" s="5">
        <f>NORMINV(RAND(), $L$6, $L$7)</f>
        <v/>
      </c>
    </row>
    <row r="110">
      <c r="A110" t="inlineStr">
        <is>
          <t>2026-02-06</t>
        </is>
      </c>
      <c r="B110" s="6" t="n">
        <v>401.14</v>
      </c>
      <c r="C110" s="5">
        <f>(B110-B109)/B109</f>
        <v/>
      </c>
      <c r="D110" s="5">
        <f>NORMINV(RAND(), $C$6, $C$7)</f>
        <v/>
      </c>
      <c r="E110" s="5">
        <f>NORMINV(RAND(), $C$6, $C$7)</f>
        <v/>
      </c>
      <c r="F110" s="5">
        <f>NORMINV(RAND(), $C$6, $C$7)</f>
        <v/>
      </c>
      <c r="G110" s="5">
        <f>NORMINV(RAND(), $C$6, $C$7)</f>
        <v/>
      </c>
      <c r="H110" s="5">
        <f>NORMINV(RAND(), $C$6, $C$7)</f>
        <v/>
      </c>
      <c r="J110" t="inlineStr">
        <is>
          <t>2026-02-06</t>
        </is>
      </c>
      <c r="K110" s="6" t="n">
        <v>210.32</v>
      </c>
      <c r="L110" s="5">
        <f>(K110-K109)/K109</f>
        <v/>
      </c>
      <c r="M110" s="5">
        <f>NORMINV(RAND(), $L$6, $L$7)</f>
        <v/>
      </c>
      <c r="N110" s="5">
        <f>NORMINV(RAND(), $L$6, $L$7)</f>
        <v/>
      </c>
      <c r="O110" s="5">
        <f>NORMINV(RAND(), $L$6, $L$7)</f>
        <v/>
      </c>
      <c r="P110" s="5">
        <f>NORMINV(RAND(), $L$6, $L$7)</f>
        <v/>
      </c>
      <c r="Q110" s="5">
        <f>NORMINV(RAND(), $L$6, $L$7)</f>
        <v/>
      </c>
    </row>
    <row r="111">
      <c r="A111" t="inlineStr">
        <is>
          <t>2026-02-09</t>
        </is>
      </c>
      <c r="B111" s="6" t="n">
        <v>413.6</v>
      </c>
      <c r="C111" s="5">
        <f>(B111-B110)/B110</f>
        <v/>
      </c>
      <c r="D111" s="5">
        <f>NORMINV(RAND(), $C$6, $C$7)</f>
        <v/>
      </c>
      <c r="E111" s="5">
        <f>NORMINV(RAND(), $C$6, $C$7)</f>
        <v/>
      </c>
      <c r="F111" s="5">
        <f>NORMINV(RAND(), $C$6, $C$7)</f>
        <v/>
      </c>
      <c r="G111" s="5">
        <f>NORMINV(RAND(), $C$6, $C$7)</f>
        <v/>
      </c>
      <c r="H111" s="5">
        <f>NORMINV(RAND(), $C$6, $C$7)</f>
        <v/>
      </c>
      <c r="J111" t="inlineStr">
        <is>
          <t>2026-02-09</t>
        </is>
      </c>
      <c r="K111" s="6" t="n">
        <v>208.72</v>
      </c>
      <c r="L111" s="5">
        <f>(K111-K110)/K110</f>
        <v/>
      </c>
      <c r="M111" s="5">
        <f>NORMINV(RAND(), $L$6, $L$7)</f>
        <v/>
      </c>
      <c r="N111" s="5">
        <f>NORMINV(RAND(), $L$6, $L$7)</f>
        <v/>
      </c>
      <c r="O111" s="5">
        <f>NORMINV(RAND(), $L$6, $L$7)</f>
        <v/>
      </c>
      <c r="P111" s="5">
        <f>NORMINV(RAND(), $L$6, $L$7)</f>
        <v/>
      </c>
      <c r="Q111" s="5">
        <f>NORMINV(RAND(), $L$6, $L$7)</f>
        <v/>
      </c>
    </row>
    <row r="112">
      <c r="A112" t="inlineStr">
        <is>
          <t>2026-02-10</t>
        </is>
      </c>
      <c r="B112" s="6" t="n">
        <v>413.27</v>
      </c>
      <c r="C112" s="5">
        <f>(B112-B111)/B111</f>
        <v/>
      </c>
      <c r="D112" s="5">
        <f>NORMINV(RAND(), $C$6, $C$7)</f>
        <v/>
      </c>
      <c r="E112" s="5">
        <f>NORMINV(RAND(), $C$6, $C$7)</f>
        <v/>
      </c>
      <c r="F112" s="5">
        <f>NORMINV(RAND(), $C$6, $C$7)</f>
        <v/>
      </c>
      <c r="G112" s="5">
        <f>NORMINV(RAND(), $C$6, $C$7)</f>
        <v/>
      </c>
      <c r="H112" s="5">
        <f>NORMINV(RAND(), $C$6, $C$7)</f>
        <v/>
      </c>
      <c r="J112" t="inlineStr">
        <is>
          <t>2026-02-10</t>
        </is>
      </c>
      <c r="K112" s="6" t="n">
        <v>206.96</v>
      </c>
      <c r="L112" s="5">
        <f>(K112-K111)/K111</f>
        <v/>
      </c>
      <c r="M112" s="5">
        <f>NORMINV(RAND(), $L$6, $L$7)</f>
        <v/>
      </c>
      <c r="N112" s="5">
        <f>NORMINV(RAND(), $L$6, $L$7)</f>
        <v/>
      </c>
      <c r="O112" s="5">
        <f>NORMINV(RAND(), $L$6, $L$7)</f>
        <v/>
      </c>
      <c r="P112" s="5">
        <f>NORMINV(RAND(), $L$6, $L$7)</f>
        <v/>
      </c>
      <c r="Q112" s="5">
        <f>NORMINV(RAND(), $L$6, $L$7)</f>
        <v/>
      </c>
    </row>
    <row r="113">
      <c r="A113" t="inlineStr">
        <is>
          <t>2026-02-11</t>
        </is>
      </c>
      <c r="B113" s="6" t="n">
        <v>404.37</v>
      </c>
      <c r="C113" s="5">
        <f>(B113-B112)/B112</f>
        <v/>
      </c>
      <c r="D113" s="5">
        <f>NORMINV(RAND(), $C$6, $C$7)</f>
        <v/>
      </c>
      <c r="E113" s="5">
        <f>NORMINV(RAND(), $C$6, $C$7)</f>
        <v/>
      </c>
      <c r="F113" s="5">
        <f>NORMINV(RAND(), $C$6, $C$7)</f>
        <v/>
      </c>
      <c r="G113" s="5">
        <f>NORMINV(RAND(), $C$6, $C$7)</f>
        <v/>
      </c>
      <c r="H113" s="5">
        <f>NORMINV(RAND(), $C$6, $C$7)</f>
        <v/>
      </c>
      <c r="J113" t="inlineStr">
        <is>
          <t>2026-02-11</t>
        </is>
      </c>
      <c r="K113" s="6" t="n">
        <v>204.08</v>
      </c>
      <c r="L113" s="5">
        <f>(K113-K112)/K112</f>
        <v/>
      </c>
      <c r="M113" s="5">
        <f>NORMINV(RAND(), $L$6, $L$7)</f>
        <v/>
      </c>
      <c r="N113" s="5">
        <f>NORMINV(RAND(), $L$6, $L$7)</f>
        <v/>
      </c>
      <c r="O113" s="5">
        <f>NORMINV(RAND(), $L$6, $L$7)</f>
        <v/>
      </c>
      <c r="P113" s="5">
        <f>NORMINV(RAND(), $L$6, $L$7)</f>
        <v/>
      </c>
      <c r="Q113" s="5">
        <f>NORMINV(RAND(), $L$6, $L$7)</f>
        <v/>
      </c>
    </row>
    <row r="114">
      <c r="A114" t="inlineStr">
        <is>
          <t>2026-02-12</t>
        </is>
      </c>
      <c r="B114" s="6" t="n">
        <v>401.84</v>
      </c>
      <c r="C114" s="5">
        <f>(B114-B113)/B113</f>
        <v/>
      </c>
      <c r="D114" s="5">
        <f>NORMINV(RAND(), $C$6, $C$7)</f>
        <v/>
      </c>
      <c r="E114" s="5">
        <f>NORMINV(RAND(), $C$6, $C$7)</f>
        <v/>
      </c>
      <c r="F114" s="5">
        <f>NORMINV(RAND(), $C$6, $C$7)</f>
        <v/>
      </c>
      <c r="G114" s="5">
        <f>NORMINV(RAND(), $C$6, $C$7)</f>
        <v/>
      </c>
      <c r="H114" s="5">
        <f>NORMINV(RAND(), $C$6, $C$7)</f>
        <v/>
      </c>
      <c r="J114" t="inlineStr">
        <is>
          <t>2026-02-12</t>
        </is>
      </c>
      <c r="K114" s="6" t="n">
        <v>199.6</v>
      </c>
      <c r="L114" s="5">
        <f>(K114-K113)/K113</f>
        <v/>
      </c>
      <c r="M114" s="5">
        <f>NORMINV(RAND(), $L$6, $L$7)</f>
        <v/>
      </c>
      <c r="N114" s="5">
        <f>NORMINV(RAND(), $L$6, $L$7)</f>
        <v/>
      </c>
      <c r="O114" s="5">
        <f>NORMINV(RAND(), $L$6, $L$7)</f>
        <v/>
      </c>
      <c r="P114" s="5">
        <f>NORMINV(RAND(), $L$6, $L$7)</f>
        <v/>
      </c>
      <c r="Q114" s="5">
        <f>NORMINV(RAND(), $L$6, $L$7)</f>
        <v/>
      </c>
    </row>
    <row r="115">
      <c r="A115" t="inlineStr">
        <is>
          <t>2026-02-13</t>
        </is>
      </c>
      <c r="B115" s="6" t="n">
        <v>401.32</v>
      </c>
      <c r="C115" s="5">
        <f>(B115-B114)/B114</f>
        <v/>
      </c>
      <c r="D115" s="5">
        <f>NORMINV(RAND(), $C$6, $C$7)</f>
        <v/>
      </c>
      <c r="E115" s="5">
        <f>NORMINV(RAND(), $C$6, $C$7)</f>
        <v/>
      </c>
      <c r="F115" s="5">
        <f>NORMINV(RAND(), $C$6, $C$7)</f>
        <v/>
      </c>
      <c r="G115" s="5">
        <f>NORMINV(RAND(), $C$6, $C$7)</f>
        <v/>
      </c>
      <c r="H115" s="5">
        <f>NORMINV(RAND(), $C$6, $C$7)</f>
        <v/>
      </c>
      <c r="J115" t="inlineStr">
        <is>
          <t>2026-02-13</t>
        </is>
      </c>
      <c r="K115" s="6" t="n">
        <v>198.79</v>
      </c>
      <c r="L115" s="5">
        <f>(K115-K114)/K114</f>
        <v/>
      </c>
      <c r="M115" s="5">
        <f>NORMINV(RAND(), $L$6, $L$7)</f>
        <v/>
      </c>
      <c r="N115" s="5">
        <f>NORMINV(RAND(), $L$6, $L$7)</f>
        <v/>
      </c>
      <c r="O115" s="5">
        <f>NORMINV(RAND(), $L$6, $L$7)</f>
        <v/>
      </c>
      <c r="P115" s="5">
        <f>NORMINV(RAND(), $L$6, $L$7)</f>
        <v/>
      </c>
      <c r="Q115" s="5">
        <f>NORMINV(RAND(), $L$6, $L$7)</f>
        <v/>
      </c>
    </row>
    <row r="116">
      <c r="A116" t="inlineStr">
        <is>
          <t>2026-02-17</t>
        </is>
      </c>
      <c r="B116" s="6" t="n">
        <v>396.86</v>
      </c>
      <c r="C116" s="5">
        <f>(B116-B115)/B115</f>
        <v/>
      </c>
      <c r="D116" s="5">
        <f>NORMINV(RAND(), $C$6, $C$7)</f>
        <v/>
      </c>
      <c r="E116" s="5">
        <f>NORMINV(RAND(), $C$6, $C$7)</f>
        <v/>
      </c>
      <c r="F116" s="5">
        <f>NORMINV(RAND(), $C$6, $C$7)</f>
        <v/>
      </c>
      <c r="G116" s="5">
        <f>NORMINV(RAND(), $C$6, $C$7)</f>
        <v/>
      </c>
      <c r="H116" s="5">
        <f>NORMINV(RAND(), $C$6, $C$7)</f>
        <v/>
      </c>
      <c r="J116" t="inlineStr">
        <is>
          <t>2026-02-17</t>
        </is>
      </c>
      <c r="K116" s="6" t="n">
        <v>201.15</v>
      </c>
      <c r="L116" s="5">
        <f>(K116-K115)/K115</f>
        <v/>
      </c>
      <c r="M116" s="5">
        <f>NORMINV(RAND(), $L$6, $L$7)</f>
        <v/>
      </c>
      <c r="N116" s="5">
        <f>NORMINV(RAND(), $L$6, $L$7)</f>
        <v/>
      </c>
      <c r="O116" s="5">
        <f>NORMINV(RAND(), $L$6, $L$7)</f>
        <v/>
      </c>
      <c r="P116" s="5">
        <f>NORMINV(RAND(), $L$6, $L$7)</f>
        <v/>
      </c>
      <c r="Q116" s="5">
        <f>NORMINV(RAND(), $L$6, $L$7)</f>
        <v/>
      </c>
    </row>
    <row r="117">
      <c r="A117" t="inlineStr">
        <is>
          <t>2026-02-18</t>
        </is>
      </c>
      <c r="B117" s="6" t="n">
        <v>399.6</v>
      </c>
      <c r="C117" s="5">
        <f>(B117-B116)/B116</f>
        <v/>
      </c>
      <c r="D117" s="5">
        <f>NORMINV(RAND(), $C$6, $C$7)</f>
        <v/>
      </c>
      <c r="E117" s="5">
        <f>NORMINV(RAND(), $C$6, $C$7)</f>
        <v/>
      </c>
      <c r="F117" s="5">
        <f>NORMINV(RAND(), $C$6, $C$7)</f>
        <v/>
      </c>
      <c r="G117" s="5">
        <f>NORMINV(RAND(), $C$6, $C$7)</f>
        <v/>
      </c>
      <c r="H117" s="5">
        <f>NORMINV(RAND(), $C$6, $C$7)</f>
        <v/>
      </c>
      <c r="J117" t="inlineStr">
        <is>
          <t>2026-02-18</t>
        </is>
      </c>
      <c r="K117" s="6" t="n">
        <v>204.79</v>
      </c>
      <c r="L117" s="5">
        <f>(K117-K116)/K116</f>
        <v/>
      </c>
      <c r="M117" s="5">
        <f>NORMINV(RAND(), $L$6, $L$7)</f>
        <v/>
      </c>
      <c r="N117" s="5">
        <f>NORMINV(RAND(), $L$6, $L$7)</f>
        <v/>
      </c>
      <c r="O117" s="5">
        <f>NORMINV(RAND(), $L$6, $L$7)</f>
        <v/>
      </c>
      <c r="P117" s="5">
        <f>NORMINV(RAND(), $L$6, $L$7)</f>
        <v/>
      </c>
      <c r="Q117" s="5">
        <f>NORMINV(RAND(), $L$6, $L$7)</f>
        <v/>
      </c>
    </row>
    <row r="118">
      <c r="A118" t="inlineStr">
        <is>
          <t>2026-02-19</t>
        </is>
      </c>
      <c r="B118" s="6" t="n">
        <v>398.46</v>
      </c>
      <c r="C118" s="5">
        <f>(B118-B117)/B117</f>
        <v/>
      </c>
      <c r="D118" s="5">
        <f>NORMINV(RAND(), $C$6, $C$7)</f>
        <v/>
      </c>
      <c r="E118" s="5">
        <f>NORMINV(RAND(), $C$6, $C$7)</f>
        <v/>
      </c>
      <c r="F118" s="5">
        <f>NORMINV(RAND(), $C$6, $C$7)</f>
        <v/>
      </c>
      <c r="G118" s="5">
        <f>NORMINV(RAND(), $C$6, $C$7)</f>
        <v/>
      </c>
      <c r="H118" s="5">
        <f>NORMINV(RAND(), $C$6, $C$7)</f>
        <v/>
      </c>
      <c r="J118" t="inlineStr">
        <is>
          <t>2026-02-19</t>
        </is>
      </c>
      <c r="K118" s="6" t="n">
        <v>204.86</v>
      </c>
      <c r="L118" s="5">
        <f>(K118-K117)/K117</f>
        <v/>
      </c>
      <c r="M118" s="5">
        <f>NORMINV(RAND(), $L$6, $L$7)</f>
        <v/>
      </c>
      <c r="N118" s="5">
        <f>NORMINV(RAND(), $L$6, $L$7)</f>
        <v/>
      </c>
      <c r="O118" s="5">
        <f>NORMINV(RAND(), $L$6, $L$7)</f>
        <v/>
      </c>
      <c r="P118" s="5">
        <f>NORMINV(RAND(), $L$6, $L$7)</f>
        <v/>
      </c>
      <c r="Q118" s="5">
        <f>NORMINV(RAND(), $L$6, $L$7)</f>
        <v/>
      </c>
    </row>
    <row r="119">
      <c r="A119" t="inlineStr">
        <is>
          <t>2026-02-20</t>
        </is>
      </c>
      <c r="B119" s="6" t="n">
        <v>397.23</v>
      </c>
      <c r="C119" s="5">
        <f>(B119-B118)/B118</f>
        <v/>
      </c>
      <c r="D119" s="5">
        <f>NORMINV(RAND(), $C$6, $C$7)</f>
        <v/>
      </c>
      <c r="E119" s="5">
        <f>NORMINV(RAND(), $C$6, $C$7)</f>
        <v/>
      </c>
      <c r="F119" s="5">
        <f>NORMINV(RAND(), $C$6, $C$7)</f>
        <v/>
      </c>
      <c r="G119" s="5">
        <f>NORMINV(RAND(), $C$6, $C$7)</f>
        <v/>
      </c>
      <c r="H119" s="5">
        <f>NORMINV(RAND(), $C$6, $C$7)</f>
        <v/>
      </c>
      <c r="J119" t="inlineStr">
        <is>
          <t>2026-02-20</t>
        </is>
      </c>
      <c r="K119" s="6" t="n">
        <v>210.11</v>
      </c>
      <c r="L119" s="5">
        <f>(K119-K118)/K118</f>
        <v/>
      </c>
      <c r="M119" s="5">
        <f>NORMINV(RAND(), $L$6, $L$7)</f>
        <v/>
      </c>
      <c r="N119" s="5">
        <f>NORMINV(RAND(), $L$6, $L$7)</f>
        <v/>
      </c>
      <c r="O119" s="5">
        <f>NORMINV(RAND(), $L$6, $L$7)</f>
        <v/>
      </c>
      <c r="P119" s="5">
        <f>NORMINV(RAND(), $L$6, $L$7)</f>
        <v/>
      </c>
      <c r="Q119" s="5">
        <f>NORMINV(RAND(), $L$6, $L$7)</f>
        <v/>
      </c>
    </row>
    <row r="120">
      <c r="A120" t="inlineStr">
        <is>
          <t>2026-02-23</t>
        </is>
      </c>
      <c r="B120" s="6" t="n">
        <v>384.47</v>
      </c>
      <c r="C120" s="5">
        <f>(B120-B119)/B119</f>
        <v/>
      </c>
      <c r="D120" s="5">
        <f>NORMINV(RAND(), $C$6, $C$7)</f>
        <v/>
      </c>
      <c r="E120" s="5">
        <f>NORMINV(RAND(), $C$6, $C$7)</f>
        <v/>
      </c>
      <c r="F120" s="5">
        <f>NORMINV(RAND(), $C$6, $C$7)</f>
        <v/>
      </c>
      <c r="G120" s="5">
        <f>NORMINV(RAND(), $C$6, $C$7)</f>
        <v/>
      </c>
      <c r="H120" s="5">
        <f>NORMINV(RAND(), $C$6, $C$7)</f>
        <v/>
      </c>
      <c r="J120" t="inlineStr">
        <is>
          <t>2026-02-23</t>
        </is>
      </c>
      <c r="K120" s="6" t="n">
        <v>205.27</v>
      </c>
      <c r="L120" s="5">
        <f>(K120-K119)/K119</f>
        <v/>
      </c>
      <c r="M120" s="5">
        <f>NORMINV(RAND(), $L$6, $L$7)</f>
        <v/>
      </c>
      <c r="N120" s="5">
        <f>NORMINV(RAND(), $L$6, $L$7)</f>
        <v/>
      </c>
      <c r="O120" s="5">
        <f>NORMINV(RAND(), $L$6, $L$7)</f>
        <v/>
      </c>
      <c r="P120" s="5">
        <f>NORMINV(RAND(), $L$6, $L$7)</f>
        <v/>
      </c>
      <c r="Q120" s="5">
        <f>NORMINV(RAND(), $L$6, $L$7)</f>
        <v/>
      </c>
    </row>
    <row r="121">
      <c r="A121" t="inlineStr">
        <is>
          <t>2026-02-24</t>
        </is>
      </c>
      <c r="B121" s="6" t="n">
        <v>389</v>
      </c>
      <c r="C121" s="5">
        <f>(B121-B120)/B120</f>
        <v/>
      </c>
      <c r="D121" s="5">
        <f>NORMINV(RAND(), $C$6, $C$7)</f>
        <v/>
      </c>
      <c r="E121" s="5">
        <f>NORMINV(RAND(), $C$6, $C$7)</f>
        <v/>
      </c>
      <c r="F121" s="5">
        <f>NORMINV(RAND(), $C$6, $C$7)</f>
        <v/>
      </c>
      <c r="G121" s="5">
        <f>NORMINV(RAND(), $C$6, $C$7)</f>
        <v/>
      </c>
      <c r="H121" s="5">
        <f>NORMINV(RAND(), $C$6, $C$7)</f>
        <v/>
      </c>
      <c r="J121" t="inlineStr">
        <is>
          <t>2026-02-24</t>
        </is>
      </c>
      <c r="K121" s="6" t="n">
        <v>208.56</v>
      </c>
      <c r="L121" s="5">
        <f>(K121-K120)/K120</f>
        <v/>
      </c>
      <c r="M121" s="5">
        <f>NORMINV(RAND(), $L$6, $L$7)</f>
        <v/>
      </c>
      <c r="N121" s="5">
        <f>NORMINV(RAND(), $L$6, $L$7)</f>
        <v/>
      </c>
      <c r="O121" s="5">
        <f>NORMINV(RAND(), $L$6, $L$7)</f>
        <v/>
      </c>
      <c r="P121" s="5">
        <f>NORMINV(RAND(), $L$6, $L$7)</f>
        <v/>
      </c>
      <c r="Q121" s="5">
        <f>NORMINV(RAND(), $L$6, $L$7)</f>
        <v/>
      </c>
    </row>
    <row r="122">
      <c r="A122" t="inlineStr">
        <is>
          <t>2026-02-25</t>
        </is>
      </c>
      <c r="B122" s="6" t="n">
        <v>400.6</v>
      </c>
      <c r="C122" s="5">
        <f>(B122-B121)/B121</f>
        <v/>
      </c>
      <c r="D122" s="5">
        <f>NORMINV(RAND(), $C$6, $C$7)</f>
        <v/>
      </c>
      <c r="E122" s="5">
        <f>NORMINV(RAND(), $C$6, $C$7)</f>
        <v/>
      </c>
      <c r="F122" s="5">
        <f>NORMINV(RAND(), $C$6, $C$7)</f>
        <v/>
      </c>
      <c r="G122" s="5">
        <f>NORMINV(RAND(), $C$6, $C$7)</f>
        <v/>
      </c>
      <c r="H122" s="5">
        <f>NORMINV(RAND(), $C$6, $C$7)</f>
        <v/>
      </c>
      <c r="J122" t="inlineStr">
        <is>
          <t>2026-02-25</t>
        </is>
      </c>
      <c r="K122" s="6" t="n">
        <v>210.64</v>
      </c>
      <c r="L122" s="5">
        <f>(K122-K121)/K121</f>
        <v/>
      </c>
      <c r="M122" s="5">
        <f>NORMINV(RAND(), $L$6, $L$7)</f>
        <v/>
      </c>
      <c r="N122" s="5">
        <f>NORMINV(RAND(), $L$6, $L$7)</f>
        <v/>
      </c>
      <c r="O122" s="5">
        <f>NORMINV(RAND(), $L$6, $L$7)</f>
        <v/>
      </c>
      <c r="P122" s="5">
        <f>NORMINV(RAND(), $L$6, $L$7)</f>
        <v/>
      </c>
      <c r="Q122" s="5">
        <f>NORMINV(RAND(), $L$6, $L$7)</f>
        <v/>
      </c>
    </row>
    <row r="123">
      <c r="A123" t="inlineStr">
        <is>
          <t>2026-02-26</t>
        </is>
      </c>
      <c r="B123" s="6" t="n">
        <v>401.72</v>
      </c>
      <c r="C123" s="5">
        <f>(B123-B122)/B122</f>
        <v/>
      </c>
      <c r="D123" s="5">
        <f>NORMINV(RAND(), $C$6, $C$7)</f>
        <v/>
      </c>
      <c r="E123" s="5">
        <f>NORMINV(RAND(), $C$6, $C$7)</f>
        <v/>
      </c>
      <c r="F123" s="5">
        <f>NORMINV(RAND(), $C$6, $C$7)</f>
        <v/>
      </c>
      <c r="G123" s="5">
        <f>NORMINV(RAND(), $C$6, $C$7)</f>
        <v/>
      </c>
      <c r="H123" s="5">
        <f>NORMINV(RAND(), $C$6, $C$7)</f>
        <v/>
      </c>
      <c r="J123" t="inlineStr">
        <is>
          <t>2026-02-26</t>
        </is>
      </c>
      <c r="K123" s="6" t="n">
        <v>207.92</v>
      </c>
      <c r="L123" s="5">
        <f>(K123-K122)/K122</f>
        <v/>
      </c>
      <c r="M123" s="5">
        <f>NORMINV(RAND(), $L$6, $L$7)</f>
        <v/>
      </c>
      <c r="N123" s="5">
        <f>NORMINV(RAND(), $L$6, $L$7)</f>
        <v/>
      </c>
      <c r="O123" s="5">
        <f>NORMINV(RAND(), $L$6, $L$7)</f>
        <v/>
      </c>
      <c r="P123" s="5">
        <f>NORMINV(RAND(), $L$6, $L$7)</f>
        <v/>
      </c>
      <c r="Q123" s="5">
        <f>NORMINV(RAND(), $L$6, $L$7)</f>
        <v/>
      </c>
    </row>
    <row r="124">
      <c r="A124" t="inlineStr">
        <is>
          <t>2026-02-27</t>
        </is>
      </c>
      <c r="B124" s="6" t="n">
        <v>392.74</v>
      </c>
      <c r="C124" s="5">
        <f>(B124-B123)/B123</f>
        <v/>
      </c>
      <c r="D124" s="5">
        <f>NORMINV(RAND(), $C$6, $C$7)</f>
        <v/>
      </c>
      <c r="E124" s="5">
        <f>NORMINV(RAND(), $C$6, $C$7)</f>
        <v/>
      </c>
      <c r="F124" s="5">
        <f>NORMINV(RAND(), $C$6, $C$7)</f>
        <v/>
      </c>
      <c r="G124" s="5">
        <f>NORMINV(RAND(), $C$6, $C$7)</f>
        <v/>
      </c>
      <c r="H124" s="5">
        <f>NORMINV(RAND(), $C$6, $C$7)</f>
        <v/>
      </c>
      <c r="J124" t="inlineStr">
        <is>
          <t>2026-02-27</t>
        </is>
      </c>
      <c r="K124" s="6" t="n">
        <v>210</v>
      </c>
      <c r="L124" s="5">
        <f>(K124-K123)/K123</f>
        <v/>
      </c>
      <c r="M124" s="5">
        <f>NORMINV(RAND(), $L$6, $L$7)</f>
        <v/>
      </c>
      <c r="N124" s="5">
        <f>NORMINV(RAND(), $L$6, $L$7)</f>
        <v/>
      </c>
      <c r="O124" s="5">
        <f>NORMINV(RAND(), $L$6, $L$7)</f>
        <v/>
      </c>
      <c r="P124" s="5">
        <f>NORMINV(RAND(), $L$6, $L$7)</f>
        <v/>
      </c>
      <c r="Q124" s="5">
        <f>NORMINV(RAND(), $L$6, $L$7)</f>
        <v/>
      </c>
    </row>
    <row r="125">
      <c r="A125" t="inlineStr">
        <is>
          <t>2026-03-02</t>
        </is>
      </c>
      <c r="B125" s="6" t="n">
        <v>398.55</v>
      </c>
      <c r="C125" s="5">
        <f>(B125-B124)/B124</f>
        <v/>
      </c>
      <c r="D125" s="5">
        <f>NORMINV(RAND(), $C$6, $C$7)</f>
        <v/>
      </c>
      <c r="E125" s="5">
        <f>NORMINV(RAND(), $C$6, $C$7)</f>
        <v/>
      </c>
      <c r="F125" s="5">
        <f>NORMINV(RAND(), $C$6, $C$7)</f>
        <v/>
      </c>
      <c r="G125" s="5">
        <f>NORMINV(RAND(), $C$6, $C$7)</f>
        <v/>
      </c>
      <c r="H125" s="5">
        <f>NORMINV(RAND(), $C$6, $C$7)</f>
        <v/>
      </c>
      <c r="J125" t="inlineStr">
        <is>
          <t>2026-03-02</t>
        </is>
      </c>
      <c r="K125" s="6" t="n">
        <v>208.39</v>
      </c>
      <c r="L125" s="5">
        <f>(K125-K124)/K124</f>
        <v/>
      </c>
      <c r="M125" s="5">
        <f>NORMINV(RAND(), $L$6, $L$7)</f>
        <v/>
      </c>
      <c r="N125" s="5">
        <f>NORMINV(RAND(), $L$6, $L$7)</f>
        <v/>
      </c>
      <c r="O125" s="5">
        <f>NORMINV(RAND(), $L$6, $L$7)</f>
        <v/>
      </c>
      <c r="P125" s="5">
        <f>NORMINV(RAND(), $L$6, $L$7)</f>
        <v/>
      </c>
      <c r="Q125" s="5">
        <f>NORMINV(RAND(), $L$6, $L$7)</f>
        <v/>
      </c>
    </row>
    <row r="126">
      <c r="A126" t="inlineStr">
        <is>
          <t>2026-03-03</t>
        </is>
      </c>
      <c r="B126" s="6" t="n">
        <v>403.93</v>
      </c>
      <c r="C126" s="5">
        <f>(B126-B125)/B125</f>
        <v/>
      </c>
      <c r="D126" s="5">
        <f>NORMINV(RAND(), $C$6, $C$7)</f>
        <v/>
      </c>
      <c r="E126" s="5">
        <f>NORMINV(RAND(), $C$6, $C$7)</f>
        <v/>
      </c>
      <c r="F126" s="5">
        <f>NORMINV(RAND(), $C$6, $C$7)</f>
        <v/>
      </c>
      <c r="G126" s="5">
        <f>NORMINV(RAND(), $C$6, $C$7)</f>
        <v/>
      </c>
      <c r="H126" s="5">
        <f>NORMINV(RAND(), $C$6, $C$7)</f>
        <v/>
      </c>
      <c r="J126" t="inlineStr">
        <is>
          <t>2026-03-03</t>
        </is>
      </c>
      <c r="K126" s="6" t="n">
        <v>208.73</v>
      </c>
      <c r="L126" s="5">
        <f>(K126-K125)/K125</f>
        <v/>
      </c>
      <c r="M126" s="5">
        <f>NORMINV(RAND(), $L$6, $L$7)</f>
        <v/>
      </c>
      <c r="N126" s="5">
        <f>NORMINV(RAND(), $L$6, $L$7)</f>
        <v/>
      </c>
      <c r="O126" s="5">
        <f>NORMINV(RAND(), $L$6, $L$7)</f>
        <v/>
      </c>
      <c r="P126" s="5">
        <f>NORMINV(RAND(), $L$6, $L$7)</f>
        <v/>
      </c>
      <c r="Q126" s="5">
        <f>NORMINV(RAND(), $L$6, $L$7)</f>
        <v/>
      </c>
    </row>
    <row r="127">
      <c r="A127" t="inlineStr">
        <is>
          <t>2026-03-04</t>
        </is>
      </c>
      <c r="B127" s="6" t="n">
        <v>405.2</v>
      </c>
      <c r="C127" s="5">
        <f>(B127-B126)/B126</f>
        <v/>
      </c>
      <c r="D127" s="5">
        <f>NORMINV(RAND(), $C$6, $C$7)</f>
        <v/>
      </c>
      <c r="E127" s="5">
        <f>NORMINV(RAND(), $C$6, $C$7)</f>
        <v/>
      </c>
      <c r="F127" s="5">
        <f>NORMINV(RAND(), $C$6, $C$7)</f>
        <v/>
      </c>
      <c r="G127" s="5">
        <f>NORMINV(RAND(), $C$6, $C$7)</f>
        <v/>
      </c>
      <c r="H127" s="5">
        <f>NORMINV(RAND(), $C$6, $C$7)</f>
        <v/>
      </c>
      <c r="J127" t="inlineStr">
        <is>
          <t>2026-03-04</t>
        </is>
      </c>
      <c r="K127" s="6" t="n">
        <v>216.82</v>
      </c>
      <c r="L127" s="5">
        <f>(K127-K126)/K126</f>
        <v/>
      </c>
      <c r="M127" s="5">
        <f>NORMINV(RAND(), $L$6, $L$7)</f>
        <v/>
      </c>
      <c r="N127" s="5">
        <f>NORMINV(RAND(), $L$6, $L$7)</f>
        <v/>
      </c>
      <c r="O127" s="5">
        <f>NORMINV(RAND(), $L$6, $L$7)</f>
        <v/>
      </c>
      <c r="P127" s="5">
        <f>NORMINV(RAND(), $L$6, $L$7)</f>
        <v/>
      </c>
      <c r="Q127" s="5">
        <f>NORMINV(RAND(), $L$6, $L$7)</f>
        <v/>
      </c>
    </row>
    <row r="128">
      <c r="A128" t="inlineStr">
        <is>
          <t>2026-03-05</t>
        </is>
      </c>
      <c r="B128" s="6" t="n">
        <v>410.68</v>
      </c>
      <c r="C128" s="5">
        <f>(B128-B127)/B127</f>
        <v/>
      </c>
      <c r="D128" s="5">
        <f>NORMINV(RAND(), $C$6, $C$7)</f>
        <v/>
      </c>
      <c r="E128" s="5">
        <f>NORMINV(RAND(), $C$6, $C$7)</f>
        <v/>
      </c>
      <c r="F128" s="5">
        <f>NORMINV(RAND(), $C$6, $C$7)</f>
        <v/>
      </c>
      <c r="G128" s="5">
        <f>NORMINV(RAND(), $C$6, $C$7)</f>
        <v/>
      </c>
      <c r="H128" s="5">
        <f>NORMINV(RAND(), $C$6, $C$7)</f>
        <v/>
      </c>
      <c r="J128" t="inlineStr">
        <is>
          <t>2026-03-05</t>
        </is>
      </c>
      <c r="K128" s="6" t="n">
        <v>218.94</v>
      </c>
      <c r="L128" s="5">
        <f>(K128-K127)/K127</f>
        <v/>
      </c>
      <c r="M128" s="5">
        <f>NORMINV(RAND(), $L$6, $L$7)</f>
        <v/>
      </c>
      <c r="N128" s="5">
        <f>NORMINV(RAND(), $L$6, $L$7)</f>
        <v/>
      </c>
      <c r="O128" s="5">
        <f>NORMINV(RAND(), $L$6, $L$7)</f>
        <v/>
      </c>
      <c r="P128" s="5">
        <f>NORMINV(RAND(), $L$6, $L$7)</f>
        <v/>
      </c>
      <c r="Q128" s="5">
        <f>NORMINV(RAND(), $L$6, $L$7)</f>
        <v/>
      </c>
    </row>
    <row r="129">
      <c r="A129" t="inlineStr">
        <is>
          <t>2026-03-06</t>
        </is>
      </c>
      <c r="B129" s="6" t="n">
        <v>408.96</v>
      </c>
      <c r="C129" s="5">
        <f>(B129-B128)/B128</f>
        <v/>
      </c>
      <c r="D129" s="5">
        <f>NORMINV(RAND(), $C$6, $C$7)</f>
        <v/>
      </c>
      <c r="E129" s="5">
        <f>NORMINV(RAND(), $C$6, $C$7)</f>
        <v/>
      </c>
      <c r="F129" s="5">
        <f>NORMINV(RAND(), $C$6, $C$7)</f>
        <v/>
      </c>
      <c r="G129" s="5">
        <f>NORMINV(RAND(), $C$6, $C$7)</f>
        <v/>
      </c>
      <c r="H129" s="5">
        <f>NORMINV(RAND(), $C$6, $C$7)</f>
        <v/>
      </c>
      <c r="J129" t="inlineStr">
        <is>
          <t>2026-03-06</t>
        </is>
      </c>
      <c r="K129" s="6" t="n">
        <v>213.21</v>
      </c>
      <c r="L129" s="5">
        <f>(K129-K128)/K128</f>
        <v/>
      </c>
      <c r="M129" s="5">
        <f>NORMINV(RAND(), $L$6, $L$7)</f>
        <v/>
      </c>
      <c r="N129" s="5">
        <f>NORMINV(RAND(), $L$6, $L$7)</f>
        <v/>
      </c>
      <c r="O129" s="5">
        <f>NORMINV(RAND(), $L$6, $L$7)</f>
        <v/>
      </c>
      <c r="P129" s="5">
        <f>NORMINV(RAND(), $L$6, $L$7)</f>
        <v/>
      </c>
      <c r="Q129" s="5">
        <f>NORMINV(RAND(), $L$6, $L$7)</f>
        <v/>
      </c>
    </row>
    <row r="130">
      <c r="A130" t="inlineStr">
        <is>
          <t>2026-03-09</t>
        </is>
      </c>
      <c r="B130" s="6" t="n">
        <v>409.41</v>
      </c>
      <c r="C130" s="5">
        <f>(B130-B129)/B129</f>
        <v/>
      </c>
      <c r="D130" s="5">
        <f>NORMINV(RAND(), $C$6, $C$7)</f>
        <v/>
      </c>
      <c r="E130" s="5">
        <f>NORMINV(RAND(), $C$6, $C$7)</f>
        <v/>
      </c>
      <c r="F130" s="5">
        <f>NORMINV(RAND(), $C$6, $C$7)</f>
        <v/>
      </c>
      <c r="G130" s="5">
        <f>NORMINV(RAND(), $C$6, $C$7)</f>
        <v/>
      </c>
      <c r="H130" s="5">
        <f>NORMINV(RAND(), $C$6, $C$7)</f>
        <v/>
      </c>
      <c r="J130" t="inlineStr">
        <is>
          <t>2026-03-09</t>
        </is>
      </c>
      <c r="K130" s="6" t="n">
        <v>213.49</v>
      </c>
      <c r="L130" s="5">
        <f>(K130-K129)/K129</f>
        <v/>
      </c>
      <c r="M130" s="5">
        <f>NORMINV(RAND(), $L$6, $L$7)</f>
        <v/>
      </c>
      <c r="N130" s="5">
        <f>NORMINV(RAND(), $L$6, $L$7)</f>
        <v/>
      </c>
      <c r="O130" s="5">
        <f>NORMINV(RAND(), $L$6, $L$7)</f>
        <v/>
      </c>
      <c r="P130" s="5">
        <f>NORMINV(RAND(), $L$6, $L$7)</f>
        <v/>
      </c>
      <c r="Q130" s="5">
        <f>NORMINV(RAND(), $L$6, $L$7)</f>
        <v/>
      </c>
    </row>
    <row r="131">
      <c r="A131" t="inlineStr">
        <is>
          <t>2026-03-10</t>
        </is>
      </c>
      <c r="B131" s="6" t="n">
        <v>405.76</v>
      </c>
      <c r="C131" s="5">
        <f>(B131-B130)/B130</f>
        <v/>
      </c>
      <c r="D131" s="5">
        <f>NORMINV(RAND(), $C$6, $C$7)</f>
        <v/>
      </c>
      <c r="E131" s="5">
        <f>NORMINV(RAND(), $C$6, $C$7)</f>
        <v/>
      </c>
      <c r="F131" s="5">
        <f>NORMINV(RAND(), $C$6, $C$7)</f>
        <v/>
      </c>
      <c r="G131" s="5">
        <f>NORMINV(RAND(), $C$6, $C$7)</f>
        <v/>
      </c>
      <c r="H131" s="5">
        <f>NORMINV(RAND(), $C$6, $C$7)</f>
        <v/>
      </c>
      <c r="J131" t="inlineStr">
        <is>
          <t>2026-03-10</t>
        </is>
      </c>
      <c r="K131" s="6" t="n">
        <v>214.33</v>
      </c>
      <c r="L131" s="5">
        <f>(K131-K130)/K130</f>
        <v/>
      </c>
      <c r="M131" s="5">
        <f>NORMINV(RAND(), $L$6, $L$7)</f>
        <v/>
      </c>
      <c r="N131" s="5">
        <f>NORMINV(RAND(), $L$6, $L$7)</f>
        <v/>
      </c>
      <c r="O131" s="5">
        <f>NORMINV(RAND(), $L$6, $L$7)</f>
        <v/>
      </c>
      <c r="P131" s="5">
        <f>NORMINV(RAND(), $L$6, $L$7)</f>
        <v/>
      </c>
      <c r="Q131" s="5">
        <f>NORMINV(RAND(), $L$6, $L$7)</f>
        <v/>
      </c>
    </row>
    <row r="132">
      <c r="A132" t="inlineStr">
        <is>
          <t>2026-03-11</t>
        </is>
      </c>
      <c r="B132" s="6" t="n">
        <v>404.88</v>
      </c>
      <c r="C132" s="5">
        <f>(B132-B131)/B131</f>
        <v/>
      </c>
      <c r="D132" s="5">
        <f>NORMINV(RAND(), $C$6, $C$7)</f>
        <v/>
      </c>
      <c r="E132" s="5">
        <f>NORMINV(RAND(), $C$6, $C$7)</f>
        <v/>
      </c>
      <c r="F132" s="5">
        <f>NORMINV(RAND(), $C$6, $C$7)</f>
        <v/>
      </c>
      <c r="G132" s="5">
        <f>NORMINV(RAND(), $C$6, $C$7)</f>
        <v/>
      </c>
      <c r="H132" s="5">
        <f>NORMINV(RAND(), $C$6, $C$7)</f>
        <v/>
      </c>
      <c r="J132" t="inlineStr">
        <is>
          <t>2026-03-11</t>
        </is>
      </c>
      <c r="K132" s="6" t="n">
        <v>212.65</v>
      </c>
      <c r="L132" s="5">
        <f>(K132-K131)/K131</f>
        <v/>
      </c>
      <c r="M132" s="5">
        <f>NORMINV(RAND(), $L$6, $L$7)</f>
        <v/>
      </c>
      <c r="N132" s="5">
        <f>NORMINV(RAND(), $L$6, $L$7)</f>
        <v/>
      </c>
      <c r="O132" s="5">
        <f>NORMINV(RAND(), $L$6, $L$7)</f>
        <v/>
      </c>
      <c r="P132" s="5">
        <f>NORMINV(RAND(), $L$6, $L$7)</f>
        <v/>
      </c>
      <c r="Q132" s="5">
        <f>NORMINV(RAND(), $L$6, $L$7)</f>
        <v/>
      </c>
    </row>
    <row r="133">
      <c r="A133" t="inlineStr">
        <is>
          <t>2026-03-12</t>
        </is>
      </c>
      <c r="B133" s="6" t="n">
        <v>401.86</v>
      </c>
      <c r="C133" s="5">
        <f>(B133-B132)/B132</f>
        <v/>
      </c>
      <c r="D133" s="5">
        <f>NORMINV(RAND(), $C$6, $C$7)</f>
        <v/>
      </c>
      <c r="E133" s="5">
        <f>NORMINV(RAND(), $C$6, $C$7)</f>
        <v/>
      </c>
      <c r="F133" s="5">
        <f>NORMINV(RAND(), $C$6, $C$7)</f>
        <v/>
      </c>
      <c r="G133" s="5">
        <f>NORMINV(RAND(), $C$6, $C$7)</f>
        <v/>
      </c>
      <c r="H133" s="5">
        <f>NORMINV(RAND(), $C$6, $C$7)</f>
        <v/>
      </c>
      <c r="J133" t="inlineStr">
        <is>
          <t>2026-03-12</t>
        </is>
      </c>
      <c r="K133" s="6" t="n">
        <v>209.53</v>
      </c>
      <c r="L133" s="5">
        <f>(K133-K132)/K132</f>
        <v/>
      </c>
      <c r="M133" s="5">
        <f>NORMINV(RAND(), $L$6, $L$7)</f>
        <v/>
      </c>
      <c r="N133" s="5">
        <f>NORMINV(RAND(), $L$6, $L$7)</f>
        <v/>
      </c>
      <c r="O133" s="5">
        <f>NORMINV(RAND(), $L$6, $L$7)</f>
        <v/>
      </c>
      <c r="P133" s="5">
        <f>NORMINV(RAND(), $L$6, $L$7)</f>
        <v/>
      </c>
      <c r="Q133" s="5">
        <f>NORMINV(RAND(), $L$6, $L$7)</f>
        <v/>
      </c>
    </row>
    <row r="134">
      <c r="A134" t="inlineStr">
        <is>
          <t>2026-03-13</t>
        </is>
      </c>
      <c r="B134" s="6" t="n">
        <v>395.55</v>
      </c>
      <c r="C134" s="5">
        <f>(B134-B133)/B133</f>
        <v/>
      </c>
      <c r="D134" s="5">
        <f>NORMINV(RAND(), $C$6, $C$7)</f>
        <v/>
      </c>
      <c r="E134" s="5">
        <f>NORMINV(RAND(), $C$6, $C$7)</f>
        <v/>
      </c>
      <c r="F134" s="5">
        <f>NORMINV(RAND(), $C$6, $C$7)</f>
        <v/>
      </c>
      <c r="G134" s="5">
        <f>NORMINV(RAND(), $C$6, $C$7)</f>
        <v/>
      </c>
      <c r="H134" s="5">
        <f>NORMINV(RAND(), $C$6, $C$7)</f>
        <v/>
      </c>
      <c r="J134" t="inlineStr">
        <is>
          <t>2026-03-13</t>
        </is>
      </c>
      <c r="K134" s="6" t="n">
        <v>207.67</v>
      </c>
      <c r="L134" s="5">
        <f>(K134-K133)/K133</f>
        <v/>
      </c>
      <c r="M134" s="5">
        <f>NORMINV(RAND(), $L$6, $L$7)</f>
        <v/>
      </c>
      <c r="N134" s="5">
        <f>NORMINV(RAND(), $L$6, $L$7)</f>
        <v/>
      </c>
      <c r="O134" s="5">
        <f>NORMINV(RAND(), $L$6, $L$7)</f>
        <v/>
      </c>
      <c r="P134" s="5">
        <f>NORMINV(RAND(), $L$6, $L$7)</f>
        <v/>
      </c>
      <c r="Q134" s="5">
        <f>NORMINV(RAND(), $L$6, $L$7)</f>
        <v/>
      </c>
    </row>
    <row r="135">
      <c r="A135" t="inlineStr">
        <is>
          <t>2026-03-16</t>
        </is>
      </c>
      <c r="B135" s="6" t="n">
        <v>399.95</v>
      </c>
      <c r="C135" s="5">
        <f>(B135-B134)/B134</f>
        <v/>
      </c>
      <c r="D135" s="5">
        <f>NORMINV(RAND(), $C$6, $C$7)</f>
        <v/>
      </c>
      <c r="E135" s="5">
        <f>NORMINV(RAND(), $C$6, $C$7)</f>
        <v/>
      </c>
      <c r="F135" s="5">
        <f>NORMINV(RAND(), $C$6, $C$7)</f>
        <v/>
      </c>
      <c r="G135" s="5">
        <f>NORMINV(RAND(), $C$6, $C$7)</f>
        <v/>
      </c>
      <c r="H135" s="5">
        <f>NORMINV(RAND(), $C$6, $C$7)</f>
        <v/>
      </c>
      <c r="J135" t="inlineStr">
        <is>
          <t>2026-03-16</t>
        </is>
      </c>
      <c r="K135" s="6" t="n">
        <v>211.74</v>
      </c>
      <c r="L135" s="5">
        <f>(K135-K134)/K134</f>
        <v/>
      </c>
      <c r="M135" s="5">
        <f>NORMINV(RAND(), $L$6, $L$7)</f>
        <v/>
      </c>
      <c r="N135" s="5">
        <f>NORMINV(RAND(), $L$6, $L$7)</f>
        <v/>
      </c>
      <c r="O135" s="5">
        <f>NORMINV(RAND(), $L$6, $L$7)</f>
        <v/>
      </c>
      <c r="P135" s="5">
        <f>NORMINV(RAND(), $L$6, $L$7)</f>
        <v/>
      </c>
      <c r="Q135" s="5">
        <f>NORMINV(RAND(), $L$6, $L$7)</f>
        <v/>
      </c>
    </row>
    <row r="136">
      <c r="A136" t="inlineStr">
        <is>
          <t>2026-03-17</t>
        </is>
      </c>
      <c r="B136" s="6" t="n">
        <v>399.41</v>
      </c>
      <c r="C136" s="5">
        <f>(B136-B135)/B135</f>
        <v/>
      </c>
      <c r="D136" s="5">
        <f>NORMINV(RAND(), $C$6, $C$7)</f>
        <v/>
      </c>
      <c r="E136" s="5">
        <f>NORMINV(RAND(), $C$6, $C$7)</f>
        <v/>
      </c>
      <c r="F136" s="5">
        <f>NORMINV(RAND(), $C$6, $C$7)</f>
        <v/>
      </c>
      <c r="G136" s="5">
        <f>NORMINV(RAND(), $C$6, $C$7)</f>
        <v/>
      </c>
      <c r="H136" s="5">
        <f>NORMINV(RAND(), $C$6, $C$7)</f>
        <v/>
      </c>
      <c r="J136" t="inlineStr">
        <is>
          <t>2026-03-17</t>
        </is>
      </c>
      <c r="K136" s="6" t="n">
        <v>215.2</v>
      </c>
      <c r="L136" s="5">
        <f>(K136-K135)/K135</f>
        <v/>
      </c>
      <c r="M136" s="5">
        <f>NORMINV(RAND(), $L$6, $L$7)</f>
        <v/>
      </c>
      <c r="N136" s="5">
        <f>NORMINV(RAND(), $L$6, $L$7)</f>
        <v/>
      </c>
      <c r="O136" s="5">
        <f>NORMINV(RAND(), $L$6, $L$7)</f>
        <v/>
      </c>
      <c r="P136" s="5">
        <f>NORMINV(RAND(), $L$6, $L$7)</f>
        <v/>
      </c>
      <c r="Q136" s="5">
        <f>NORMINV(RAND(), $L$6, $L$7)</f>
        <v/>
      </c>
    </row>
    <row r="137">
      <c r="A137" t="inlineStr">
        <is>
          <t>2026-03-18</t>
        </is>
      </c>
      <c r="B137" s="6" t="n">
        <v>391.79</v>
      </c>
      <c r="C137" s="5">
        <f>(B137-B136)/B136</f>
        <v/>
      </c>
      <c r="D137" s="5">
        <f>NORMINV(RAND(), $C$6, $C$7)</f>
        <v/>
      </c>
      <c r="E137" s="5">
        <f>NORMINV(RAND(), $C$6, $C$7)</f>
        <v/>
      </c>
      <c r="F137" s="5">
        <f>NORMINV(RAND(), $C$6, $C$7)</f>
        <v/>
      </c>
      <c r="G137" s="5">
        <f>NORMINV(RAND(), $C$6, $C$7)</f>
        <v/>
      </c>
      <c r="H137" s="5">
        <f>NORMINV(RAND(), $C$6, $C$7)</f>
        <v/>
      </c>
      <c r="J137" t="inlineStr">
        <is>
          <t>2026-03-18</t>
        </is>
      </c>
      <c r="K137" s="6" t="n">
        <v>209.87</v>
      </c>
      <c r="L137" s="5">
        <f>(K137-K136)/K136</f>
        <v/>
      </c>
      <c r="M137" s="5">
        <f>NORMINV(RAND(), $L$6, $L$7)</f>
        <v/>
      </c>
      <c r="N137" s="5">
        <f>NORMINV(RAND(), $L$6, $L$7)</f>
        <v/>
      </c>
      <c r="O137" s="5">
        <f>NORMINV(RAND(), $L$6, $L$7)</f>
        <v/>
      </c>
      <c r="P137" s="5">
        <f>NORMINV(RAND(), $L$6, $L$7)</f>
        <v/>
      </c>
      <c r="Q137" s="5">
        <f>NORMINV(RAND(), $L$6, $L$7)</f>
        <v/>
      </c>
    </row>
    <row r="138">
      <c r="A138" t="inlineStr">
        <is>
          <t>2026-03-19</t>
        </is>
      </c>
      <c r="B138" s="6" t="n">
        <v>389.02</v>
      </c>
      <c r="C138" s="5">
        <f>(B138-B137)/B137</f>
        <v/>
      </c>
      <c r="D138" s="5">
        <f>NORMINV(RAND(), $C$6, $C$7)</f>
        <v/>
      </c>
      <c r="E138" s="5">
        <f>NORMINV(RAND(), $C$6, $C$7)</f>
        <v/>
      </c>
      <c r="F138" s="5">
        <f>NORMINV(RAND(), $C$6, $C$7)</f>
        <v/>
      </c>
      <c r="G138" s="5">
        <f>NORMINV(RAND(), $C$6, $C$7)</f>
        <v/>
      </c>
      <c r="H138" s="5">
        <f>NORMINV(RAND(), $C$6, $C$7)</f>
        <v/>
      </c>
      <c r="J138" t="inlineStr">
        <is>
          <t>2026-03-19</t>
        </is>
      </c>
      <c r="K138" s="6" t="n">
        <v>208.76</v>
      </c>
      <c r="L138" s="5">
        <f>(K138-K137)/K137</f>
        <v/>
      </c>
      <c r="M138" s="5">
        <f>NORMINV(RAND(), $L$6, $L$7)</f>
        <v/>
      </c>
      <c r="N138" s="5">
        <f>NORMINV(RAND(), $L$6, $L$7)</f>
        <v/>
      </c>
      <c r="O138" s="5">
        <f>NORMINV(RAND(), $L$6, $L$7)</f>
        <v/>
      </c>
      <c r="P138" s="5">
        <f>NORMINV(RAND(), $L$6, $L$7)</f>
        <v/>
      </c>
      <c r="Q138" s="5">
        <f>NORMINV(RAND(), $L$6, $L$7)</f>
        <v/>
      </c>
    </row>
    <row r="139">
      <c r="A139" t="inlineStr">
        <is>
          <t>2026-03-20</t>
        </is>
      </c>
      <c r="B139" s="6" t="n">
        <v>381.87</v>
      </c>
      <c r="C139" s="5">
        <f>(B139-B138)/B138</f>
        <v/>
      </c>
      <c r="D139" s="5">
        <f>NORMINV(RAND(), $C$6, $C$7)</f>
        <v/>
      </c>
      <c r="E139" s="5">
        <f>NORMINV(RAND(), $C$6, $C$7)</f>
        <v/>
      </c>
      <c r="F139" s="5">
        <f>NORMINV(RAND(), $C$6, $C$7)</f>
        <v/>
      </c>
      <c r="G139" s="5">
        <f>NORMINV(RAND(), $C$6, $C$7)</f>
        <v/>
      </c>
      <c r="H139" s="5">
        <f>NORMINV(RAND(), $C$6, $C$7)</f>
        <v/>
      </c>
      <c r="J139" t="inlineStr">
        <is>
          <t>2026-03-20</t>
        </is>
      </c>
      <c r="K139" s="6" t="n">
        <v>205.37</v>
      </c>
      <c r="L139" s="5">
        <f>(K139-K138)/K138</f>
        <v/>
      </c>
      <c r="M139" s="5">
        <f>NORMINV(RAND(), $L$6, $L$7)</f>
        <v/>
      </c>
      <c r="N139" s="5">
        <f>NORMINV(RAND(), $L$6, $L$7)</f>
        <v/>
      </c>
      <c r="O139" s="5">
        <f>NORMINV(RAND(), $L$6, $L$7)</f>
        <v/>
      </c>
      <c r="P139" s="5">
        <f>NORMINV(RAND(), $L$6, $L$7)</f>
        <v/>
      </c>
      <c r="Q139" s="5">
        <f>NORMINV(RAND(), $L$6, $L$7)</f>
        <v/>
      </c>
    </row>
    <row r="140">
      <c r="A140" t="inlineStr">
        <is>
          <t>2026-03-23</t>
        </is>
      </c>
      <c r="B140" s="6" t="n">
        <v>383</v>
      </c>
      <c r="C140" s="5">
        <f>(B140-B139)/B139</f>
        <v/>
      </c>
      <c r="D140" s="5">
        <f>NORMINV(RAND(), $C$6, $C$7)</f>
        <v/>
      </c>
      <c r="E140" s="5">
        <f>NORMINV(RAND(), $C$6, $C$7)</f>
        <v/>
      </c>
      <c r="F140" s="5">
        <f>NORMINV(RAND(), $C$6, $C$7)</f>
        <v/>
      </c>
      <c r="G140" s="5">
        <f>NORMINV(RAND(), $C$6, $C$7)</f>
        <v/>
      </c>
      <c r="H140" s="5">
        <f>NORMINV(RAND(), $C$6, $C$7)</f>
        <v/>
      </c>
      <c r="J140" t="inlineStr">
        <is>
          <t>2026-03-23</t>
        </is>
      </c>
      <c r="K140" s="6" t="n">
        <v>210.14</v>
      </c>
      <c r="L140" s="5">
        <f>(K140-K139)/K139</f>
        <v/>
      </c>
      <c r="M140" s="5">
        <f>NORMINV(RAND(), $L$6, $L$7)</f>
        <v/>
      </c>
      <c r="N140" s="5">
        <f>NORMINV(RAND(), $L$6, $L$7)</f>
        <v/>
      </c>
      <c r="O140" s="5">
        <f>NORMINV(RAND(), $L$6, $L$7)</f>
        <v/>
      </c>
      <c r="P140" s="5">
        <f>NORMINV(RAND(), $L$6, $L$7)</f>
        <v/>
      </c>
      <c r="Q140" s="5">
        <f>NORMINV(RAND(), $L$6, $L$7)</f>
        <v/>
      </c>
    </row>
    <row r="141">
      <c r="A141" t="inlineStr">
        <is>
          <t>2026-03-24</t>
        </is>
      </c>
      <c r="B141" s="6" t="n">
        <v>372.74</v>
      </c>
      <c r="C141" s="5">
        <f>(B141-B140)/B140</f>
        <v/>
      </c>
      <c r="D141" s="5">
        <f>NORMINV(RAND(), $C$6, $C$7)</f>
        <v/>
      </c>
      <c r="E141" s="5">
        <f>NORMINV(RAND(), $C$6, $C$7)</f>
        <v/>
      </c>
      <c r="F141" s="5">
        <f>NORMINV(RAND(), $C$6, $C$7)</f>
        <v/>
      </c>
      <c r="G141" s="5">
        <f>NORMINV(RAND(), $C$6, $C$7)</f>
        <v/>
      </c>
      <c r="H141" s="5">
        <f>NORMINV(RAND(), $C$6, $C$7)</f>
        <v/>
      </c>
      <c r="J141" t="inlineStr">
        <is>
          <t>2026-03-24</t>
        </is>
      </c>
      <c r="K141" s="6" t="n">
        <v>207.24</v>
      </c>
      <c r="L141" s="5">
        <f>(K141-K140)/K140</f>
        <v/>
      </c>
      <c r="M141" s="5">
        <f>NORMINV(RAND(), $L$6, $L$7)</f>
        <v/>
      </c>
      <c r="N141" s="5">
        <f>NORMINV(RAND(), $L$6, $L$7)</f>
        <v/>
      </c>
      <c r="O141" s="5">
        <f>NORMINV(RAND(), $L$6, $L$7)</f>
        <v/>
      </c>
      <c r="P141" s="5">
        <f>NORMINV(RAND(), $L$6, $L$7)</f>
        <v/>
      </c>
      <c r="Q141" s="5">
        <f>NORMINV(RAND(), $L$6, $L$7)</f>
        <v/>
      </c>
    </row>
    <row r="142">
      <c r="A142" t="inlineStr">
        <is>
          <t>2026-03-25</t>
        </is>
      </c>
      <c r="B142" s="6" t="n">
        <v>371.04</v>
      </c>
      <c r="C142" s="5">
        <f>(B142-B141)/B141</f>
        <v/>
      </c>
      <c r="D142" s="5">
        <f>NORMINV(RAND(), $C$6, $C$7)</f>
        <v/>
      </c>
      <c r="E142" s="5">
        <f>NORMINV(RAND(), $C$6, $C$7)</f>
        <v/>
      </c>
      <c r="F142" s="5">
        <f>NORMINV(RAND(), $C$6, $C$7)</f>
        <v/>
      </c>
      <c r="G142" s="5">
        <f>NORMINV(RAND(), $C$6, $C$7)</f>
        <v/>
      </c>
      <c r="H142" s="5">
        <f>NORMINV(RAND(), $C$6, $C$7)</f>
        <v/>
      </c>
      <c r="J142" t="inlineStr">
        <is>
          <t>2026-03-25</t>
        </is>
      </c>
      <c r="K142" s="6" t="n">
        <v>211.71</v>
      </c>
      <c r="L142" s="5">
        <f>(K142-K141)/K141</f>
        <v/>
      </c>
      <c r="M142" s="5">
        <f>NORMINV(RAND(), $L$6, $L$7)</f>
        <v/>
      </c>
      <c r="N142" s="5">
        <f>NORMINV(RAND(), $L$6, $L$7)</f>
        <v/>
      </c>
      <c r="O142" s="5">
        <f>NORMINV(RAND(), $L$6, $L$7)</f>
        <v/>
      </c>
      <c r="P142" s="5">
        <f>NORMINV(RAND(), $L$6, $L$7)</f>
        <v/>
      </c>
      <c r="Q142" s="5">
        <f>NORMINV(RAND(), $L$6, $L$7)</f>
        <v/>
      </c>
    </row>
    <row r="143">
      <c r="A143" t="inlineStr">
        <is>
          <t>2026-03-26</t>
        </is>
      </c>
      <c r="B143" s="6" t="n">
        <v>365.97</v>
      </c>
      <c r="C143" s="5">
        <f>(B143-B142)/B142</f>
        <v/>
      </c>
      <c r="D143" s="5">
        <f>NORMINV(RAND(), $C$6, $C$7)</f>
        <v/>
      </c>
      <c r="E143" s="5">
        <f>NORMINV(RAND(), $C$6, $C$7)</f>
        <v/>
      </c>
      <c r="F143" s="5">
        <f>NORMINV(RAND(), $C$6, $C$7)</f>
        <v/>
      </c>
      <c r="G143" s="5">
        <f>NORMINV(RAND(), $C$6, $C$7)</f>
        <v/>
      </c>
      <c r="H143" s="5">
        <f>NORMINV(RAND(), $C$6, $C$7)</f>
        <v/>
      </c>
      <c r="J143" t="inlineStr">
        <is>
          <t>2026-03-26</t>
        </is>
      </c>
      <c r="K143" s="6" t="n">
        <v>207.54</v>
      </c>
      <c r="L143" s="5">
        <f>(K143-K142)/K142</f>
        <v/>
      </c>
      <c r="M143" s="5">
        <f>NORMINV(RAND(), $L$6, $L$7)</f>
        <v/>
      </c>
      <c r="N143" s="5">
        <f>NORMINV(RAND(), $L$6, $L$7)</f>
        <v/>
      </c>
      <c r="O143" s="5">
        <f>NORMINV(RAND(), $L$6, $L$7)</f>
        <v/>
      </c>
      <c r="P143" s="5">
        <f>NORMINV(RAND(), $L$6, $L$7)</f>
        <v/>
      </c>
      <c r="Q143" s="5">
        <f>NORMINV(RAND(), $L$6, $L$7)</f>
        <v/>
      </c>
    </row>
    <row r="144">
      <c r="A144" t="inlineStr">
        <is>
          <t>2026-03-27</t>
        </is>
      </c>
      <c r="B144" s="6" t="n">
        <v>356.77</v>
      </c>
      <c r="C144" s="5">
        <f>(B144-B143)/B143</f>
        <v/>
      </c>
      <c r="D144" s="5">
        <f>NORMINV(RAND(), $C$6, $C$7)</f>
        <v/>
      </c>
      <c r="E144" s="5">
        <f>NORMINV(RAND(), $C$6, $C$7)</f>
        <v/>
      </c>
      <c r="F144" s="5">
        <f>NORMINV(RAND(), $C$6, $C$7)</f>
        <v/>
      </c>
      <c r="G144" s="5">
        <f>NORMINV(RAND(), $C$6, $C$7)</f>
        <v/>
      </c>
      <c r="H144" s="5">
        <f>NORMINV(RAND(), $C$6, $C$7)</f>
        <v/>
      </c>
      <c r="J144" t="inlineStr">
        <is>
          <t>2026-03-27</t>
        </is>
      </c>
      <c r="K144" s="6" t="n">
        <v>199.34</v>
      </c>
      <c r="L144" s="5">
        <f>(K144-K143)/K143</f>
        <v/>
      </c>
      <c r="M144" s="5">
        <f>NORMINV(RAND(), $L$6, $L$7)</f>
        <v/>
      </c>
      <c r="N144" s="5">
        <f>NORMINV(RAND(), $L$6, $L$7)</f>
        <v/>
      </c>
      <c r="O144" s="5">
        <f>NORMINV(RAND(), $L$6, $L$7)</f>
        <v/>
      </c>
      <c r="P144" s="5">
        <f>NORMINV(RAND(), $L$6, $L$7)</f>
        <v/>
      </c>
      <c r="Q144" s="5">
        <f>NORMINV(RAND(), $L$6, $L$7)</f>
        <v/>
      </c>
    </row>
    <row r="145">
      <c r="A145" t="inlineStr">
        <is>
          <t>2026-03-30</t>
        </is>
      </c>
      <c r="B145" s="6" t="n">
        <v>358.96</v>
      </c>
      <c r="C145" s="5">
        <f>(B145-B144)/B144</f>
        <v/>
      </c>
      <c r="D145" s="5">
        <f>NORMINV(RAND(), $C$6, $C$7)</f>
        <v/>
      </c>
      <c r="E145" s="5">
        <f>NORMINV(RAND(), $C$6, $C$7)</f>
        <v/>
      </c>
      <c r="F145" s="5">
        <f>NORMINV(RAND(), $C$6, $C$7)</f>
        <v/>
      </c>
      <c r="G145" s="5">
        <f>NORMINV(RAND(), $C$6, $C$7)</f>
        <v/>
      </c>
      <c r="H145" s="5">
        <f>NORMINV(RAND(), $C$6, $C$7)</f>
        <v/>
      </c>
      <c r="J145" t="inlineStr">
        <is>
          <t>2026-03-30</t>
        </is>
      </c>
      <c r="K145" s="6" t="n">
        <v>200.95</v>
      </c>
      <c r="L145" s="5">
        <f>(K145-K144)/K144</f>
        <v/>
      </c>
      <c r="M145" s="5">
        <f>NORMINV(RAND(), $L$6, $L$7)</f>
        <v/>
      </c>
      <c r="N145" s="5">
        <f>NORMINV(RAND(), $L$6, $L$7)</f>
        <v/>
      </c>
      <c r="O145" s="5">
        <f>NORMINV(RAND(), $L$6, $L$7)</f>
        <v/>
      </c>
      <c r="P145" s="5">
        <f>NORMINV(RAND(), $L$6, $L$7)</f>
        <v/>
      </c>
      <c r="Q145" s="5">
        <f>NORMINV(RAND(), $L$6, $L$7)</f>
        <v/>
      </c>
    </row>
    <row r="146">
      <c r="A146" t="inlineStr">
        <is>
          <t>2026-03-31</t>
        </is>
      </c>
      <c r="B146" s="6" t="n">
        <v>370.17</v>
      </c>
      <c r="C146" s="5">
        <f>(B146-B145)/B145</f>
        <v/>
      </c>
      <c r="D146" s="5">
        <f>NORMINV(RAND(), $C$6, $C$7)</f>
        <v/>
      </c>
      <c r="E146" s="5">
        <f>NORMINV(RAND(), $C$6, $C$7)</f>
        <v/>
      </c>
      <c r="F146" s="5">
        <f>NORMINV(RAND(), $C$6, $C$7)</f>
        <v/>
      </c>
      <c r="G146" s="5">
        <f>NORMINV(RAND(), $C$6, $C$7)</f>
        <v/>
      </c>
      <c r="H146" s="5">
        <f>NORMINV(RAND(), $C$6, $C$7)</f>
        <v/>
      </c>
      <c r="J146" t="inlineStr">
        <is>
          <t>2026-03-31</t>
        </is>
      </c>
      <c r="K146" s="6" t="n">
        <v>208.27</v>
      </c>
      <c r="L146" s="5">
        <f>(K146-K145)/K145</f>
        <v/>
      </c>
      <c r="M146" s="5">
        <f>NORMINV(RAND(), $L$6, $L$7)</f>
        <v/>
      </c>
      <c r="N146" s="5">
        <f>NORMINV(RAND(), $L$6, $L$7)</f>
        <v/>
      </c>
      <c r="O146" s="5">
        <f>NORMINV(RAND(), $L$6, $L$7)</f>
        <v/>
      </c>
      <c r="P146" s="5">
        <f>NORMINV(RAND(), $L$6, $L$7)</f>
        <v/>
      </c>
      <c r="Q146" s="5">
        <f>NORMINV(RAND(), $L$6, $L$7)</f>
        <v/>
      </c>
    </row>
    <row r="147">
      <c r="A147" t="inlineStr">
        <is>
          <t>2026-04-01</t>
        </is>
      </c>
      <c r="B147" s="6" t="n">
        <v>369.37</v>
      </c>
      <c r="C147" s="5">
        <f>(B147-B146)/B146</f>
        <v/>
      </c>
      <c r="D147" s="5">
        <f>NORMINV(RAND(), $C$6, $C$7)</f>
        <v/>
      </c>
      <c r="E147" s="5">
        <f>NORMINV(RAND(), $C$6, $C$7)</f>
        <v/>
      </c>
      <c r="F147" s="5">
        <f>NORMINV(RAND(), $C$6, $C$7)</f>
        <v/>
      </c>
      <c r="G147" s="5">
        <f>NORMINV(RAND(), $C$6, $C$7)</f>
        <v/>
      </c>
      <c r="H147" s="5">
        <f>NORMINV(RAND(), $C$6, $C$7)</f>
        <v/>
      </c>
      <c r="J147" t="inlineStr">
        <is>
          <t>2026-04-01</t>
        </is>
      </c>
      <c r="K147" s="6" t="n">
        <v>210.57</v>
      </c>
      <c r="L147" s="5">
        <f>(K147-K146)/K146</f>
        <v/>
      </c>
      <c r="M147" s="5">
        <f>NORMINV(RAND(), $L$6, $L$7)</f>
        <v/>
      </c>
      <c r="N147" s="5">
        <f>NORMINV(RAND(), $L$6, $L$7)</f>
        <v/>
      </c>
      <c r="O147" s="5">
        <f>NORMINV(RAND(), $L$6, $L$7)</f>
        <v/>
      </c>
      <c r="P147" s="5">
        <f>NORMINV(RAND(), $L$6, $L$7)</f>
        <v/>
      </c>
      <c r="Q147" s="5">
        <f>NORMINV(RAND(), $L$6, $L$7)</f>
        <v/>
      </c>
    </row>
    <row r="148">
      <c r="A148" t="inlineStr">
        <is>
          <t>2026-04-02</t>
        </is>
      </c>
      <c r="B148" s="6" t="n">
        <v>373.46</v>
      </c>
      <c r="C148" s="5">
        <f>(B148-B147)/B147</f>
        <v/>
      </c>
      <c r="D148" s="5">
        <f>NORMINV(RAND(), $C$6, $C$7)</f>
        <v/>
      </c>
      <c r="E148" s="5">
        <f>NORMINV(RAND(), $C$6, $C$7)</f>
        <v/>
      </c>
      <c r="F148" s="5">
        <f>NORMINV(RAND(), $C$6, $C$7)</f>
        <v/>
      </c>
      <c r="G148" s="5">
        <f>NORMINV(RAND(), $C$6, $C$7)</f>
        <v/>
      </c>
      <c r="H148" s="5">
        <f>NORMINV(RAND(), $C$6, $C$7)</f>
        <v/>
      </c>
      <c r="J148" t="inlineStr">
        <is>
          <t>2026-04-02</t>
        </is>
      </c>
      <c r="K148" s="6" t="n">
        <v>209.77</v>
      </c>
      <c r="L148" s="5">
        <f>(K148-K147)/K147</f>
        <v/>
      </c>
      <c r="M148" s="5">
        <f>NORMINV(RAND(), $L$6, $L$7)</f>
        <v/>
      </c>
      <c r="N148" s="5">
        <f>NORMINV(RAND(), $L$6, $L$7)</f>
        <v/>
      </c>
      <c r="O148" s="5">
        <f>NORMINV(RAND(), $L$6, $L$7)</f>
        <v/>
      </c>
      <c r="P148" s="5">
        <f>NORMINV(RAND(), $L$6, $L$7)</f>
        <v/>
      </c>
      <c r="Q148" s="5">
        <f>NORMINV(RAND(), $L$6, $L$7)</f>
        <v/>
      </c>
    </row>
    <row r="149">
      <c r="A149" t="inlineStr">
        <is>
          <t>2026-04-06</t>
        </is>
      </c>
      <c r="B149" s="6" t="n">
        <v>372.88</v>
      </c>
      <c r="C149" s="5">
        <f>(B149-B148)/B148</f>
        <v/>
      </c>
      <c r="D149" s="5">
        <f>NORMINV(RAND(), $C$6, $C$7)</f>
        <v/>
      </c>
      <c r="E149" s="5">
        <f>NORMINV(RAND(), $C$6, $C$7)</f>
        <v/>
      </c>
      <c r="F149" s="5">
        <f>NORMINV(RAND(), $C$6, $C$7)</f>
        <v/>
      </c>
      <c r="G149" s="5">
        <f>NORMINV(RAND(), $C$6, $C$7)</f>
        <v/>
      </c>
      <c r="H149" s="5">
        <f>NORMINV(RAND(), $C$6, $C$7)</f>
        <v/>
      </c>
      <c r="J149" t="inlineStr">
        <is>
          <t>2026-04-06</t>
        </is>
      </c>
      <c r="K149" s="6" t="n">
        <v>212.79</v>
      </c>
      <c r="L149" s="5">
        <f>(K149-K148)/K148</f>
        <v/>
      </c>
      <c r="M149" s="5">
        <f>NORMINV(RAND(), $L$6, $L$7)</f>
        <v/>
      </c>
      <c r="N149" s="5">
        <f>NORMINV(RAND(), $L$6, $L$7)</f>
        <v/>
      </c>
      <c r="O149" s="5">
        <f>NORMINV(RAND(), $L$6, $L$7)</f>
        <v/>
      </c>
      <c r="P149" s="5">
        <f>NORMINV(RAND(), $L$6, $L$7)</f>
        <v/>
      </c>
      <c r="Q149" s="5">
        <f>NORMINV(RAND(), $L$6, $L$7)</f>
        <v/>
      </c>
    </row>
    <row r="150">
      <c r="A150" t="inlineStr">
        <is>
          <t>2026-04-07</t>
        </is>
      </c>
      <c r="B150" s="6" t="n">
        <v>372.29</v>
      </c>
      <c r="C150" s="5">
        <f>(B150-B149)/B149</f>
        <v/>
      </c>
      <c r="D150" s="5">
        <f>NORMINV(RAND(), $C$6, $C$7)</f>
        <v/>
      </c>
      <c r="E150" s="5">
        <f>NORMINV(RAND(), $C$6, $C$7)</f>
        <v/>
      </c>
      <c r="F150" s="5">
        <f>NORMINV(RAND(), $C$6, $C$7)</f>
        <v/>
      </c>
      <c r="G150" s="5">
        <f>NORMINV(RAND(), $C$6, $C$7)</f>
        <v/>
      </c>
      <c r="H150" s="5">
        <f>NORMINV(RAND(), $C$6, $C$7)</f>
        <v/>
      </c>
      <c r="J150" t="inlineStr">
        <is>
          <t>2026-04-07</t>
        </is>
      </c>
      <c r="K150" s="6" t="n">
        <v>213.77</v>
      </c>
      <c r="L150" s="5">
        <f>(K150-K149)/K149</f>
        <v/>
      </c>
      <c r="M150" s="5">
        <f>NORMINV(RAND(), $L$6, $L$7)</f>
        <v/>
      </c>
      <c r="N150" s="5">
        <f>NORMINV(RAND(), $L$6, $L$7)</f>
        <v/>
      </c>
      <c r="O150" s="5">
        <f>NORMINV(RAND(), $L$6, $L$7)</f>
        <v/>
      </c>
      <c r="P150" s="5">
        <f>NORMINV(RAND(), $L$6, $L$7)</f>
        <v/>
      </c>
      <c r="Q150" s="5">
        <f>NORMINV(RAND(), $L$6, $L$7)</f>
        <v/>
      </c>
    </row>
    <row r="151">
      <c r="A151" t="inlineStr">
        <is>
          <t>2026-04-08</t>
        </is>
      </c>
      <c r="B151" s="6" t="n">
        <v>374.33</v>
      </c>
      <c r="C151" s="5">
        <f>(B151-B150)/B150</f>
        <v/>
      </c>
      <c r="D151" s="5">
        <f>NORMINV(RAND(), $C$6, $C$7)</f>
        <v/>
      </c>
      <c r="E151" s="5">
        <f>NORMINV(RAND(), $C$6, $C$7)</f>
        <v/>
      </c>
      <c r="F151" s="5">
        <f>NORMINV(RAND(), $C$6, $C$7)</f>
        <v/>
      </c>
      <c r="G151" s="5">
        <f>NORMINV(RAND(), $C$6, $C$7)</f>
        <v/>
      </c>
      <c r="H151" s="5">
        <f>NORMINV(RAND(), $C$6, $C$7)</f>
        <v/>
      </c>
      <c r="J151" t="inlineStr">
        <is>
          <t>2026-04-08</t>
        </is>
      </c>
      <c r="K151" s="6" t="n">
        <v>221.25</v>
      </c>
      <c r="L151" s="5">
        <f>(K151-K150)/K150</f>
        <v/>
      </c>
      <c r="M151" s="5">
        <f>NORMINV(RAND(), $L$6, $L$7)</f>
        <v/>
      </c>
      <c r="N151" s="5">
        <f>NORMINV(RAND(), $L$6, $L$7)</f>
        <v/>
      </c>
      <c r="O151" s="5">
        <f>NORMINV(RAND(), $L$6, $L$7)</f>
        <v/>
      </c>
      <c r="P151" s="5">
        <f>NORMINV(RAND(), $L$6, $L$7)</f>
        <v/>
      </c>
      <c r="Q151" s="5">
        <f>NORMINV(RAND(), $L$6, $L$7)</f>
        <v/>
      </c>
    </row>
    <row r="152">
      <c r="A152" t="inlineStr">
        <is>
          <t>2026-04-09</t>
        </is>
      </c>
      <c r="B152" s="6" t="n">
        <v>373.07</v>
      </c>
      <c r="C152" s="5">
        <f>(B152-B151)/B151</f>
        <v/>
      </c>
      <c r="D152" s="5">
        <f>NORMINV(RAND(), $C$6, $C$7)</f>
        <v/>
      </c>
      <c r="E152" s="5">
        <f>NORMINV(RAND(), $C$6, $C$7)</f>
        <v/>
      </c>
      <c r="F152" s="5">
        <f>NORMINV(RAND(), $C$6, $C$7)</f>
        <v/>
      </c>
      <c r="G152" s="5">
        <f>NORMINV(RAND(), $C$6, $C$7)</f>
        <v/>
      </c>
      <c r="H152" s="5">
        <f>NORMINV(RAND(), $C$6, $C$7)</f>
        <v/>
      </c>
      <c r="J152" t="inlineStr">
        <is>
          <t>2026-04-09</t>
        </is>
      </c>
      <c r="K152" s="6" t="n">
        <v>233.65</v>
      </c>
      <c r="L152" s="5">
        <f>(K152-K151)/K151</f>
        <v/>
      </c>
      <c r="M152" s="5">
        <f>NORMINV(RAND(), $L$6, $L$7)</f>
        <v/>
      </c>
      <c r="N152" s="5">
        <f>NORMINV(RAND(), $L$6, $L$7)</f>
        <v/>
      </c>
      <c r="O152" s="5">
        <f>NORMINV(RAND(), $L$6, $L$7)</f>
        <v/>
      </c>
      <c r="P152" s="5">
        <f>NORMINV(RAND(), $L$6, $L$7)</f>
        <v/>
      </c>
      <c r="Q152" s="5">
        <f>NORMINV(RAND(), $L$6, $L$7)</f>
        <v/>
      </c>
    </row>
    <row r="153">
      <c r="A153" t="inlineStr">
        <is>
          <t>2026-04-10</t>
        </is>
      </c>
      <c r="B153" s="6" t="n">
        <v>370.87</v>
      </c>
      <c r="C153" s="5">
        <f>(B153-B152)/B152</f>
        <v/>
      </c>
      <c r="D153" s="5">
        <f>NORMINV(RAND(), $C$6, $C$7)</f>
        <v/>
      </c>
      <c r="E153" s="5">
        <f>NORMINV(RAND(), $C$6, $C$7)</f>
        <v/>
      </c>
      <c r="F153" s="5">
        <f>NORMINV(RAND(), $C$6, $C$7)</f>
        <v/>
      </c>
      <c r="G153" s="5">
        <f>NORMINV(RAND(), $C$6, $C$7)</f>
        <v/>
      </c>
      <c r="H153" s="5">
        <f>NORMINV(RAND(), $C$6, $C$7)</f>
        <v/>
      </c>
      <c r="J153" t="inlineStr">
        <is>
          <t>2026-04-10</t>
        </is>
      </c>
      <c r="K153" s="6" t="n">
        <v>238.38</v>
      </c>
      <c r="L153" s="5">
        <f>(K153-K152)/K152</f>
        <v/>
      </c>
      <c r="M153" s="5">
        <f>NORMINV(RAND(), $L$6, $L$7)</f>
        <v/>
      </c>
      <c r="N153" s="5">
        <f>NORMINV(RAND(), $L$6, $L$7)</f>
        <v/>
      </c>
      <c r="O153" s="5">
        <f>NORMINV(RAND(), $L$6, $L$7)</f>
        <v/>
      </c>
      <c r="P153" s="5">
        <f>NORMINV(RAND(), $L$6, $L$7)</f>
        <v/>
      </c>
      <c r="Q153" s="5">
        <f>NORMINV(RAND(), $L$6, $L$7)</f>
        <v/>
      </c>
    </row>
    <row r="154">
      <c r="A154" t="inlineStr">
        <is>
          <t>2026-04-13</t>
        </is>
      </c>
      <c r="B154" s="6" t="n">
        <v>384.37</v>
      </c>
      <c r="C154" s="5">
        <f>(B154-B153)/B153</f>
        <v/>
      </c>
      <c r="D154" s="5">
        <f>NORMINV(RAND(), $C$6, $C$7)</f>
        <v/>
      </c>
      <c r="E154" s="5">
        <f>NORMINV(RAND(), $C$6, $C$7)</f>
        <v/>
      </c>
      <c r="F154" s="5">
        <f>NORMINV(RAND(), $C$6, $C$7)</f>
        <v/>
      </c>
      <c r="G154" s="5">
        <f>NORMINV(RAND(), $C$6, $C$7)</f>
        <v/>
      </c>
      <c r="H154" s="5">
        <f>NORMINV(RAND(), $C$6, $C$7)</f>
        <v/>
      </c>
      <c r="J154" t="inlineStr">
        <is>
          <t>2026-04-13</t>
        </is>
      </c>
      <c r="K154" s="6" t="n">
        <v>239.89</v>
      </c>
      <c r="L154" s="5">
        <f>(K154-K153)/K153</f>
        <v/>
      </c>
      <c r="M154" s="5">
        <f>NORMINV(RAND(), $L$6, $L$7)</f>
        <v/>
      </c>
      <c r="N154" s="5">
        <f>NORMINV(RAND(), $L$6, $L$7)</f>
        <v/>
      </c>
      <c r="O154" s="5">
        <f>NORMINV(RAND(), $L$6, $L$7)</f>
        <v/>
      </c>
      <c r="P154" s="5">
        <f>NORMINV(RAND(), $L$6, $L$7)</f>
        <v/>
      </c>
      <c r="Q154" s="5">
        <f>NORMINV(RAND(), $L$6, $L$7)</f>
        <v/>
      </c>
    </row>
    <row r="155">
      <c r="A155" t="inlineStr">
        <is>
          <t>2026-04-14</t>
        </is>
      </c>
      <c r="B155" s="6" t="n">
        <v>393.11</v>
      </c>
      <c r="C155" s="5">
        <f>(B155-B154)/B154</f>
        <v/>
      </c>
      <c r="D155" s="5">
        <f>NORMINV(RAND(), $C$6, $C$7)</f>
        <v/>
      </c>
      <c r="E155" s="5">
        <f>NORMINV(RAND(), $C$6, $C$7)</f>
        <v/>
      </c>
      <c r="F155" s="5">
        <f>NORMINV(RAND(), $C$6, $C$7)</f>
        <v/>
      </c>
      <c r="G155" s="5">
        <f>NORMINV(RAND(), $C$6, $C$7)</f>
        <v/>
      </c>
      <c r="H155" s="5">
        <f>NORMINV(RAND(), $C$6, $C$7)</f>
        <v/>
      </c>
      <c r="J155" t="inlineStr">
        <is>
          <t>2026-04-14</t>
        </is>
      </c>
      <c r="K155" s="6" t="n">
        <v>249.02</v>
      </c>
      <c r="L155" s="5">
        <f>(K155-K154)/K154</f>
        <v/>
      </c>
      <c r="M155" s="5">
        <f>NORMINV(RAND(), $L$6, $L$7)</f>
        <v/>
      </c>
      <c r="N155" s="5">
        <f>NORMINV(RAND(), $L$6, $L$7)</f>
        <v/>
      </c>
      <c r="O155" s="5">
        <f>NORMINV(RAND(), $L$6, $L$7)</f>
        <v/>
      </c>
      <c r="P155" s="5">
        <f>NORMINV(RAND(), $L$6, $L$7)</f>
        <v/>
      </c>
      <c r="Q155" s="5">
        <f>NORMINV(RAND(), $L$6, $L$7)</f>
        <v/>
      </c>
    </row>
    <row r="156">
      <c r="A156" t="inlineStr">
        <is>
          <t>2026-04-15</t>
        </is>
      </c>
      <c r="B156" s="6" t="n">
        <v>411.22</v>
      </c>
      <c r="C156" s="5">
        <f>(B156-B155)/B155</f>
        <v/>
      </c>
      <c r="D156" s="5">
        <f>NORMINV(RAND(), $C$6, $C$7)</f>
        <v/>
      </c>
      <c r="E156" s="5">
        <f>NORMINV(RAND(), $C$6, $C$7)</f>
        <v/>
      </c>
      <c r="F156" s="5">
        <f>NORMINV(RAND(), $C$6, $C$7)</f>
        <v/>
      </c>
      <c r="G156" s="5">
        <f>NORMINV(RAND(), $C$6, $C$7)</f>
        <v/>
      </c>
      <c r="H156" s="5">
        <f>NORMINV(RAND(), $C$6, $C$7)</f>
        <v/>
      </c>
      <c r="J156" t="inlineStr">
        <is>
          <t>2026-04-15</t>
        </is>
      </c>
      <c r="K156" s="6" t="n">
        <v>248.5</v>
      </c>
      <c r="L156" s="5">
        <f>(K156-K155)/K155</f>
        <v/>
      </c>
      <c r="M156" s="5">
        <f>NORMINV(RAND(), $L$6, $L$7)</f>
        <v/>
      </c>
      <c r="N156" s="5">
        <f>NORMINV(RAND(), $L$6, $L$7)</f>
        <v/>
      </c>
      <c r="O156" s="5">
        <f>NORMINV(RAND(), $L$6, $L$7)</f>
        <v/>
      </c>
      <c r="P156" s="5">
        <f>NORMINV(RAND(), $L$6, $L$7)</f>
        <v/>
      </c>
      <c r="Q156" s="5">
        <f>NORMINV(RAND(), $L$6, $L$7)</f>
        <v/>
      </c>
    </row>
    <row r="157">
      <c r="A157" t="inlineStr">
        <is>
          <t>2026-04-16</t>
        </is>
      </c>
      <c r="B157" s="6" t="n">
        <v>420.26</v>
      </c>
      <c r="C157" s="5">
        <f>(B157-B156)/B156</f>
        <v/>
      </c>
      <c r="D157" s="5">
        <f>NORMINV(RAND(), $C$6, $C$7)</f>
        <v/>
      </c>
      <c r="E157" s="5">
        <f>NORMINV(RAND(), $C$6, $C$7)</f>
        <v/>
      </c>
      <c r="F157" s="5">
        <f>NORMINV(RAND(), $C$6, $C$7)</f>
        <v/>
      </c>
      <c r="G157" s="5">
        <f>NORMINV(RAND(), $C$6, $C$7)</f>
        <v/>
      </c>
      <c r="H157" s="5">
        <f>NORMINV(RAND(), $C$6, $C$7)</f>
        <v/>
      </c>
      <c r="J157" t="inlineStr">
        <is>
          <t>2026-04-16</t>
        </is>
      </c>
      <c r="K157" s="6" t="n">
        <v>249.7</v>
      </c>
      <c r="L157" s="5">
        <f>(K157-K156)/K156</f>
        <v/>
      </c>
      <c r="M157" s="5">
        <f>NORMINV(RAND(), $L$6, $L$7)</f>
        <v/>
      </c>
      <c r="N157" s="5">
        <f>NORMINV(RAND(), $L$6, $L$7)</f>
        <v/>
      </c>
      <c r="O157" s="5">
        <f>NORMINV(RAND(), $L$6, $L$7)</f>
        <v/>
      </c>
      <c r="P157" s="5">
        <f>NORMINV(RAND(), $L$6, $L$7)</f>
        <v/>
      </c>
      <c r="Q157" s="5">
        <f>NORMINV(RAND(), $L$6, $L$7)</f>
        <v/>
      </c>
    </row>
    <row r="158">
      <c r="A158" t="inlineStr">
        <is>
          <t>2026-04-17</t>
        </is>
      </c>
      <c r="B158" s="6" t="n">
        <v>422.79</v>
      </c>
      <c r="C158" s="5">
        <f>(B158-B157)/B157</f>
        <v/>
      </c>
      <c r="D158" s="5">
        <f>NORMINV(RAND(), $C$6, $C$7)</f>
        <v/>
      </c>
      <c r="E158" s="5">
        <f>NORMINV(RAND(), $C$6, $C$7)</f>
        <v/>
      </c>
      <c r="F158" s="5">
        <f>NORMINV(RAND(), $C$6, $C$7)</f>
        <v/>
      </c>
      <c r="G158" s="5">
        <f>NORMINV(RAND(), $C$6, $C$7)</f>
        <v/>
      </c>
      <c r="H158" s="5">
        <f>NORMINV(RAND(), $C$6, $C$7)</f>
        <v/>
      </c>
      <c r="J158" t="inlineStr">
        <is>
          <t>2026-04-17</t>
        </is>
      </c>
      <c r="K158" s="6" t="n">
        <v>250.56</v>
      </c>
      <c r="L158" s="5">
        <f>(K158-K157)/K157</f>
        <v/>
      </c>
      <c r="M158" s="5">
        <f>NORMINV(RAND(), $L$6, $L$7)</f>
        <v/>
      </c>
      <c r="N158" s="5">
        <f>NORMINV(RAND(), $L$6, $L$7)</f>
        <v/>
      </c>
      <c r="O158" s="5">
        <f>NORMINV(RAND(), $L$6, $L$7)</f>
        <v/>
      </c>
      <c r="P158" s="5">
        <f>NORMINV(RAND(), $L$6, $L$7)</f>
        <v/>
      </c>
      <c r="Q158" s="5">
        <f>NORMINV(RAND(), $L$6, $L$7)</f>
        <v/>
      </c>
    </row>
    <row r="159">
      <c r="A159" t="inlineStr">
        <is>
          <t>2026-04-20</t>
        </is>
      </c>
      <c r="B159" s="6" t="n">
        <v>418.07</v>
      </c>
      <c r="C159" s="5">
        <f>(B159-B158)/B158</f>
        <v/>
      </c>
      <c r="D159" s="5">
        <f>NORMINV(RAND(), $C$6, $C$7)</f>
        <v/>
      </c>
      <c r="E159" s="5">
        <f>NORMINV(RAND(), $C$6, $C$7)</f>
        <v/>
      </c>
      <c r="F159" s="5">
        <f>NORMINV(RAND(), $C$6, $C$7)</f>
        <v/>
      </c>
      <c r="G159" s="5">
        <f>NORMINV(RAND(), $C$6, $C$7)</f>
        <v/>
      </c>
      <c r="H159" s="5">
        <f>NORMINV(RAND(), $C$6, $C$7)</f>
        <v/>
      </c>
      <c r="J159" t="inlineStr">
        <is>
          <t>2026-04-20</t>
        </is>
      </c>
      <c r="K159" s="6" t="n">
        <v>248.28</v>
      </c>
      <c r="L159" s="5">
        <f>(K159-K158)/K158</f>
        <v/>
      </c>
      <c r="M159" s="5">
        <f>NORMINV(RAND(), $L$6, $L$7)</f>
        <v/>
      </c>
      <c r="N159" s="5">
        <f>NORMINV(RAND(), $L$6, $L$7)</f>
        <v/>
      </c>
      <c r="O159" s="5">
        <f>NORMINV(RAND(), $L$6, $L$7)</f>
        <v/>
      </c>
      <c r="P159" s="5">
        <f>NORMINV(RAND(), $L$6, $L$7)</f>
        <v/>
      </c>
      <c r="Q159" s="5">
        <f>NORMINV(RAND(), $L$6, $L$7)</f>
        <v/>
      </c>
    </row>
    <row r="160">
      <c r="A160" t="inlineStr">
        <is>
          <t>2026-04-21</t>
        </is>
      </c>
      <c r="B160" s="6" t="n">
        <v>424.16</v>
      </c>
      <c r="C160" s="5">
        <f>(B160-B159)/B159</f>
        <v/>
      </c>
      <c r="D160" s="5">
        <f>NORMINV(RAND(), $C$6, $C$7)</f>
        <v/>
      </c>
      <c r="E160" s="5">
        <f>NORMINV(RAND(), $C$6, $C$7)</f>
        <v/>
      </c>
      <c r="F160" s="5">
        <f>NORMINV(RAND(), $C$6, $C$7)</f>
        <v/>
      </c>
      <c r="G160" s="5">
        <f>NORMINV(RAND(), $C$6, $C$7)</f>
        <v/>
      </c>
      <c r="H160" s="5">
        <f>NORMINV(RAND(), $C$6, $C$7)</f>
        <v/>
      </c>
      <c r="J160" t="inlineStr">
        <is>
          <t>2026-04-21</t>
        </is>
      </c>
      <c r="K160" s="6" t="n">
        <v>249.91</v>
      </c>
      <c r="L160" s="5">
        <f>(K160-K159)/K159</f>
        <v/>
      </c>
      <c r="M160" s="5">
        <f>NORMINV(RAND(), $L$6, $L$7)</f>
        <v/>
      </c>
      <c r="N160" s="5">
        <f>NORMINV(RAND(), $L$6, $L$7)</f>
        <v/>
      </c>
      <c r="O160" s="5">
        <f>NORMINV(RAND(), $L$6, $L$7)</f>
        <v/>
      </c>
      <c r="P160" s="5">
        <f>NORMINV(RAND(), $L$6, $L$7)</f>
        <v/>
      </c>
      <c r="Q160" s="5">
        <f>NORMINV(RAND(), $L$6, $L$7)</f>
        <v/>
      </c>
    </row>
    <row r="161">
      <c r="A161" t="inlineStr">
        <is>
          <t>2026-04-22</t>
        </is>
      </c>
      <c r="B161" s="6" t="n">
        <v>432.92</v>
      </c>
      <c r="C161" s="5">
        <f>(B161-B160)/B160</f>
        <v/>
      </c>
      <c r="D161" s="5">
        <f>NORMINV(RAND(), $C$6, $C$7)</f>
        <v/>
      </c>
      <c r="E161" s="5">
        <f>NORMINV(RAND(), $C$6, $C$7)</f>
        <v/>
      </c>
      <c r="F161" s="5">
        <f>NORMINV(RAND(), $C$6, $C$7)</f>
        <v/>
      </c>
      <c r="G161" s="5">
        <f>NORMINV(RAND(), $C$6, $C$7)</f>
        <v/>
      </c>
      <c r="H161" s="5">
        <f>NORMINV(RAND(), $C$6, $C$7)</f>
        <v/>
      </c>
      <c r="J161" t="inlineStr">
        <is>
          <t>2026-04-22</t>
        </is>
      </c>
      <c r="K161" s="6" t="n">
        <v>255.36</v>
      </c>
      <c r="L161" s="5">
        <f>(K161-K160)/K160</f>
        <v/>
      </c>
      <c r="M161" s="5">
        <f>NORMINV(RAND(), $L$6, $L$7)</f>
        <v/>
      </c>
      <c r="N161" s="5">
        <f>NORMINV(RAND(), $L$6, $L$7)</f>
        <v/>
      </c>
      <c r="O161" s="5">
        <f>NORMINV(RAND(), $L$6, $L$7)</f>
        <v/>
      </c>
      <c r="P161" s="5">
        <f>NORMINV(RAND(), $L$6, $L$7)</f>
        <v/>
      </c>
      <c r="Q161" s="5">
        <f>NORMINV(RAND(), $L$6, $L$7)</f>
        <v/>
      </c>
    </row>
    <row r="162">
      <c r="A162" t="inlineStr">
        <is>
          <t>2026-04-23</t>
        </is>
      </c>
      <c r="B162" s="6" t="n">
        <v>415.75</v>
      </c>
      <c r="C162" s="5">
        <f>(B162-B161)/B161</f>
        <v/>
      </c>
      <c r="D162" s="5">
        <f>NORMINV(RAND(), $C$6, $C$7)</f>
        <v/>
      </c>
      <c r="E162" s="5">
        <f>NORMINV(RAND(), $C$6, $C$7)</f>
        <v/>
      </c>
      <c r="F162" s="5">
        <f>NORMINV(RAND(), $C$6, $C$7)</f>
        <v/>
      </c>
      <c r="G162" s="5">
        <f>NORMINV(RAND(), $C$6, $C$7)</f>
        <v/>
      </c>
      <c r="H162" s="5">
        <f>NORMINV(RAND(), $C$6, $C$7)</f>
        <v/>
      </c>
      <c r="J162" t="inlineStr">
        <is>
          <t>2026-04-23</t>
        </is>
      </c>
      <c r="K162" s="6" t="n">
        <v>255.08</v>
      </c>
      <c r="L162" s="5">
        <f>(K162-K161)/K161</f>
        <v/>
      </c>
      <c r="M162" s="5">
        <f>NORMINV(RAND(), $L$6, $L$7)</f>
        <v/>
      </c>
      <c r="N162" s="5">
        <f>NORMINV(RAND(), $L$6, $L$7)</f>
        <v/>
      </c>
      <c r="O162" s="5">
        <f>NORMINV(RAND(), $L$6, $L$7)</f>
        <v/>
      </c>
      <c r="P162" s="5">
        <f>NORMINV(RAND(), $L$6, $L$7)</f>
        <v/>
      </c>
      <c r="Q162" s="5">
        <f>NORMINV(RAND(), $L$6, $L$7)</f>
        <v/>
      </c>
    </row>
    <row r="163">
      <c r="A163" t="inlineStr">
        <is>
          <t>2026-04-24</t>
        </is>
      </c>
      <c r="B163" s="6" t="n">
        <v>424.62</v>
      </c>
      <c r="C163" s="5">
        <f>(B163-B162)/B162</f>
        <v/>
      </c>
      <c r="D163" s="5">
        <f>NORMINV(RAND(), $C$6, $C$7)</f>
        <v/>
      </c>
      <c r="E163" s="5">
        <f>NORMINV(RAND(), $C$6, $C$7)</f>
        <v/>
      </c>
      <c r="F163" s="5">
        <f>NORMINV(RAND(), $C$6, $C$7)</f>
        <v/>
      </c>
      <c r="G163" s="5">
        <f>NORMINV(RAND(), $C$6, $C$7)</f>
        <v/>
      </c>
      <c r="H163" s="5">
        <f>NORMINV(RAND(), $C$6, $C$7)</f>
        <v/>
      </c>
      <c r="J163" t="inlineStr">
        <is>
          <t>2026-04-24</t>
        </is>
      </c>
      <c r="K163" s="6" t="n">
        <v>263.99</v>
      </c>
      <c r="L163" s="5">
        <f>(K163-K162)/K162</f>
        <v/>
      </c>
      <c r="M163" s="5">
        <f>NORMINV(RAND(), $L$6, $L$7)</f>
        <v/>
      </c>
      <c r="N163" s="5">
        <f>NORMINV(RAND(), $L$6, $L$7)</f>
        <v/>
      </c>
      <c r="O163" s="5">
        <f>NORMINV(RAND(), $L$6, $L$7)</f>
        <v/>
      </c>
      <c r="P163" s="5">
        <f>NORMINV(RAND(), $L$6, $L$7)</f>
        <v/>
      </c>
      <c r="Q163" s="5">
        <f>NORMINV(RAND(), $L$6, $L$7)</f>
        <v/>
      </c>
    </row>
    <row r="164">
      <c r="A164" t="inlineStr">
        <is>
          <t>2026-04-27</t>
        </is>
      </c>
      <c r="B164" s="6" t="n">
        <v>424.82</v>
      </c>
      <c r="C164" s="5">
        <f>(B164-B163)/B163</f>
        <v/>
      </c>
      <c r="D164" s="5">
        <f>NORMINV(RAND(), $C$6, $C$7)</f>
        <v/>
      </c>
      <c r="E164" s="5">
        <f>NORMINV(RAND(), $C$6, $C$7)</f>
        <v/>
      </c>
      <c r="F164" s="5">
        <f>NORMINV(RAND(), $C$6, $C$7)</f>
        <v/>
      </c>
      <c r="G164" s="5">
        <f>NORMINV(RAND(), $C$6, $C$7)</f>
        <v/>
      </c>
      <c r="H164" s="5">
        <f>NORMINV(RAND(), $C$6, $C$7)</f>
        <v/>
      </c>
      <c r="J164" t="inlineStr">
        <is>
          <t>2026-04-27</t>
        </is>
      </c>
      <c r="K164" s="6" t="n">
        <v>261.12</v>
      </c>
      <c r="L164" s="5">
        <f>(K164-K163)/K163</f>
        <v/>
      </c>
      <c r="M164" s="5">
        <f>NORMINV(RAND(), $L$6, $L$7)</f>
        <v/>
      </c>
      <c r="N164" s="5">
        <f>NORMINV(RAND(), $L$6, $L$7)</f>
        <v/>
      </c>
      <c r="O164" s="5">
        <f>NORMINV(RAND(), $L$6, $L$7)</f>
        <v/>
      </c>
      <c r="P164" s="5">
        <f>NORMINV(RAND(), $L$6, $L$7)</f>
        <v/>
      </c>
      <c r="Q164" s="5">
        <f>NORMINV(RAND(), $L$6, $L$7)</f>
        <v/>
      </c>
    </row>
    <row r="165">
      <c r="A165" t="inlineStr">
        <is>
          <t>2026-04-28</t>
        </is>
      </c>
      <c r="B165" s="6" t="n">
        <v>429.25</v>
      </c>
      <c r="C165" s="5">
        <f>(B165-B164)/B164</f>
        <v/>
      </c>
      <c r="D165" s="5">
        <f>NORMINV(RAND(), $C$6, $C$7)</f>
        <v/>
      </c>
      <c r="E165" s="5">
        <f>NORMINV(RAND(), $C$6, $C$7)</f>
        <v/>
      </c>
      <c r="F165" s="5">
        <f>NORMINV(RAND(), $C$6, $C$7)</f>
        <v/>
      </c>
      <c r="G165" s="5">
        <f>NORMINV(RAND(), $C$6, $C$7)</f>
        <v/>
      </c>
      <c r="H165" s="5">
        <f>NORMINV(RAND(), $C$6, $C$7)</f>
        <v/>
      </c>
      <c r="J165" t="inlineStr">
        <is>
          <t>2026-04-28</t>
        </is>
      </c>
      <c r="K165" s="6" t="n">
        <v>259.7</v>
      </c>
      <c r="L165" s="5">
        <f>(K165-K164)/K164</f>
        <v/>
      </c>
      <c r="M165" s="5">
        <f>NORMINV(RAND(), $L$6, $L$7)</f>
        <v/>
      </c>
      <c r="N165" s="5">
        <f>NORMINV(RAND(), $L$6, $L$7)</f>
        <v/>
      </c>
      <c r="O165" s="5">
        <f>NORMINV(RAND(), $L$6, $L$7)</f>
        <v/>
      </c>
      <c r="P165" s="5">
        <f>NORMINV(RAND(), $L$6, $L$7)</f>
        <v/>
      </c>
      <c r="Q165" s="5">
        <f>NORMINV(RAND(), $L$6, $L$7)</f>
        <v/>
      </c>
    </row>
    <row r="166">
      <c r="A166" t="inlineStr">
        <is>
          <t>2026-04-29</t>
        </is>
      </c>
      <c r="B166" s="6" t="n">
        <v>424.46</v>
      </c>
      <c r="C166" s="5">
        <f>(B166-B165)/B165</f>
        <v/>
      </c>
      <c r="D166" s="5">
        <f>NORMINV(RAND(), $C$6, $C$7)</f>
        <v/>
      </c>
      <c r="E166" s="5">
        <f>NORMINV(RAND(), $C$6, $C$7)</f>
        <v/>
      </c>
      <c r="F166" s="5">
        <f>NORMINV(RAND(), $C$6, $C$7)</f>
        <v/>
      </c>
      <c r="G166" s="5">
        <f>NORMINV(RAND(), $C$6, $C$7)</f>
        <v/>
      </c>
      <c r="H166" s="5">
        <f>NORMINV(RAND(), $C$6, $C$7)</f>
        <v/>
      </c>
      <c r="J166" t="inlineStr">
        <is>
          <t>2026-04-29</t>
        </is>
      </c>
      <c r="K166" s="6" t="n">
        <v>263.04</v>
      </c>
      <c r="L166" s="5">
        <f>(K166-K165)/K165</f>
        <v/>
      </c>
      <c r="M166" s="5">
        <f>NORMINV(RAND(), $L$6, $L$7)</f>
        <v/>
      </c>
      <c r="N166" s="5">
        <f>NORMINV(RAND(), $L$6, $L$7)</f>
        <v/>
      </c>
      <c r="O166" s="5">
        <f>NORMINV(RAND(), $L$6, $L$7)</f>
        <v/>
      </c>
      <c r="P166" s="5">
        <f>NORMINV(RAND(), $L$6, $L$7)</f>
        <v/>
      </c>
      <c r="Q166" s="5">
        <f>NORMINV(RAND(), $L$6, $L$7)</f>
        <v/>
      </c>
    </row>
    <row r="167">
      <c r="A167" t="inlineStr">
        <is>
          <t>2026-04-30</t>
        </is>
      </c>
      <c r="B167" s="6" t="n">
        <v>407.78</v>
      </c>
      <c r="C167" s="5">
        <f>(B167-B166)/B166</f>
        <v/>
      </c>
      <c r="D167" s="5">
        <f>NORMINV(RAND(), $C$6, $C$7)</f>
        <v/>
      </c>
      <c r="E167" s="5">
        <f>NORMINV(RAND(), $C$6, $C$7)</f>
        <v/>
      </c>
      <c r="F167" s="5">
        <f>NORMINV(RAND(), $C$6, $C$7)</f>
        <v/>
      </c>
      <c r="G167" s="5">
        <f>NORMINV(RAND(), $C$6, $C$7)</f>
        <v/>
      </c>
      <c r="H167" s="5">
        <f>NORMINV(RAND(), $C$6, $C$7)</f>
        <v/>
      </c>
      <c r="J167" t="inlineStr">
        <is>
          <t>2026-04-30</t>
        </is>
      </c>
      <c r="K167" s="6" t="n">
        <v>265.06</v>
      </c>
      <c r="L167" s="5">
        <f>(K167-K166)/K166</f>
        <v/>
      </c>
      <c r="M167" s="5">
        <f>NORMINV(RAND(), $L$6, $L$7)</f>
        <v/>
      </c>
      <c r="N167" s="5">
        <f>NORMINV(RAND(), $L$6, $L$7)</f>
        <v/>
      </c>
      <c r="O167" s="5">
        <f>NORMINV(RAND(), $L$6, $L$7)</f>
        <v/>
      </c>
      <c r="P167" s="5">
        <f>NORMINV(RAND(), $L$6, $L$7)</f>
        <v/>
      </c>
      <c r="Q167" s="5">
        <f>NORMINV(RAND(), $L$6, $L$7)</f>
        <v/>
      </c>
    </row>
    <row r="168">
      <c r="A168" t="inlineStr">
        <is>
          <t>2026-05-01</t>
        </is>
      </c>
      <c r="B168" s="6" t="n">
        <v>414.44</v>
      </c>
      <c r="C168" s="5">
        <f>(B168-B167)/B167</f>
        <v/>
      </c>
      <c r="D168" s="5">
        <f>NORMINV(RAND(), $C$6, $C$7)</f>
        <v/>
      </c>
      <c r="E168" s="5">
        <f>NORMINV(RAND(), $C$6, $C$7)</f>
        <v/>
      </c>
      <c r="F168" s="5">
        <f>NORMINV(RAND(), $C$6, $C$7)</f>
        <v/>
      </c>
      <c r="G168" s="5">
        <f>NORMINV(RAND(), $C$6, $C$7)</f>
        <v/>
      </c>
      <c r="H168" s="5">
        <f>NORMINV(RAND(), $C$6, $C$7)</f>
        <v/>
      </c>
      <c r="J168" t="inlineStr">
        <is>
          <t>2026-05-01</t>
        </is>
      </c>
      <c r="K168" s="6" t="n">
        <v>268.26</v>
      </c>
      <c r="L168" s="5">
        <f>(K168-K167)/K167</f>
        <v/>
      </c>
      <c r="M168" s="5">
        <f>NORMINV(RAND(), $L$6, $L$7)</f>
        <v/>
      </c>
      <c r="N168" s="5">
        <f>NORMINV(RAND(), $L$6, $L$7)</f>
        <v/>
      </c>
      <c r="O168" s="5">
        <f>NORMINV(RAND(), $L$6, $L$7)</f>
        <v/>
      </c>
      <c r="P168" s="5">
        <f>NORMINV(RAND(), $L$6, $L$7)</f>
        <v/>
      </c>
      <c r="Q168" s="5">
        <f>NORMINV(RAND(), $L$6, $L$7)</f>
        <v/>
      </c>
    </row>
    <row r="169">
      <c r="A169" t="inlineStr">
        <is>
          <t>2026-05-04</t>
        </is>
      </c>
      <c r="B169" s="6" t="n">
        <v>413.62</v>
      </c>
      <c r="C169" s="5">
        <f>(B169-B168)/B168</f>
        <v/>
      </c>
      <c r="D169" s="5">
        <f>NORMINV(RAND(), $C$6, $C$7)</f>
        <v/>
      </c>
      <c r="E169" s="5">
        <f>NORMINV(RAND(), $C$6, $C$7)</f>
        <v/>
      </c>
      <c r="F169" s="5">
        <f>NORMINV(RAND(), $C$6, $C$7)</f>
        <v/>
      </c>
      <c r="G169" s="5">
        <f>NORMINV(RAND(), $C$6, $C$7)</f>
        <v/>
      </c>
      <c r="H169" s="5">
        <f>NORMINV(RAND(), $C$6, $C$7)</f>
        <v/>
      </c>
      <c r="J169" t="inlineStr">
        <is>
          <t>2026-05-04</t>
        </is>
      </c>
      <c r="K169" s="6" t="n">
        <v>272.05</v>
      </c>
      <c r="L169" s="5">
        <f>(K169-K168)/K168</f>
        <v/>
      </c>
      <c r="M169" s="5">
        <f>NORMINV(RAND(), $L$6, $L$7)</f>
        <v/>
      </c>
      <c r="N169" s="5">
        <f>NORMINV(RAND(), $L$6, $L$7)</f>
        <v/>
      </c>
      <c r="O169" s="5">
        <f>NORMINV(RAND(), $L$6, $L$7)</f>
        <v/>
      </c>
      <c r="P169" s="5">
        <f>NORMINV(RAND(), $L$6, $L$7)</f>
        <v/>
      </c>
      <c r="Q169" s="5">
        <f>NORMINV(RAND(), $L$6, $L$7)</f>
        <v/>
      </c>
    </row>
    <row r="170">
      <c r="A170" t="inlineStr">
        <is>
          <t>2026-05-05</t>
        </is>
      </c>
      <c r="B170" s="6" t="n">
        <v>411.38</v>
      </c>
      <c r="C170" s="5">
        <f>(B170-B169)/B169</f>
        <v/>
      </c>
      <c r="D170" s="5">
        <f>NORMINV(RAND(), $C$6, $C$7)</f>
        <v/>
      </c>
      <c r="E170" s="5">
        <f>NORMINV(RAND(), $C$6, $C$7)</f>
        <v/>
      </c>
      <c r="F170" s="5">
        <f>NORMINV(RAND(), $C$6, $C$7)</f>
        <v/>
      </c>
      <c r="G170" s="5">
        <f>NORMINV(RAND(), $C$6, $C$7)</f>
        <v/>
      </c>
      <c r="H170" s="5">
        <f>NORMINV(RAND(), $C$6, $C$7)</f>
        <v/>
      </c>
      <c r="J170" t="inlineStr">
        <is>
          <t>2026-05-05</t>
        </is>
      </c>
      <c r="K170" s="6" t="n">
        <v>273.55</v>
      </c>
      <c r="L170" s="5">
        <f>(K170-K169)/K169</f>
        <v/>
      </c>
      <c r="M170" s="5">
        <f>NORMINV(RAND(), $L$6, $L$7)</f>
        <v/>
      </c>
      <c r="N170" s="5">
        <f>NORMINV(RAND(), $L$6, $L$7)</f>
        <v/>
      </c>
      <c r="O170" s="5">
        <f>NORMINV(RAND(), $L$6, $L$7)</f>
        <v/>
      </c>
      <c r="P170" s="5">
        <f>NORMINV(RAND(), $L$6, $L$7)</f>
        <v/>
      </c>
      <c r="Q170" s="5">
        <f>NORMINV(RAND(), $L$6, $L$7)</f>
        <v/>
      </c>
    </row>
    <row r="171">
      <c r="A171" t="inlineStr">
        <is>
          <t>2026-05-06</t>
        </is>
      </c>
      <c r="B171" s="6" t="n">
        <v>413.96</v>
      </c>
      <c r="C171" s="5">
        <f>(B171-B170)/B170</f>
        <v/>
      </c>
      <c r="D171" s="5">
        <f>NORMINV(RAND(), $C$6, $C$7)</f>
        <v/>
      </c>
      <c r="E171" s="5">
        <f>NORMINV(RAND(), $C$6, $C$7)</f>
        <v/>
      </c>
      <c r="F171" s="5">
        <f>NORMINV(RAND(), $C$6, $C$7)</f>
        <v/>
      </c>
      <c r="G171" s="5">
        <f>NORMINV(RAND(), $C$6, $C$7)</f>
        <v/>
      </c>
      <c r="H171" s="5">
        <f>NORMINV(RAND(), $C$6, $C$7)</f>
        <v/>
      </c>
      <c r="J171" t="inlineStr">
        <is>
          <t>2026-05-06</t>
        </is>
      </c>
      <c r="K171" s="6" t="n">
        <v>274.99</v>
      </c>
      <c r="L171" s="5">
        <f>(K171-K170)/K170</f>
        <v/>
      </c>
      <c r="M171" s="5">
        <f>NORMINV(RAND(), $L$6, $L$7)</f>
        <v/>
      </c>
      <c r="N171" s="5">
        <f>NORMINV(RAND(), $L$6, $L$7)</f>
        <v/>
      </c>
      <c r="O171" s="5">
        <f>NORMINV(RAND(), $L$6, $L$7)</f>
        <v/>
      </c>
      <c r="P171" s="5">
        <f>NORMINV(RAND(), $L$6, $L$7)</f>
        <v/>
      </c>
      <c r="Q171" s="5">
        <f>NORMINV(RAND(), $L$6, $L$7)</f>
        <v/>
      </c>
    </row>
    <row r="172">
      <c r="A172" t="inlineStr">
        <is>
          <t>2026-05-07</t>
        </is>
      </c>
      <c r="B172" s="6" t="n">
        <v>420.77</v>
      </c>
      <c r="C172" s="5">
        <f>(B172-B171)/B171</f>
        <v/>
      </c>
      <c r="D172" s="5">
        <f>NORMINV(RAND(), $C$6, $C$7)</f>
        <v/>
      </c>
      <c r="E172" s="5">
        <f>NORMINV(RAND(), $C$6, $C$7)</f>
        <v/>
      </c>
      <c r="F172" s="5">
        <f>NORMINV(RAND(), $C$6, $C$7)</f>
        <v/>
      </c>
      <c r="G172" s="5">
        <f>NORMINV(RAND(), $C$6, $C$7)</f>
        <v/>
      </c>
      <c r="H172" s="5">
        <f>NORMINV(RAND(), $C$6, $C$7)</f>
        <v/>
      </c>
      <c r="J172" t="inlineStr">
        <is>
          <t>2026-05-07</t>
        </is>
      </c>
      <c r="K172" s="6" t="n">
        <v>271.17</v>
      </c>
      <c r="L172" s="5">
        <f>(K172-K171)/K171</f>
        <v/>
      </c>
      <c r="M172" s="5">
        <f>NORMINV(RAND(), $L$6, $L$7)</f>
        <v/>
      </c>
      <c r="N172" s="5">
        <f>NORMINV(RAND(), $L$6, $L$7)</f>
        <v/>
      </c>
      <c r="O172" s="5">
        <f>NORMINV(RAND(), $L$6, $L$7)</f>
        <v/>
      </c>
      <c r="P172" s="5">
        <f>NORMINV(RAND(), $L$6, $L$7)</f>
        <v/>
      </c>
      <c r="Q172" s="5">
        <f>NORMINV(RAND(), $L$6, $L$7)</f>
        <v/>
      </c>
    </row>
    <row r="173">
      <c r="A173" t="inlineStr">
        <is>
          <t>2026-05-08</t>
        </is>
      </c>
      <c r="B173" s="6" t="n">
        <v>415.12</v>
      </c>
      <c r="C173" s="5">
        <f>(B173-B172)/B172</f>
        <v/>
      </c>
      <c r="D173" s="5">
        <f>NORMINV(RAND(), $C$6, $C$7)</f>
        <v/>
      </c>
      <c r="E173" s="5">
        <f>NORMINV(RAND(), $C$6, $C$7)</f>
        <v/>
      </c>
      <c r="F173" s="5">
        <f>NORMINV(RAND(), $C$6, $C$7)</f>
        <v/>
      </c>
      <c r="G173" s="5">
        <f>NORMINV(RAND(), $C$6, $C$7)</f>
        <v/>
      </c>
      <c r="H173" s="5">
        <f>NORMINV(RAND(), $C$6, $C$7)</f>
        <v/>
      </c>
      <c r="J173" t="inlineStr">
        <is>
          <t>2026-05-08</t>
        </is>
      </c>
      <c r="K173" s="6" t="n">
        <v>272.68</v>
      </c>
      <c r="L173" s="5">
        <f>(K173-K172)/K172</f>
        <v/>
      </c>
      <c r="M173" s="5">
        <f>NORMINV(RAND(), $L$6, $L$7)</f>
        <v/>
      </c>
      <c r="N173" s="5">
        <f>NORMINV(RAND(), $L$6, $L$7)</f>
        <v/>
      </c>
      <c r="O173" s="5">
        <f>NORMINV(RAND(), $L$6, $L$7)</f>
        <v/>
      </c>
      <c r="P173" s="5">
        <f>NORMINV(RAND(), $L$6, $L$7)</f>
        <v/>
      </c>
      <c r="Q173" s="5">
        <f>NORMINV(RAND(), $L$6, $L$7)</f>
        <v/>
      </c>
    </row>
    <row r="174">
      <c r="A174" t="inlineStr">
        <is>
          <t>2026-05-11</t>
        </is>
      </c>
      <c r="B174" s="6" t="n">
        <v>412.66</v>
      </c>
      <c r="C174" s="5">
        <f>(B174-B173)/B173</f>
        <v/>
      </c>
      <c r="D174" s="5">
        <f>NORMINV(RAND(), $C$6, $C$7)</f>
        <v/>
      </c>
      <c r="E174" s="5">
        <f>NORMINV(RAND(), $C$6, $C$7)</f>
        <v/>
      </c>
      <c r="F174" s="5">
        <f>NORMINV(RAND(), $C$6, $C$7)</f>
        <v/>
      </c>
      <c r="G174" s="5">
        <f>NORMINV(RAND(), $C$6, $C$7)</f>
        <v/>
      </c>
      <c r="H174" s="5">
        <f>NORMINV(RAND(), $C$6, $C$7)</f>
        <v/>
      </c>
      <c r="J174" t="inlineStr">
        <is>
          <t>2026-05-11</t>
        </is>
      </c>
      <c r="K174" s="6" t="n">
        <v>268.99</v>
      </c>
      <c r="L174" s="5">
        <f>(K174-K173)/K173</f>
        <v/>
      </c>
      <c r="M174" s="5">
        <f>NORMINV(RAND(), $L$6, $L$7)</f>
        <v/>
      </c>
      <c r="N174" s="5">
        <f>NORMINV(RAND(), $L$6, $L$7)</f>
        <v/>
      </c>
      <c r="O174" s="5">
        <f>NORMINV(RAND(), $L$6, $L$7)</f>
        <v/>
      </c>
      <c r="P174" s="5">
        <f>NORMINV(RAND(), $L$6, $L$7)</f>
        <v/>
      </c>
      <c r="Q174" s="5">
        <f>NORMINV(RAND(), $L$6, $L$7)</f>
        <v/>
      </c>
    </row>
    <row r="175">
      <c r="A175" t="inlineStr">
        <is>
          <t>2026-05-12</t>
        </is>
      </c>
      <c r="B175" s="6" t="n">
        <v>407.77</v>
      </c>
      <c r="C175" s="5">
        <f>(B175-B174)/B174</f>
        <v/>
      </c>
      <c r="D175" s="5">
        <f>NORMINV(RAND(), $C$6, $C$7)</f>
        <v/>
      </c>
      <c r="E175" s="5">
        <f>NORMINV(RAND(), $C$6, $C$7)</f>
        <v/>
      </c>
      <c r="F175" s="5">
        <f>NORMINV(RAND(), $C$6, $C$7)</f>
        <v/>
      </c>
      <c r="G175" s="5">
        <f>NORMINV(RAND(), $C$6, $C$7)</f>
        <v/>
      </c>
      <c r="H175" s="5">
        <f>NORMINV(RAND(), $C$6, $C$7)</f>
        <v/>
      </c>
      <c r="J175" t="inlineStr">
        <is>
          <t>2026-05-12</t>
        </is>
      </c>
      <c r="K175" s="6" t="n">
        <v>265.82</v>
      </c>
      <c r="L175" s="5">
        <f>(K175-K174)/K174</f>
        <v/>
      </c>
      <c r="M175" s="5">
        <f>NORMINV(RAND(), $L$6, $L$7)</f>
        <v/>
      </c>
      <c r="N175" s="5">
        <f>NORMINV(RAND(), $L$6, $L$7)</f>
        <v/>
      </c>
      <c r="O175" s="5">
        <f>NORMINV(RAND(), $L$6, $L$7)</f>
        <v/>
      </c>
      <c r="P175" s="5">
        <f>NORMINV(RAND(), $L$6, $L$7)</f>
        <v/>
      </c>
      <c r="Q175" s="5">
        <f>NORMINV(RAND(), $L$6, $L$7)</f>
        <v/>
      </c>
    </row>
    <row r="176">
      <c r="A176" t="inlineStr">
        <is>
          <t>2026-05-13</t>
        </is>
      </c>
      <c r="B176" s="6" t="n">
        <v>405.21</v>
      </c>
      <c r="C176" s="5">
        <f>(B176-B175)/B175</f>
        <v/>
      </c>
      <c r="D176" s="5">
        <f>NORMINV(RAND(), $C$6, $C$7)</f>
        <v/>
      </c>
      <c r="E176" s="5">
        <f>NORMINV(RAND(), $C$6, $C$7)</f>
        <v/>
      </c>
      <c r="F176" s="5">
        <f>NORMINV(RAND(), $C$6, $C$7)</f>
        <v/>
      </c>
      <c r="G176" s="5">
        <f>NORMINV(RAND(), $C$6, $C$7)</f>
        <v/>
      </c>
      <c r="H176" s="5">
        <f>NORMINV(RAND(), $C$6, $C$7)</f>
        <v/>
      </c>
      <c r="J176" t="inlineStr">
        <is>
          <t>2026-05-13</t>
        </is>
      </c>
      <c r="K176" s="6" t="n">
        <v>270.13</v>
      </c>
      <c r="L176" s="5">
        <f>(K176-K175)/K175</f>
        <v/>
      </c>
      <c r="M176" s="5">
        <f>NORMINV(RAND(), $L$6, $L$7)</f>
        <v/>
      </c>
      <c r="N176" s="5">
        <f>NORMINV(RAND(), $L$6, $L$7)</f>
        <v/>
      </c>
      <c r="O176" s="5">
        <f>NORMINV(RAND(), $L$6, $L$7)</f>
        <v/>
      </c>
      <c r="P176" s="5">
        <f>NORMINV(RAND(), $L$6, $L$7)</f>
        <v/>
      </c>
      <c r="Q176" s="5">
        <f>NORMINV(RAND(), $L$6, $L$7)</f>
        <v/>
      </c>
    </row>
    <row r="177">
      <c r="A177" t="inlineStr">
        <is>
          <t>2026-05-14</t>
        </is>
      </c>
      <c r="B177" s="6" t="n">
        <v>409.43</v>
      </c>
      <c r="C177" s="5">
        <f>(B177-B176)/B176</f>
        <v/>
      </c>
      <c r="D177" s="5">
        <f>NORMINV(RAND(), $C$6, $C$7)</f>
        <v/>
      </c>
      <c r="E177" s="5">
        <f>NORMINV(RAND(), $C$6, $C$7)</f>
        <v/>
      </c>
      <c r="F177" s="5">
        <f>NORMINV(RAND(), $C$6, $C$7)</f>
        <v/>
      </c>
      <c r="G177" s="5">
        <f>NORMINV(RAND(), $C$6, $C$7)</f>
        <v/>
      </c>
      <c r="H177" s="5">
        <f>NORMINV(RAND(), $C$6, $C$7)</f>
        <v/>
      </c>
      <c r="J177" t="inlineStr">
        <is>
          <t>2026-05-14</t>
        </is>
      </c>
      <c r="K177" s="6" t="n">
        <v>267.22</v>
      </c>
      <c r="L177" s="5">
        <f>(K177-K176)/K176</f>
        <v/>
      </c>
      <c r="M177" s="5">
        <f>NORMINV(RAND(), $L$6, $L$7)</f>
        <v/>
      </c>
      <c r="N177" s="5">
        <f>NORMINV(RAND(), $L$6, $L$7)</f>
        <v/>
      </c>
      <c r="O177" s="5">
        <f>NORMINV(RAND(), $L$6, $L$7)</f>
        <v/>
      </c>
      <c r="P177" s="5">
        <f>NORMINV(RAND(), $L$6, $L$7)</f>
        <v/>
      </c>
      <c r="Q177" s="5">
        <f>NORMINV(RAND(), $L$6, $L$7)</f>
        <v/>
      </c>
    </row>
    <row r="178">
      <c r="A178" t="inlineStr">
        <is>
          <t>2026-05-15</t>
        </is>
      </c>
      <c r="B178" s="6" t="n">
        <v>421.92</v>
      </c>
      <c r="C178" s="5">
        <f>(B178-B177)/B177</f>
        <v/>
      </c>
      <c r="D178" s="5">
        <f>NORMINV(RAND(), $C$6, $C$7)</f>
        <v/>
      </c>
      <c r="E178" s="5">
        <f>NORMINV(RAND(), $C$6, $C$7)</f>
        <v/>
      </c>
      <c r="F178" s="5">
        <f>NORMINV(RAND(), $C$6, $C$7)</f>
        <v/>
      </c>
      <c r="G178" s="5">
        <f>NORMINV(RAND(), $C$6, $C$7)</f>
        <v/>
      </c>
      <c r="H178" s="5">
        <f>NORMINV(RAND(), $C$6, $C$7)</f>
        <v/>
      </c>
      <c r="J178" t="inlineStr">
        <is>
          <t>2026-05-15</t>
        </is>
      </c>
      <c r="K178" s="6" t="n">
        <v>264.14</v>
      </c>
      <c r="L178" s="5">
        <f>(K178-K177)/K177</f>
        <v/>
      </c>
      <c r="M178" s="5">
        <f>NORMINV(RAND(), $L$6, $L$7)</f>
        <v/>
      </c>
      <c r="N178" s="5">
        <f>NORMINV(RAND(), $L$6, $L$7)</f>
        <v/>
      </c>
      <c r="O178" s="5">
        <f>NORMINV(RAND(), $L$6, $L$7)</f>
        <v/>
      </c>
      <c r="P178" s="5">
        <f>NORMINV(RAND(), $L$6, $L$7)</f>
        <v/>
      </c>
      <c r="Q178" s="5">
        <f>NORMINV(RAND(), $L$6, $L$7)</f>
        <v/>
      </c>
    </row>
    <row r="179">
      <c r="A179" t="inlineStr">
        <is>
          <t>2026-05-18</t>
        </is>
      </c>
      <c r="B179" s="6" t="n">
        <v>423.54</v>
      </c>
      <c r="C179" s="5">
        <f>(B179-B178)/B178</f>
        <v/>
      </c>
      <c r="D179" s="5">
        <f>NORMINV(RAND(), $C$6, $C$7)</f>
        <v/>
      </c>
      <c r="E179" s="5">
        <f>NORMINV(RAND(), $C$6, $C$7)</f>
        <v/>
      </c>
      <c r="F179" s="5">
        <f>NORMINV(RAND(), $C$6, $C$7)</f>
        <v/>
      </c>
      <c r="G179" s="5">
        <f>NORMINV(RAND(), $C$6, $C$7)</f>
        <v/>
      </c>
      <c r="H179" s="5">
        <f>NORMINV(RAND(), $C$6, $C$7)</f>
        <v/>
      </c>
      <c r="J179" t="inlineStr">
        <is>
          <t>2026-05-18</t>
        </is>
      </c>
      <c r="K179" s="6" t="n">
        <v>264.86</v>
      </c>
      <c r="L179" s="5">
        <f>(K179-K178)/K178</f>
        <v/>
      </c>
      <c r="M179" s="5">
        <f>NORMINV(RAND(), $L$6, $L$7)</f>
        <v/>
      </c>
      <c r="N179" s="5">
        <f>NORMINV(RAND(), $L$6, $L$7)</f>
        <v/>
      </c>
      <c r="O179" s="5">
        <f>NORMINV(RAND(), $L$6, $L$7)</f>
        <v/>
      </c>
      <c r="P179" s="5">
        <f>NORMINV(RAND(), $L$6, $L$7)</f>
        <v/>
      </c>
      <c r="Q179" s="5">
        <f>NORMINV(RAND(), $L$6, $L$7)</f>
        <v/>
      </c>
    </row>
    <row r="180">
      <c r="A180" t="inlineStr">
        <is>
          <t>2026-05-19</t>
        </is>
      </c>
      <c r="B180" s="6" t="n">
        <v>417.42</v>
      </c>
      <c r="C180" s="5">
        <f>(B180-B179)/B179</f>
        <v/>
      </c>
      <c r="D180" s="5">
        <f>NORMINV(RAND(), $C$6, $C$7)</f>
        <v/>
      </c>
      <c r="E180" s="5">
        <f>NORMINV(RAND(), $C$6, $C$7)</f>
        <v/>
      </c>
      <c r="F180" s="5">
        <f>NORMINV(RAND(), $C$6, $C$7)</f>
        <v/>
      </c>
      <c r="G180" s="5">
        <f>NORMINV(RAND(), $C$6, $C$7)</f>
        <v/>
      </c>
      <c r="H180" s="5">
        <f>NORMINV(RAND(), $C$6, $C$7)</f>
        <v/>
      </c>
      <c r="J180" t="inlineStr">
        <is>
          <t>2026-05-19</t>
        </is>
      </c>
      <c r="K180" s="6" t="n">
        <v>259.34</v>
      </c>
      <c r="L180" s="5">
        <f>(K180-K179)/K179</f>
        <v/>
      </c>
      <c r="M180" s="5">
        <f>NORMINV(RAND(), $L$6, $L$7)</f>
        <v/>
      </c>
      <c r="N180" s="5">
        <f>NORMINV(RAND(), $L$6, $L$7)</f>
        <v/>
      </c>
      <c r="O180" s="5">
        <f>NORMINV(RAND(), $L$6, $L$7)</f>
        <v/>
      </c>
      <c r="P180" s="5">
        <f>NORMINV(RAND(), $L$6, $L$7)</f>
        <v/>
      </c>
      <c r="Q180" s="5">
        <f>NORMINV(RAND(), $L$6, $L$7)</f>
        <v/>
      </c>
    </row>
    <row r="181">
      <c r="A181" t="inlineStr">
        <is>
          <t>2026-05-20</t>
        </is>
      </c>
      <c r="B181" s="6" t="n">
        <v>421.06</v>
      </c>
      <c r="C181" s="5">
        <f>(B181-B180)/B180</f>
        <v/>
      </c>
      <c r="D181" s="5">
        <f>NORMINV(RAND(), $C$6, $C$7)</f>
        <v/>
      </c>
      <c r="E181" s="5">
        <f>NORMINV(RAND(), $C$6, $C$7)</f>
        <v/>
      </c>
      <c r="F181" s="5">
        <f>NORMINV(RAND(), $C$6, $C$7)</f>
        <v/>
      </c>
      <c r="G181" s="5">
        <f>NORMINV(RAND(), $C$6, $C$7)</f>
        <v/>
      </c>
      <c r="H181" s="5">
        <f>NORMINV(RAND(), $C$6, $C$7)</f>
        <v/>
      </c>
      <c r="J181" t="inlineStr">
        <is>
          <t>2026-05-20</t>
        </is>
      </c>
      <c r="K181" s="6" t="n">
        <v>265.01</v>
      </c>
      <c r="L181" s="5">
        <f>(K181-K180)/K180</f>
        <v/>
      </c>
      <c r="M181" s="5">
        <f>NORMINV(RAND(), $L$6, $L$7)</f>
        <v/>
      </c>
      <c r="N181" s="5">
        <f>NORMINV(RAND(), $L$6, $L$7)</f>
        <v/>
      </c>
      <c r="O181" s="5">
        <f>NORMINV(RAND(), $L$6, $L$7)</f>
        <v/>
      </c>
      <c r="P181" s="5">
        <f>NORMINV(RAND(), $L$6, $L$7)</f>
        <v/>
      </c>
      <c r="Q181" s="5">
        <f>NORMINV(RAND(), $L$6, $L$7)</f>
        <v/>
      </c>
    </row>
    <row r="182">
      <c r="A182" t="inlineStr">
        <is>
          <t>2026-05-21</t>
        </is>
      </c>
      <c r="B182" s="6" t="n">
        <v>419.09</v>
      </c>
      <c r="C182" s="5">
        <f>(B182-B181)/B181</f>
        <v/>
      </c>
      <c r="D182" s="5">
        <f>NORMINV(RAND(), $C$6, $C$7)</f>
        <v/>
      </c>
      <c r="E182" s="5">
        <f>NORMINV(RAND(), $C$6, $C$7)</f>
        <v/>
      </c>
      <c r="F182" s="5">
        <f>NORMINV(RAND(), $C$6, $C$7)</f>
        <v/>
      </c>
      <c r="G182" s="5">
        <f>NORMINV(RAND(), $C$6, $C$7)</f>
        <v/>
      </c>
      <c r="H182" s="5">
        <f>NORMINV(RAND(), $C$6, $C$7)</f>
        <v/>
      </c>
      <c r="J182" t="inlineStr">
        <is>
          <t>2026-05-21</t>
        </is>
      </c>
      <c r="K182" s="6" t="n">
        <v>268.46</v>
      </c>
      <c r="L182" s="5">
        <f>(K182-K181)/K181</f>
        <v/>
      </c>
      <c r="M182" s="5">
        <f>NORMINV(RAND(), $L$6, $L$7)</f>
        <v/>
      </c>
      <c r="N182" s="5">
        <f>NORMINV(RAND(), $L$6, $L$7)</f>
        <v/>
      </c>
      <c r="O182" s="5">
        <f>NORMINV(RAND(), $L$6, $L$7)</f>
        <v/>
      </c>
      <c r="P182" s="5">
        <f>NORMINV(RAND(), $L$6, $L$7)</f>
        <v/>
      </c>
      <c r="Q182" s="5">
        <f>NORMINV(RAND(), $L$6, $L$7)</f>
        <v/>
      </c>
    </row>
    <row r="183">
      <c r="A183" t="inlineStr">
        <is>
          <t>2026-05-22</t>
        </is>
      </c>
      <c r="B183" s="6" t="n">
        <v>418.57</v>
      </c>
      <c r="C183" s="5">
        <f>(B183-B182)/B182</f>
        <v/>
      </c>
      <c r="D183" s="5">
        <f>NORMINV(RAND(), $C$6, $C$7)</f>
        <v/>
      </c>
      <c r="E183" s="5">
        <f>NORMINV(RAND(), $C$6, $C$7)</f>
        <v/>
      </c>
      <c r="F183" s="5">
        <f>NORMINV(RAND(), $C$6, $C$7)</f>
        <v/>
      </c>
      <c r="G183" s="5">
        <f>NORMINV(RAND(), $C$6, $C$7)</f>
        <v/>
      </c>
      <c r="H183" s="5">
        <f>NORMINV(RAND(), $C$6, $C$7)</f>
        <v/>
      </c>
      <c r="J183" t="inlineStr">
        <is>
          <t>2026-05-22</t>
        </is>
      </c>
      <c r="K183" s="6" t="n">
        <v>266.32</v>
      </c>
      <c r="L183" s="5">
        <f>(K183-K182)/K182</f>
        <v/>
      </c>
      <c r="M183" s="5">
        <f>NORMINV(RAND(), $L$6, $L$7)</f>
        <v/>
      </c>
      <c r="N183" s="5">
        <f>NORMINV(RAND(), $L$6, $L$7)</f>
        <v/>
      </c>
      <c r="O183" s="5">
        <f>NORMINV(RAND(), $L$6, $L$7)</f>
        <v/>
      </c>
      <c r="P183" s="5">
        <f>NORMINV(RAND(), $L$6, $L$7)</f>
        <v/>
      </c>
      <c r="Q183" s="5">
        <f>NORMINV(RAND(), $L$6, $L$7)</f>
        <v/>
      </c>
    </row>
    <row r="184">
      <c r="A184" t="inlineStr">
        <is>
          <t>2026-05-26</t>
        </is>
      </c>
      <c r="B184" s="6" t="n">
        <v>416.03</v>
      </c>
      <c r="C184" s="5">
        <f>(B184-B183)/B183</f>
        <v/>
      </c>
      <c r="D184" s="5">
        <f>NORMINV(RAND(), $C$6, $C$7)</f>
        <v/>
      </c>
      <c r="E184" s="5">
        <f>NORMINV(RAND(), $C$6, $C$7)</f>
        <v/>
      </c>
      <c r="F184" s="5">
        <f>NORMINV(RAND(), $C$6, $C$7)</f>
        <v/>
      </c>
      <c r="G184" s="5">
        <f>NORMINV(RAND(), $C$6, $C$7)</f>
        <v/>
      </c>
      <c r="H184" s="5">
        <f>NORMINV(RAND(), $C$6, $C$7)</f>
        <v/>
      </c>
      <c r="J184" t="inlineStr">
        <is>
          <t>2026-05-26</t>
        </is>
      </c>
      <c r="K184" s="6" t="n">
        <v>265.29</v>
      </c>
      <c r="L184" s="5">
        <f>(K184-K183)/K183</f>
        <v/>
      </c>
      <c r="M184" s="5">
        <f>NORMINV(RAND(), $L$6, $L$7)</f>
        <v/>
      </c>
      <c r="N184" s="5">
        <f>NORMINV(RAND(), $L$6, $L$7)</f>
        <v/>
      </c>
      <c r="O184" s="5">
        <f>NORMINV(RAND(), $L$6, $L$7)</f>
        <v/>
      </c>
      <c r="P184" s="5">
        <f>NORMINV(RAND(), $L$6, $L$7)</f>
        <v/>
      </c>
      <c r="Q184" s="5">
        <f>NORMINV(RAND(), $L$6, $L$7)</f>
        <v/>
      </c>
    </row>
    <row r="185">
      <c r="A185" t="inlineStr">
        <is>
          <t>2026-05-27</t>
        </is>
      </c>
      <c r="B185" s="6" t="n">
        <v>412.67</v>
      </c>
      <c r="C185" s="5">
        <f>(B185-B184)/B184</f>
        <v/>
      </c>
      <c r="D185" s="5">
        <f>NORMINV(RAND(), $C$6, $C$7)</f>
        <v/>
      </c>
      <c r="E185" s="5">
        <f>NORMINV(RAND(), $C$6, $C$7)</f>
        <v/>
      </c>
      <c r="F185" s="5">
        <f>NORMINV(RAND(), $C$6, $C$7)</f>
        <v/>
      </c>
      <c r="G185" s="5">
        <f>NORMINV(RAND(), $C$6, $C$7)</f>
        <v/>
      </c>
      <c r="H185" s="5">
        <f>NORMINV(RAND(), $C$6, $C$7)</f>
        <v/>
      </c>
      <c r="J185" t="inlineStr">
        <is>
          <t>2026-05-27</t>
        </is>
      </c>
      <c r="K185" s="6" t="n">
        <v>271.85</v>
      </c>
      <c r="L185" s="5">
        <f>(K185-K184)/K184</f>
        <v/>
      </c>
      <c r="M185" s="5">
        <f>NORMINV(RAND(), $L$6, $L$7)</f>
        <v/>
      </c>
      <c r="N185" s="5">
        <f>NORMINV(RAND(), $L$6, $L$7)</f>
        <v/>
      </c>
      <c r="O185" s="5">
        <f>NORMINV(RAND(), $L$6, $L$7)</f>
        <v/>
      </c>
      <c r="P185" s="5">
        <f>NORMINV(RAND(), $L$6, $L$7)</f>
        <v/>
      </c>
      <c r="Q185" s="5">
        <f>NORMINV(RAND(), $L$6, $L$7)</f>
        <v/>
      </c>
    </row>
    <row r="186">
      <c r="A186" t="inlineStr">
        <is>
          <t>2026-05-28</t>
        </is>
      </c>
      <c r="B186" s="6" t="n">
        <v>426.99</v>
      </c>
      <c r="C186" s="5">
        <f>(B186-B185)/B185</f>
        <v/>
      </c>
      <c r="D186" s="5">
        <f>NORMINV(RAND(), $C$6, $C$7)</f>
        <v/>
      </c>
      <c r="E186" s="5">
        <f>NORMINV(RAND(), $C$6, $C$7)</f>
        <v/>
      </c>
      <c r="F186" s="5">
        <f>NORMINV(RAND(), $C$6, $C$7)</f>
        <v/>
      </c>
      <c r="G186" s="5">
        <f>NORMINV(RAND(), $C$6, $C$7)</f>
        <v/>
      </c>
      <c r="H186" s="5">
        <f>NORMINV(RAND(), $C$6, $C$7)</f>
        <v/>
      </c>
      <c r="J186" t="inlineStr">
        <is>
          <t>2026-05-28</t>
        </is>
      </c>
      <c r="K186" s="6" t="n">
        <v>274</v>
      </c>
      <c r="L186" s="5">
        <f>(K186-K185)/K185</f>
        <v/>
      </c>
      <c r="M186" s="5">
        <f>NORMINV(RAND(), $L$6, $L$7)</f>
        <v/>
      </c>
      <c r="N186" s="5">
        <f>NORMINV(RAND(), $L$6, $L$7)</f>
        <v/>
      </c>
      <c r="O186" s="5">
        <f>NORMINV(RAND(), $L$6, $L$7)</f>
        <v/>
      </c>
      <c r="P186" s="5">
        <f>NORMINV(RAND(), $L$6, $L$7)</f>
        <v/>
      </c>
      <c r="Q186" s="5">
        <f>NORMINV(RAND(), $L$6, $L$7)</f>
        <v/>
      </c>
    </row>
    <row r="187">
      <c r="A187" t="inlineStr">
        <is>
          <t>2026-05-29</t>
        </is>
      </c>
      <c r="B187" s="6" t="n">
        <v>450.24</v>
      </c>
      <c r="C187" s="5">
        <f>(B187-B186)/B186</f>
        <v/>
      </c>
      <c r="D187" s="5">
        <f>NORMINV(RAND(), $C$6, $C$7)</f>
        <v/>
      </c>
      <c r="E187" s="5">
        <f>NORMINV(RAND(), $C$6, $C$7)</f>
        <v/>
      </c>
      <c r="F187" s="5">
        <f>NORMINV(RAND(), $C$6, $C$7)</f>
        <v/>
      </c>
      <c r="G187" s="5">
        <f>NORMINV(RAND(), $C$6, $C$7)</f>
        <v/>
      </c>
      <c r="H187" s="5">
        <f>NORMINV(RAND(), $C$6, $C$7)</f>
        <v/>
      </c>
      <c r="J187" t="inlineStr">
        <is>
          <t>2026-05-29</t>
        </is>
      </c>
      <c r="K187" s="6" t="n">
        <v>270.64</v>
      </c>
      <c r="L187" s="5">
        <f>(K187-K186)/K186</f>
        <v/>
      </c>
      <c r="M187" s="5">
        <f>NORMINV(RAND(), $L$6, $L$7)</f>
        <v/>
      </c>
      <c r="N187" s="5">
        <f>NORMINV(RAND(), $L$6, $L$7)</f>
        <v/>
      </c>
      <c r="O187" s="5">
        <f>NORMINV(RAND(), $L$6, $L$7)</f>
        <v/>
      </c>
      <c r="P187" s="5">
        <f>NORMINV(RAND(), $L$6, $L$7)</f>
        <v/>
      </c>
      <c r="Q187" s="5">
        <f>NORMINV(RAND(), $L$6, $L$7)</f>
        <v/>
      </c>
    </row>
    <row r="188">
      <c r="A188" t="inlineStr">
        <is>
          <t>2026-06-01</t>
        </is>
      </c>
      <c r="B188" s="6" t="n">
        <v>460.52</v>
      </c>
      <c r="C188" s="5">
        <f>(B188-B187)/B187</f>
        <v/>
      </c>
      <c r="D188" s="5">
        <f>NORMINV(RAND(), $C$6, $C$7)</f>
        <v/>
      </c>
      <c r="E188" s="5">
        <f>NORMINV(RAND(), $C$6, $C$7)</f>
        <v/>
      </c>
      <c r="F188" s="5">
        <f>NORMINV(RAND(), $C$6, $C$7)</f>
        <v/>
      </c>
      <c r="G188" s="5">
        <f>NORMINV(RAND(), $C$6, $C$7)</f>
        <v/>
      </c>
      <c r="H188" s="5">
        <f>NORMINV(RAND(), $C$6, $C$7)</f>
        <v/>
      </c>
      <c r="J188" t="inlineStr">
        <is>
          <t>2026-06-01</t>
        </is>
      </c>
      <c r="K188" s="6" t="n">
        <v>261.26</v>
      </c>
      <c r="L188" s="5">
        <f>(K188-K187)/K187</f>
        <v/>
      </c>
      <c r="M188" s="5">
        <f>NORMINV(RAND(), $L$6, $L$7)</f>
        <v/>
      </c>
      <c r="N188" s="5">
        <f>NORMINV(RAND(), $L$6, $L$7)</f>
        <v/>
      </c>
      <c r="O188" s="5">
        <f>NORMINV(RAND(), $L$6, $L$7)</f>
        <v/>
      </c>
      <c r="P188" s="5">
        <f>NORMINV(RAND(), $L$6, $L$7)</f>
        <v/>
      </c>
      <c r="Q188" s="5">
        <f>NORMINV(RAND(), $L$6, $L$7)</f>
        <v/>
      </c>
    </row>
    <row r="189">
      <c r="A189" t="inlineStr">
        <is>
          <t>2026-06-02</t>
        </is>
      </c>
      <c r="B189" s="6" t="n">
        <v>441.31</v>
      </c>
      <c r="C189" s="5">
        <f>(B189-B188)/B188</f>
        <v/>
      </c>
      <c r="D189" s="5">
        <f>NORMINV(RAND(), $C$6, $C$7)</f>
        <v/>
      </c>
      <c r="E189" s="5">
        <f>NORMINV(RAND(), $C$6, $C$7)</f>
        <v/>
      </c>
      <c r="F189" s="5">
        <f>NORMINV(RAND(), $C$6, $C$7)</f>
        <v/>
      </c>
      <c r="G189" s="5">
        <f>NORMINV(RAND(), $C$6, $C$7)</f>
        <v/>
      </c>
      <c r="H189" s="5">
        <f>NORMINV(RAND(), $C$6, $C$7)</f>
        <v/>
      </c>
      <c r="J189" t="inlineStr">
        <is>
          <t>2026-06-02</t>
        </is>
      </c>
      <c r="K189" s="6" t="n">
        <v>256.52</v>
      </c>
      <c r="L189" s="5">
        <f>(K189-K188)/K188</f>
        <v/>
      </c>
      <c r="M189" s="5">
        <f>NORMINV(RAND(), $L$6, $L$7)</f>
        <v/>
      </c>
      <c r="N189" s="5">
        <f>NORMINV(RAND(), $L$6, $L$7)</f>
        <v/>
      </c>
      <c r="O189" s="5">
        <f>NORMINV(RAND(), $L$6, $L$7)</f>
        <v/>
      </c>
      <c r="P189" s="5">
        <f>NORMINV(RAND(), $L$6, $L$7)</f>
        <v/>
      </c>
      <c r="Q189" s="5">
        <f>NORMINV(RAND(), $L$6, $L$7)</f>
        <v/>
      </c>
    </row>
    <row r="190">
      <c r="A190" t="inlineStr">
        <is>
          <t>2026-06-03</t>
        </is>
      </c>
      <c r="B190" s="6" t="n">
        <v>427.34</v>
      </c>
      <c r="C190" s="5">
        <f>(B190-B189)/B189</f>
        <v/>
      </c>
      <c r="D190" s="5">
        <f>NORMINV(RAND(), $C$6, $C$7)</f>
        <v/>
      </c>
      <c r="E190" s="5">
        <f>NORMINV(RAND(), $C$6, $C$7)</f>
        <v/>
      </c>
      <c r="F190" s="5">
        <f>NORMINV(RAND(), $C$6, $C$7)</f>
        <v/>
      </c>
      <c r="G190" s="5">
        <f>NORMINV(RAND(), $C$6, $C$7)</f>
        <v/>
      </c>
      <c r="H190" s="5">
        <f>NORMINV(RAND(), $C$6, $C$7)</f>
        <v/>
      </c>
      <c r="J190" t="inlineStr">
        <is>
          <t>2026-06-03</t>
        </is>
      </c>
      <c r="K190" s="6" t="n">
        <v>250.02</v>
      </c>
      <c r="L190" s="5">
        <f>(K190-K189)/K189</f>
        <v/>
      </c>
      <c r="M190" s="5">
        <f>NORMINV(RAND(), $L$6, $L$7)</f>
        <v/>
      </c>
      <c r="N190" s="5">
        <f>NORMINV(RAND(), $L$6, $L$7)</f>
        <v/>
      </c>
      <c r="O190" s="5">
        <f>NORMINV(RAND(), $L$6, $L$7)</f>
        <v/>
      </c>
      <c r="P190" s="5">
        <f>NORMINV(RAND(), $L$6, $L$7)</f>
        <v/>
      </c>
      <c r="Q190" s="5">
        <f>NORMINV(RAND(), $L$6, $L$7)</f>
        <v/>
      </c>
    </row>
    <row r="191">
      <c r="A191" t="inlineStr">
        <is>
          <t>2026-06-04</t>
        </is>
      </c>
      <c r="B191" s="6" t="n">
        <v>428.05</v>
      </c>
      <c r="C191" s="5">
        <f>(B191-B190)/B190</f>
        <v/>
      </c>
      <c r="D191" s="5">
        <f>NORMINV(RAND(), $C$6, $C$7)</f>
        <v/>
      </c>
      <c r="E191" s="5">
        <f>NORMINV(RAND(), $C$6, $C$7)</f>
        <v/>
      </c>
      <c r="F191" s="5">
        <f>NORMINV(RAND(), $C$6, $C$7)</f>
        <v/>
      </c>
      <c r="G191" s="5">
        <f>NORMINV(RAND(), $C$6, $C$7)</f>
        <v/>
      </c>
      <c r="H191" s="5">
        <f>NORMINV(RAND(), $C$6, $C$7)</f>
        <v/>
      </c>
      <c r="J191" t="inlineStr">
        <is>
          <t>2026-06-04</t>
        </is>
      </c>
      <c r="K191" s="6" t="n">
        <v>253.79</v>
      </c>
      <c r="L191" s="5">
        <f>(K191-K190)/K190</f>
        <v/>
      </c>
      <c r="M191" s="5">
        <f>NORMINV(RAND(), $L$6, $L$7)</f>
        <v/>
      </c>
      <c r="N191" s="5">
        <f>NORMINV(RAND(), $L$6, $L$7)</f>
        <v/>
      </c>
      <c r="O191" s="5">
        <f>NORMINV(RAND(), $L$6, $L$7)</f>
        <v/>
      </c>
      <c r="P191" s="5">
        <f>NORMINV(RAND(), $L$6, $L$7)</f>
        <v/>
      </c>
      <c r="Q191" s="5">
        <f>NORMINV(RAND(), $L$6, $L$7)</f>
        <v/>
      </c>
    </row>
    <row r="192">
      <c r="A192" t="inlineStr">
        <is>
          <t>2026-06-05</t>
        </is>
      </c>
      <c r="B192" s="6" t="n">
        <v>416.67</v>
      </c>
      <c r="C192" s="5">
        <f>(B192-B191)/B191</f>
        <v/>
      </c>
      <c r="D192" s="5">
        <f>NORMINV(RAND(), $C$6, $C$7)</f>
        <v/>
      </c>
      <c r="E192" s="5">
        <f>NORMINV(RAND(), $C$6, $C$7)</f>
        <v/>
      </c>
      <c r="F192" s="5">
        <f>NORMINV(RAND(), $C$6, $C$7)</f>
        <v/>
      </c>
      <c r="G192" s="5">
        <f>NORMINV(RAND(), $C$6, $C$7)</f>
        <v/>
      </c>
      <c r="H192" s="5">
        <f>NORMINV(RAND(), $C$6, $C$7)</f>
        <v/>
      </c>
      <c r="J192" t="inlineStr">
        <is>
          <t>2026-06-05</t>
        </is>
      </c>
      <c r="K192" s="6" t="n">
        <v>246.03</v>
      </c>
      <c r="L192" s="5">
        <f>(K192-K191)/K191</f>
        <v/>
      </c>
      <c r="M192" s="5">
        <f>NORMINV(RAND(), $L$6, $L$7)</f>
        <v/>
      </c>
      <c r="N192" s="5">
        <f>NORMINV(RAND(), $L$6, $L$7)</f>
        <v/>
      </c>
      <c r="O192" s="5">
        <f>NORMINV(RAND(), $L$6, $L$7)</f>
        <v/>
      </c>
      <c r="P192" s="5">
        <f>NORMINV(RAND(), $L$6, $L$7)</f>
        <v/>
      </c>
      <c r="Q192" s="5">
        <f>NORMINV(RAND(), $L$6, $L$7)</f>
        <v/>
      </c>
    </row>
    <row r="193">
      <c r="A193" t="inlineStr">
        <is>
          <t>2026-06-08</t>
        </is>
      </c>
      <c r="B193" s="6" t="n">
        <v>411.74</v>
      </c>
      <c r="C193" s="5">
        <f>(B193-B192)/B192</f>
        <v/>
      </c>
      <c r="D193" s="5">
        <f>NORMINV(RAND(), $C$6, $C$7)</f>
        <v/>
      </c>
      <c r="E193" s="5">
        <f>NORMINV(RAND(), $C$6, $C$7)</f>
        <v/>
      </c>
      <c r="F193" s="5">
        <f>NORMINV(RAND(), $C$6, $C$7)</f>
        <v/>
      </c>
      <c r="G193" s="5">
        <f>NORMINV(RAND(), $C$6, $C$7)</f>
        <v/>
      </c>
      <c r="H193" s="5">
        <f>NORMINV(RAND(), $C$6, $C$7)</f>
        <v/>
      </c>
      <c r="J193" t="inlineStr">
        <is>
          <t>2026-06-08</t>
        </is>
      </c>
      <c r="K193" s="6" t="n">
        <v>245.22</v>
      </c>
      <c r="L193" s="5">
        <f>(K193-K192)/K192</f>
        <v/>
      </c>
      <c r="M193" s="5">
        <f>NORMINV(RAND(), $L$6, $L$7)</f>
        <v/>
      </c>
      <c r="N193" s="5">
        <f>NORMINV(RAND(), $L$6, $L$7)</f>
        <v/>
      </c>
      <c r="O193" s="5">
        <f>NORMINV(RAND(), $L$6, $L$7)</f>
        <v/>
      </c>
      <c r="P193" s="5">
        <f>NORMINV(RAND(), $L$6, $L$7)</f>
        <v/>
      </c>
      <c r="Q193" s="5">
        <f>NORMINV(RAND(), $L$6, $L$7)</f>
        <v/>
      </c>
    </row>
    <row r="194">
      <c r="A194" t="inlineStr">
        <is>
          <t>2026-06-09</t>
        </is>
      </c>
      <c r="B194" s="6" t="n">
        <v>403.41</v>
      </c>
      <c r="C194" s="5">
        <f>(B194-B193)/B193</f>
        <v/>
      </c>
      <c r="D194" s="5">
        <f>NORMINV(RAND(), $C$6, $C$7)</f>
        <v/>
      </c>
      <c r="E194" s="5">
        <f>NORMINV(RAND(), $C$6, $C$7)</f>
        <v/>
      </c>
      <c r="F194" s="5">
        <f>NORMINV(RAND(), $C$6, $C$7)</f>
        <v/>
      </c>
      <c r="G194" s="5">
        <f>NORMINV(RAND(), $C$6, $C$7)</f>
        <v/>
      </c>
      <c r="H194" s="5">
        <f>NORMINV(RAND(), $C$6, $C$7)</f>
        <v/>
      </c>
      <c r="J194" t="inlineStr">
        <is>
          <t>2026-06-09</t>
        </is>
      </c>
      <c r="K194" s="6" t="n">
        <v>244.19</v>
      </c>
      <c r="L194" s="5">
        <f>(K194-K193)/K193</f>
        <v/>
      </c>
      <c r="M194" s="5">
        <f>NORMINV(RAND(), $L$6, $L$7)</f>
        <v/>
      </c>
      <c r="N194" s="5">
        <f>NORMINV(RAND(), $L$6, $L$7)</f>
        <v/>
      </c>
      <c r="O194" s="5">
        <f>NORMINV(RAND(), $L$6, $L$7)</f>
        <v/>
      </c>
      <c r="P194" s="5">
        <f>NORMINV(RAND(), $L$6, $L$7)</f>
        <v/>
      </c>
      <c r="Q194" s="5">
        <f>NORMINV(RAND(), $L$6, $L$7)</f>
        <v/>
      </c>
    </row>
    <row r="195">
      <c r="A195" t="inlineStr">
        <is>
          <t>2026-06-10</t>
        </is>
      </c>
      <c r="B195" s="6" t="n">
        <v>397.36</v>
      </c>
      <c r="C195" s="5">
        <f>(B195-B194)/B194</f>
        <v/>
      </c>
      <c r="D195" s="5">
        <f>NORMINV(RAND(), $C$6, $C$7)</f>
        <v/>
      </c>
      <c r="E195" s="5">
        <f>NORMINV(RAND(), $C$6, $C$7)</f>
        <v/>
      </c>
      <c r="F195" s="5">
        <f>NORMINV(RAND(), $C$6, $C$7)</f>
        <v/>
      </c>
      <c r="G195" s="5">
        <f>NORMINV(RAND(), $C$6, $C$7)</f>
        <v/>
      </c>
      <c r="H195" s="5">
        <f>NORMINV(RAND(), $C$6, $C$7)</f>
        <v/>
      </c>
      <c r="J195" t="inlineStr">
        <is>
          <t>2026-06-10</t>
        </is>
      </c>
      <c r="K195" s="6" t="n">
        <v>238</v>
      </c>
      <c r="L195" s="5">
        <f>(K195-K194)/K194</f>
        <v/>
      </c>
      <c r="M195" s="5">
        <f>NORMINV(RAND(), $L$6, $L$7)</f>
        <v/>
      </c>
      <c r="N195" s="5">
        <f>NORMINV(RAND(), $L$6, $L$7)</f>
        <v/>
      </c>
      <c r="O195" s="5">
        <f>NORMINV(RAND(), $L$6, $L$7)</f>
        <v/>
      </c>
      <c r="P195" s="5">
        <f>NORMINV(RAND(), $L$6, $L$7)</f>
        <v/>
      </c>
      <c r="Q195" s="5">
        <f>NORMINV(RAND(), $L$6, $L$7)</f>
        <v/>
      </c>
    </row>
    <row r="196">
      <c r="A196" t="inlineStr">
        <is>
          <t>2026-06-11</t>
        </is>
      </c>
      <c r="B196" s="6" t="n">
        <v>390.34</v>
      </c>
      <c r="C196" s="5">
        <f>(B196-B195)/B195</f>
        <v/>
      </c>
      <c r="D196" s="5">
        <f>NORMINV(RAND(), $C$6, $C$7)</f>
        <v/>
      </c>
      <c r="E196" s="5">
        <f>NORMINV(RAND(), $C$6, $C$7)</f>
        <v/>
      </c>
      <c r="F196" s="5">
        <f>NORMINV(RAND(), $C$6, $C$7)</f>
        <v/>
      </c>
      <c r="G196" s="5">
        <f>NORMINV(RAND(), $C$6, $C$7)</f>
        <v/>
      </c>
      <c r="H196" s="5">
        <f>NORMINV(RAND(), $C$6, $C$7)</f>
        <v/>
      </c>
      <c r="J196" t="inlineStr">
        <is>
          <t>2026-06-11</t>
        </is>
      </c>
      <c r="K196" s="6" t="n">
        <v>241.51</v>
      </c>
      <c r="L196" s="5">
        <f>(K196-K195)/K195</f>
        <v/>
      </c>
      <c r="M196" s="5">
        <f>NORMINV(RAND(), $L$6, $L$7)</f>
        <v/>
      </c>
      <c r="N196" s="5">
        <f>NORMINV(RAND(), $L$6, $L$7)</f>
        <v/>
      </c>
      <c r="O196" s="5">
        <f>NORMINV(RAND(), $L$6, $L$7)</f>
        <v/>
      </c>
      <c r="P196" s="5">
        <f>NORMINV(RAND(), $L$6, $L$7)</f>
        <v/>
      </c>
      <c r="Q196" s="5">
        <f>NORMINV(RAND(), $L$6, $L$7)</f>
        <v/>
      </c>
    </row>
    <row r="197">
      <c r="A197" t="inlineStr">
        <is>
          <t>2026-06-12</t>
        </is>
      </c>
      <c r="B197" s="6" t="n">
        <v>390.74</v>
      </c>
      <c r="C197" s="5">
        <f>(B197-B196)/B196</f>
        <v/>
      </c>
      <c r="D197" s="5">
        <f>NORMINV(RAND(), $C$6, $C$7)</f>
        <v/>
      </c>
      <c r="E197" s="5">
        <f>NORMINV(RAND(), $C$6, $C$7)</f>
        <v/>
      </c>
      <c r="F197" s="5">
        <f>NORMINV(RAND(), $C$6, $C$7)</f>
        <v/>
      </c>
      <c r="G197" s="5">
        <f>NORMINV(RAND(), $C$6, $C$7)</f>
        <v/>
      </c>
      <c r="H197" s="5">
        <f>NORMINV(RAND(), $C$6, $C$7)</f>
        <v/>
      </c>
      <c r="J197" t="inlineStr">
        <is>
          <t>2026-06-12</t>
        </is>
      </c>
      <c r="K197" s="6" t="n">
        <v>238.55</v>
      </c>
      <c r="L197" s="5">
        <f>(K197-K196)/K196</f>
        <v/>
      </c>
      <c r="M197" s="5">
        <f>NORMINV(RAND(), $L$6, $L$7)</f>
        <v/>
      </c>
      <c r="N197" s="5">
        <f>NORMINV(RAND(), $L$6, $L$7)</f>
        <v/>
      </c>
      <c r="O197" s="5">
        <f>NORMINV(RAND(), $L$6, $L$7)</f>
        <v/>
      </c>
      <c r="P197" s="5">
        <f>NORMINV(RAND(), $L$6, $L$7)</f>
        <v/>
      </c>
      <c r="Q197" s="5">
        <f>NORMINV(RAND(), $L$6, $L$7)</f>
        <v/>
      </c>
    </row>
    <row r="198">
      <c r="A198" t="inlineStr">
        <is>
          <t>2026-06-15</t>
        </is>
      </c>
      <c r="B198" s="6" t="n">
        <v>399.76</v>
      </c>
      <c r="C198" s="5">
        <f>(B198-B197)/B197</f>
        <v/>
      </c>
      <c r="D198" s="5">
        <f>NORMINV(RAND(), $C$6, $C$7)</f>
        <v/>
      </c>
      <c r="E198" s="5">
        <f>NORMINV(RAND(), $C$6, $C$7)</f>
        <v/>
      </c>
      <c r="F198" s="5">
        <f>NORMINV(RAND(), $C$6, $C$7)</f>
        <v/>
      </c>
      <c r="G198" s="5">
        <f>NORMINV(RAND(), $C$6, $C$7)</f>
        <v/>
      </c>
      <c r="H198" s="5">
        <f>NORMINV(RAND(), $C$6, $C$7)</f>
        <v/>
      </c>
      <c r="J198" t="inlineStr">
        <is>
          <t>2026-06-15</t>
        </is>
      </c>
      <c r="K198" s="6" t="n">
        <v>246.02</v>
      </c>
      <c r="L198" s="5">
        <f>(K198-K197)/K197</f>
        <v/>
      </c>
      <c r="M198" s="5">
        <f>NORMINV(RAND(), $L$6, $L$7)</f>
        <v/>
      </c>
      <c r="N198" s="5">
        <f>NORMINV(RAND(), $L$6, $L$7)</f>
        <v/>
      </c>
      <c r="O198" s="5">
        <f>NORMINV(RAND(), $L$6, $L$7)</f>
        <v/>
      </c>
      <c r="P198" s="5">
        <f>NORMINV(RAND(), $L$6, $L$7)</f>
        <v/>
      </c>
      <c r="Q198" s="5">
        <f>NORMINV(RAND(), $L$6, $L$7)</f>
        <v/>
      </c>
    </row>
    <row r="199">
      <c r="A199" t="inlineStr">
        <is>
          <t>2026-06-16</t>
        </is>
      </c>
      <c r="B199" s="6" t="n">
        <v>393.83</v>
      </c>
      <c r="C199" s="5">
        <f>(B199-B198)/B198</f>
        <v/>
      </c>
      <c r="D199" s="5">
        <f>NORMINV(RAND(), $C$6, $C$7)</f>
        <v/>
      </c>
      <c r="E199" s="5">
        <f>NORMINV(RAND(), $C$6, $C$7)</f>
        <v/>
      </c>
      <c r="F199" s="5">
        <f>NORMINV(RAND(), $C$6, $C$7)</f>
        <v/>
      </c>
      <c r="G199" s="5">
        <f>NORMINV(RAND(), $C$6, $C$7)</f>
        <v/>
      </c>
      <c r="H199" s="5">
        <f>NORMINV(RAND(), $C$6, $C$7)</f>
        <v/>
      </c>
      <c r="J199" t="inlineStr">
        <is>
          <t>2026-06-16</t>
        </is>
      </c>
      <c r="K199" s="6" t="n">
        <v>246</v>
      </c>
      <c r="L199" s="5">
        <f>(K199-K198)/K198</f>
        <v/>
      </c>
      <c r="M199" s="5">
        <f>NORMINV(RAND(), $L$6, $L$7)</f>
        <v/>
      </c>
      <c r="N199" s="5">
        <f>NORMINV(RAND(), $L$6, $L$7)</f>
        <v/>
      </c>
      <c r="O199" s="5">
        <f>NORMINV(RAND(), $L$6, $L$7)</f>
        <v/>
      </c>
      <c r="P199" s="5">
        <f>NORMINV(RAND(), $L$6, $L$7)</f>
        <v/>
      </c>
      <c r="Q199" s="5">
        <f>NORMINV(RAND(), $L$6, $L$7)</f>
        <v/>
      </c>
    </row>
    <row r="200">
      <c r="A200" t="inlineStr">
        <is>
          <t>2026-06-17</t>
        </is>
      </c>
      <c r="B200" s="6" t="n">
        <v>378.91</v>
      </c>
      <c r="C200" s="5">
        <f>(B200-B199)/B199</f>
        <v/>
      </c>
      <c r="D200" s="5">
        <f>NORMINV(RAND(), $C$6, $C$7)</f>
        <v/>
      </c>
      <c r="E200" s="5">
        <f>NORMINV(RAND(), $C$6, $C$7)</f>
        <v/>
      </c>
      <c r="F200" s="5">
        <f>NORMINV(RAND(), $C$6, $C$7)</f>
        <v/>
      </c>
      <c r="G200" s="5">
        <f>NORMINV(RAND(), $C$6, $C$7)</f>
        <v/>
      </c>
      <c r="H200" s="5">
        <f>NORMINV(RAND(), $C$6, $C$7)</f>
        <v/>
      </c>
      <c r="J200" t="inlineStr">
        <is>
          <t>2026-06-17</t>
        </is>
      </c>
      <c r="K200" s="6" t="n">
        <v>237.5</v>
      </c>
      <c r="L200" s="5">
        <f>(K200-K199)/K199</f>
        <v/>
      </c>
      <c r="M200" s="5">
        <f>NORMINV(RAND(), $L$6, $L$7)</f>
        <v/>
      </c>
      <c r="N200" s="5">
        <f>NORMINV(RAND(), $L$6, $L$7)</f>
        <v/>
      </c>
      <c r="O200" s="5">
        <f>NORMINV(RAND(), $L$6, $L$7)</f>
        <v/>
      </c>
      <c r="P200" s="5">
        <f>NORMINV(RAND(), $L$6, $L$7)</f>
        <v/>
      </c>
      <c r="Q200" s="5">
        <f>NORMINV(RAND(), $L$6, $L$7)</f>
        <v/>
      </c>
    </row>
    <row r="201">
      <c r="A201" t="inlineStr">
        <is>
          <t>2026-06-18</t>
        </is>
      </c>
      <c r="B201" s="6" t="n">
        <v>379.4</v>
      </c>
      <c r="C201" s="5">
        <f>(B201-B200)/B200</f>
        <v/>
      </c>
      <c r="D201" s="5">
        <f>NORMINV(RAND(), $C$6, $C$7)</f>
        <v/>
      </c>
      <c r="E201" s="5">
        <f>NORMINV(RAND(), $C$6, $C$7)</f>
        <v/>
      </c>
      <c r="F201" s="5">
        <f>NORMINV(RAND(), $C$6, $C$7)</f>
        <v/>
      </c>
      <c r="G201" s="5">
        <f>NORMINV(RAND(), $C$6, $C$7)</f>
        <v/>
      </c>
      <c r="H201" s="5">
        <f>NORMINV(RAND(), $C$6, $C$7)</f>
        <v/>
      </c>
      <c r="J201" t="inlineStr">
        <is>
          <t>2026-06-18</t>
        </is>
      </c>
      <c r="K201" s="6" t="n">
        <v>244.39</v>
      </c>
      <c r="L201" s="5">
        <f>(K201-K200)/K200</f>
        <v/>
      </c>
      <c r="M201" s="5">
        <f>NORMINV(RAND(), $L$6, $L$7)</f>
        <v/>
      </c>
      <c r="N201" s="5">
        <f>NORMINV(RAND(), $L$6, $L$7)</f>
        <v/>
      </c>
      <c r="O201" s="5">
        <f>NORMINV(RAND(), $L$6, $L$7)</f>
        <v/>
      </c>
      <c r="P201" s="5">
        <f>NORMINV(RAND(), $L$6, $L$7)</f>
        <v/>
      </c>
      <c r="Q201" s="5">
        <f>NORMINV(RAND(), $L$6, $L$7)</f>
        <v/>
      </c>
    </row>
    <row r="202">
      <c r="A202" t="inlineStr">
        <is>
          <t>2026-06-22</t>
        </is>
      </c>
      <c r="B202" s="6" t="n">
        <v>367.34</v>
      </c>
      <c r="C202" s="5">
        <f>(B202-B201)/B201</f>
        <v/>
      </c>
      <c r="D202" s="5">
        <f>NORMINV(RAND(), $C$6, $C$7)</f>
        <v/>
      </c>
      <c r="E202" s="5">
        <f>NORMINV(RAND(), $C$6, $C$7)</f>
        <v/>
      </c>
      <c r="F202" s="5">
        <f>NORMINV(RAND(), $C$6, $C$7)</f>
        <v/>
      </c>
      <c r="G202" s="5">
        <f>NORMINV(RAND(), $C$6, $C$7)</f>
        <v/>
      </c>
      <c r="H202" s="5">
        <f>NORMINV(RAND(), $C$6, $C$7)</f>
        <v/>
      </c>
      <c r="J202" t="inlineStr">
        <is>
          <t>2026-06-22</t>
        </is>
      </c>
      <c r="K202" s="6" t="n">
        <v>232.79</v>
      </c>
      <c r="L202" s="5">
        <f>(K202-K201)/K201</f>
        <v/>
      </c>
      <c r="M202" s="5">
        <f>NORMINV(RAND(), $L$6, $L$7)</f>
        <v/>
      </c>
      <c r="N202" s="5">
        <f>NORMINV(RAND(), $L$6, $L$7)</f>
        <v/>
      </c>
      <c r="O202" s="5">
        <f>NORMINV(RAND(), $L$6, $L$7)</f>
        <v/>
      </c>
      <c r="P202" s="5">
        <f>NORMINV(RAND(), $L$6, $L$7)</f>
        <v/>
      </c>
      <c r="Q202" s="5">
        <f>NORMINV(RAND(), $L$6, $L$7)</f>
        <v/>
      </c>
    </row>
    <row r="203">
      <c r="A203" t="inlineStr">
        <is>
          <t>2026-06-23</t>
        </is>
      </c>
      <c r="B203" s="6" t="n">
        <v>373.94</v>
      </c>
      <c r="C203" s="5">
        <f>(B203-B202)/B202</f>
        <v/>
      </c>
      <c r="D203" s="5">
        <f>NORMINV(RAND(), $C$6, $C$7)</f>
        <v/>
      </c>
      <c r="E203" s="5">
        <f>NORMINV(RAND(), $C$6, $C$7)</f>
        <v/>
      </c>
      <c r="F203" s="5">
        <f>NORMINV(RAND(), $C$6, $C$7)</f>
        <v/>
      </c>
      <c r="G203" s="5">
        <f>NORMINV(RAND(), $C$6, $C$7)</f>
        <v/>
      </c>
      <c r="H203" s="5">
        <f>NORMINV(RAND(), $C$6, $C$7)</f>
        <v/>
      </c>
      <c r="J203" t="inlineStr">
        <is>
          <t>2026-06-23</t>
        </is>
      </c>
      <c r="K203" s="6" t="n">
        <v>234.11</v>
      </c>
      <c r="L203" s="5">
        <f>(K203-K202)/K202</f>
        <v/>
      </c>
      <c r="M203" s="5">
        <f>NORMINV(RAND(), $L$6, $L$7)</f>
        <v/>
      </c>
      <c r="N203" s="5">
        <f>NORMINV(RAND(), $L$6, $L$7)</f>
        <v/>
      </c>
      <c r="O203" s="5">
        <f>NORMINV(RAND(), $L$6, $L$7)</f>
        <v/>
      </c>
      <c r="P203" s="5">
        <f>NORMINV(RAND(), $L$6, $L$7)</f>
        <v/>
      </c>
      <c r="Q203" s="5">
        <f>NORMINV(RAND(), $L$6, $L$7)</f>
        <v/>
      </c>
    </row>
    <row r="204">
      <c r="A204" t="inlineStr">
        <is>
          <t>2026-06-24</t>
        </is>
      </c>
      <c r="B204" s="6" t="n">
        <v>365.46</v>
      </c>
      <c r="C204" s="5">
        <f>(B204-B203)/B203</f>
        <v/>
      </c>
      <c r="D204" s="5">
        <f>NORMINV(RAND(), $C$6, $C$7)</f>
        <v/>
      </c>
      <c r="E204" s="5">
        <f>NORMINV(RAND(), $C$6, $C$7)</f>
        <v/>
      </c>
      <c r="F204" s="5">
        <f>NORMINV(RAND(), $C$6, $C$7)</f>
        <v/>
      </c>
      <c r="G204" s="5">
        <f>NORMINV(RAND(), $C$6, $C$7)</f>
        <v/>
      </c>
      <c r="H204" s="5">
        <f>NORMINV(RAND(), $C$6, $C$7)</f>
        <v/>
      </c>
      <c r="J204" t="inlineStr">
        <is>
          <t>2026-06-24</t>
        </is>
      </c>
      <c r="K204" s="6" t="n">
        <v>234.27</v>
      </c>
      <c r="L204" s="5">
        <f>(K204-K203)/K203</f>
        <v/>
      </c>
      <c r="M204" s="5">
        <f>NORMINV(RAND(), $L$6, $L$7)</f>
        <v/>
      </c>
      <c r="N204" s="5">
        <f>NORMINV(RAND(), $L$6, $L$7)</f>
        <v/>
      </c>
      <c r="O204" s="5">
        <f>NORMINV(RAND(), $L$6, $L$7)</f>
        <v/>
      </c>
      <c r="P204" s="5">
        <f>NORMINV(RAND(), $L$6, $L$7)</f>
        <v/>
      </c>
      <c r="Q204" s="5">
        <f>NORMINV(RAND(), $L$6, $L$7)</f>
        <v/>
      </c>
    </row>
    <row r="205">
      <c r="A205" t="inlineStr">
        <is>
          <t>2026-06-25</t>
        </is>
      </c>
      <c r="B205" s="6" t="n">
        <v>352.83</v>
      </c>
      <c r="C205" s="5">
        <f>(B205-B204)/B204</f>
        <v/>
      </c>
      <c r="D205" s="5">
        <f>NORMINV(RAND(), $C$6, $C$7)</f>
        <v/>
      </c>
      <c r="E205" s="5">
        <f>NORMINV(RAND(), $C$6, $C$7)</f>
        <v/>
      </c>
      <c r="F205" s="5">
        <f>NORMINV(RAND(), $C$6, $C$7)</f>
        <v/>
      </c>
      <c r="G205" s="5">
        <f>NORMINV(RAND(), $C$6, $C$7)</f>
        <v/>
      </c>
      <c r="H205" s="5">
        <f>NORMINV(RAND(), $C$6, $C$7)</f>
        <v/>
      </c>
      <c r="J205" t="inlineStr">
        <is>
          <t>2026-06-25</t>
        </is>
      </c>
      <c r="K205" s="6" t="n">
        <v>227.01</v>
      </c>
      <c r="L205" s="5">
        <f>(K205-K204)/K204</f>
        <v/>
      </c>
      <c r="M205" s="5">
        <f>NORMINV(RAND(), $L$6, $L$7)</f>
        <v/>
      </c>
      <c r="N205" s="5">
        <f>NORMINV(RAND(), $L$6, $L$7)</f>
        <v/>
      </c>
      <c r="O205" s="5">
        <f>NORMINV(RAND(), $L$6, $L$7)</f>
        <v/>
      </c>
      <c r="P205" s="5">
        <f>NORMINV(RAND(), $L$6, $L$7)</f>
        <v/>
      </c>
      <c r="Q205" s="5">
        <f>NORMINV(RAND(), $L$6, $L$7)</f>
        <v/>
      </c>
    </row>
    <row r="206">
      <c r="A206" t="inlineStr">
        <is>
          <t>2026-06-26</t>
        </is>
      </c>
      <c r="B206" s="6" t="n">
        <v>372.97</v>
      </c>
      <c r="C206" s="5">
        <f>(B206-B205)/B205</f>
        <v/>
      </c>
      <c r="D206" s="5">
        <f>NORMINV(RAND(), $C$6, $C$7)</f>
        <v/>
      </c>
      <c r="E206" s="5">
        <f>NORMINV(RAND(), $C$6, $C$7)</f>
        <v/>
      </c>
      <c r="F206" s="5">
        <f>NORMINV(RAND(), $C$6, $C$7)</f>
        <v/>
      </c>
      <c r="G206" s="5">
        <f>NORMINV(RAND(), $C$6, $C$7)</f>
        <v/>
      </c>
      <c r="H206" s="5">
        <f>NORMINV(RAND(), $C$6, $C$7)</f>
        <v/>
      </c>
      <c r="J206" t="inlineStr">
        <is>
          <t>2026-06-26</t>
        </is>
      </c>
      <c r="K206" s="6" t="n">
        <v>232.69</v>
      </c>
      <c r="L206" s="5">
        <f>(K206-K205)/K205</f>
        <v/>
      </c>
      <c r="M206" s="5">
        <f>NORMINV(RAND(), $L$6, $L$7)</f>
        <v/>
      </c>
      <c r="N206" s="5">
        <f>NORMINV(RAND(), $L$6, $L$7)</f>
        <v/>
      </c>
      <c r="O206" s="5">
        <f>NORMINV(RAND(), $L$6, $L$7)</f>
        <v/>
      </c>
      <c r="P206" s="5">
        <f>NORMINV(RAND(), $L$6, $L$7)</f>
        <v/>
      </c>
      <c r="Q206" s="5">
        <f>NORMINV(RAND(), $L$6, $L$7)</f>
        <v/>
      </c>
    </row>
    <row r="207">
      <c r="A207" t="inlineStr">
        <is>
          <t>2026-06-29</t>
        </is>
      </c>
      <c r="B207" s="6" t="n">
        <v>368.57</v>
      </c>
      <c r="C207" s="5">
        <f>(B207-B206)/B206</f>
        <v/>
      </c>
      <c r="D207" s="5">
        <f>NORMINV(RAND(), $C$6, $C$7)</f>
        <v/>
      </c>
      <c r="E207" s="5">
        <f>NORMINV(RAND(), $C$6, $C$7)</f>
        <v/>
      </c>
      <c r="F207" s="5">
        <f>NORMINV(RAND(), $C$6, $C$7)</f>
        <v/>
      </c>
      <c r="G207" s="5">
        <f>NORMINV(RAND(), $C$6, $C$7)</f>
        <v/>
      </c>
      <c r="H207" s="5">
        <f>NORMINV(RAND(), $C$6, $C$7)</f>
        <v/>
      </c>
      <c r="J207" t="inlineStr">
        <is>
          <t>2026-06-29</t>
        </is>
      </c>
      <c r="K207" s="6" t="n">
        <v>240.14</v>
      </c>
      <c r="L207" s="5">
        <f>(K207-K206)/K206</f>
        <v/>
      </c>
      <c r="M207" s="5">
        <f>NORMINV(RAND(), $L$6, $L$7)</f>
        <v/>
      </c>
      <c r="N207" s="5">
        <f>NORMINV(RAND(), $L$6, $L$7)</f>
        <v/>
      </c>
      <c r="O207" s="5">
        <f>NORMINV(RAND(), $L$6, $L$7)</f>
        <v/>
      </c>
      <c r="P207" s="5">
        <f>NORMINV(RAND(), $L$6, $L$7)</f>
        <v/>
      </c>
      <c r="Q207" s="5">
        <f>NORMINV(RAND(), $L$6, $L$7)</f>
        <v/>
      </c>
    </row>
    <row r="208">
      <c r="A208" t="inlineStr">
        <is>
          <t>2026-06-30</t>
        </is>
      </c>
      <c r="B208" s="6" t="n">
        <v>373.02</v>
      </c>
      <c r="C208" s="5">
        <f>(B208-B207)/B207</f>
        <v/>
      </c>
      <c r="D208" s="5">
        <f>NORMINV(RAND(), $C$6, $C$7)</f>
        <v/>
      </c>
      <c r="E208" s="5">
        <f>NORMINV(RAND(), $C$6, $C$7)</f>
        <v/>
      </c>
      <c r="F208" s="5">
        <f>NORMINV(RAND(), $C$6, $C$7)</f>
        <v/>
      </c>
      <c r="G208" s="5">
        <f>NORMINV(RAND(), $C$6, $C$7)</f>
        <v/>
      </c>
      <c r="H208" s="5">
        <f>NORMINV(RAND(), $C$6, $C$7)</f>
        <v/>
      </c>
      <c r="J208" t="inlineStr">
        <is>
          <t>2026-06-30</t>
        </is>
      </c>
      <c r="K208" s="6" t="n">
        <v>238.34</v>
      </c>
      <c r="L208" s="5">
        <f>(K208-K207)/K207</f>
        <v/>
      </c>
      <c r="M208" s="5">
        <f>NORMINV(RAND(), $L$6, $L$7)</f>
        <v/>
      </c>
      <c r="N208" s="5">
        <f>NORMINV(RAND(), $L$6, $L$7)</f>
        <v/>
      </c>
      <c r="O208" s="5">
        <f>NORMINV(RAND(), $L$6, $L$7)</f>
        <v/>
      </c>
      <c r="P208" s="5">
        <f>NORMINV(RAND(), $L$6, $L$7)</f>
        <v/>
      </c>
      <c r="Q208" s="5">
        <f>NORMINV(RAND(), $L$6, $L$7)</f>
        <v/>
      </c>
    </row>
    <row r="209">
      <c r="A209" t="inlineStr">
        <is>
          <t>2026-07-01</t>
        </is>
      </c>
      <c r="B209" s="6" t="n">
        <v>384.28</v>
      </c>
      <c r="C209" s="5">
        <f>(B209-B208)/B208</f>
        <v/>
      </c>
      <c r="D209" s="5">
        <f>NORMINV(RAND(), $C$6, $C$7)</f>
        <v/>
      </c>
      <c r="E209" s="5">
        <f>NORMINV(RAND(), $C$6, $C$7)</f>
        <v/>
      </c>
      <c r="F209" s="5">
        <f>NORMINV(RAND(), $C$6, $C$7)</f>
        <v/>
      </c>
      <c r="G209" s="5">
        <f>NORMINV(RAND(), $C$6, $C$7)</f>
        <v/>
      </c>
      <c r="H209" s="5">
        <f>NORMINV(RAND(), $C$6, $C$7)</f>
        <v/>
      </c>
      <c r="J209" t="inlineStr">
        <is>
          <t>2026-07-01</t>
        </is>
      </c>
      <c r="K209" s="6" t="n">
        <v>241.7</v>
      </c>
      <c r="L209" s="5">
        <f>(K209-K208)/K208</f>
        <v/>
      </c>
      <c r="M209" s="5">
        <f>NORMINV(RAND(), $L$6, $L$7)</f>
        <v/>
      </c>
      <c r="N209" s="5">
        <f>NORMINV(RAND(), $L$6, $L$7)</f>
        <v/>
      </c>
      <c r="O209" s="5">
        <f>NORMINV(RAND(), $L$6, $L$7)</f>
        <v/>
      </c>
      <c r="P209" s="5">
        <f>NORMINV(RAND(), $L$6, $L$7)</f>
        <v/>
      </c>
      <c r="Q209" s="5">
        <f>NORMINV(RAND(), $L$6, $L$7)</f>
        <v/>
      </c>
    </row>
    <row r="210">
      <c r="A210" t="inlineStr">
        <is>
          <t>2026-07-02</t>
        </is>
      </c>
      <c r="B210" s="6" t="n">
        <v>390.49</v>
      </c>
      <c r="C210" s="5">
        <f>(B210-B209)/B209</f>
        <v/>
      </c>
      <c r="D210" s="5">
        <f>NORMINV(RAND(), $C$6, $C$7)</f>
        <v/>
      </c>
      <c r="E210" s="5">
        <f>NORMINV(RAND(), $C$6, $C$7)</f>
        <v/>
      </c>
      <c r="F210" s="5">
        <f>NORMINV(RAND(), $C$6, $C$7)</f>
        <v/>
      </c>
      <c r="G210" s="5">
        <f>NORMINV(RAND(), $C$6, $C$7)</f>
        <v/>
      </c>
      <c r="H210" s="5">
        <f>NORMINV(RAND(), $C$6, $C$7)</f>
        <v/>
      </c>
      <c r="J210" t="inlineStr">
        <is>
          <t>2026-07-02</t>
        </is>
      </c>
      <c r="K210" s="6" t="n">
        <v>242.67</v>
      </c>
      <c r="L210" s="5">
        <f>(K210-K209)/K209</f>
        <v/>
      </c>
      <c r="M210" s="5">
        <f>NORMINV(RAND(), $L$6, $L$7)</f>
        <v/>
      </c>
      <c r="N210" s="5">
        <f>NORMINV(RAND(), $L$6, $L$7)</f>
        <v/>
      </c>
      <c r="O210" s="5">
        <f>NORMINV(RAND(), $L$6, $L$7)</f>
        <v/>
      </c>
      <c r="P210" s="5">
        <f>NORMINV(RAND(), $L$6, $L$7)</f>
        <v/>
      </c>
      <c r="Q210" s="5">
        <f>NORMINV(RAND(), $L$6, $L$7)</f>
        <v/>
      </c>
    </row>
    <row r="211">
      <c r="A211" t="inlineStr">
        <is>
          <t>2026-07-06</t>
        </is>
      </c>
      <c r="B211" s="6" t="n">
        <v>386.74</v>
      </c>
      <c r="C211" s="5">
        <f>(B211-B210)/B210</f>
        <v/>
      </c>
      <c r="D211" s="5">
        <f>NORMINV(RAND(), $C$6, $C$7)</f>
        <v/>
      </c>
      <c r="E211" s="5">
        <f>NORMINV(RAND(), $C$6, $C$7)</f>
        <v/>
      </c>
      <c r="F211" s="5">
        <f>NORMINV(RAND(), $C$6, $C$7)</f>
        <v/>
      </c>
      <c r="G211" s="5">
        <f>NORMINV(RAND(), $C$6, $C$7)</f>
        <v/>
      </c>
      <c r="H211" s="5">
        <f>NORMINV(RAND(), $C$6, $C$7)</f>
        <v/>
      </c>
      <c r="J211" t="inlineStr">
        <is>
          <t>2026-07-06</t>
        </is>
      </c>
      <c r="K211" s="6" t="n">
        <v>244.16</v>
      </c>
      <c r="L211" s="5">
        <f>(K211-K210)/K210</f>
        <v/>
      </c>
      <c r="M211" s="5">
        <f>NORMINV(RAND(), $L$6, $L$7)</f>
        <v/>
      </c>
      <c r="N211" s="5">
        <f>NORMINV(RAND(), $L$6, $L$7)</f>
        <v/>
      </c>
      <c r="O211" s="5">
        <f>NORMINV(RAND(), $L$6, $L$7)</f>
        <v/>
      </c>
      <c r="P211" s="5">
        <f>NORMINV(RAND(), $L$6, $L$7)</f>
        <v/>
      </c>
      <c r="Q211" s="5">
        <f>NORMINV(RAND(), $L$6, $L$7)</f>
        <v/>
      </c>
    </row>
    <row r="212">
      <c r="A212" t="inlineStr">
        <is>
          <t>2026-07-07</t>
        </is>
      </c>
      <c r="B212" s="6" t="n">
        <v>388.84</v>
      </c>
      <c r="C212" s="5">
        <f>(B212-B211)/B211</f>
        <v/>
      </c>
      <c r="D212" s="5">
        <f>NORMINV(RAND(), $C$6, $C$7)</f>
        <v/>
      </c>
      <c r="E212" s="5">
        <f>NORMINV(RAND(), $C$6, $C$7)</f>
        <v/>
      </c>
      <c r="F212" s="5">
        <f>NORMINV(RAND(), $C$6, $C$7)</f>
        <v/>
      </c>
      <c r="G212" s="5">
        <f>NORMINV(RAND(), $C$6, $C$7)</f>
        <v/>
      </c>
      <c r="H212" s="5">
        <f>NORMINV(RAND(), $C$6, $C$7)</f>
        <v/>
      </c>
      <c r="J212" t="inlineStr">
        <is>
          <t>2026-07-07</t>
        </is>
      </c>
      <c r="K212" s="6" t="n">
        <v>245.98</v>
      </c>
      <c r="L212" s="5">
        <f>(K212-K211)/K211</f>
        <v/>
      </c>
      <c r="M212" s="5">
        <f>NORMINV(RAND(), $L$6, $L$7)</f>
        <v/>
      </c>
      <c r="N212" s="5">
        <f>NORMINV(RAND(), $L$6, $L$7)</f>
        <v/>
      </c>
      <c r="O212" s="5">
        <f>NORMINV(RAND(), $L$6, $L$7)</f>
        <v/>
      </c>
      <c r="P212" s="5">
        <f>NORMINV(RAND(), $L$6, $L$7)</f>
        <v/>
      </c>
      <c r="Q212" s="5">
        <f>NORMINV(RAND(), $L$6, $L$7)</f>
        <v/>
      </c>
    </row>
    <row r="213">
      <c r="A213" t="inlineStr">
        <is>
          <t>2026-07-08</t>
        </is>
      </c>
      <c r="B213" s="6" t="n">
        <v>383.34</v>
      </c>
      <c r="C213" s="5">
        <f>(B213-B212)/B212</f>
        <v/>
      </c>
      <c r="D213" s="5">
        <f>NORMINV(RAND(), $C$6, $C$7)</f>
        <v/>
      </c>
      <c r="E213" s="5">
        <f>NORMINV(RAND(), $C$6, $C$7)</f>
        <v/>
      </c>
      <c r="F213" s="5">
        <f>NORMINV(RAND(), $C$6, $C$7)</f>
        <v/>
      </c>
      <c r="G213" s="5">
        <f>NORMINV(RAND(), $C$6, $C$7)</f>
        <v/>
      </c>
      <c r="H213" s="5">
        <f>NORMINV(RAND(), $C$6, $C$7)</f>
        <v/>
      </c>
      <c r="J213" t="inlineStr">
        <is>
          <t>2026-07-08</t>
        </is>
      </c>
      <c r="K213" s="6" t="n">
        <v>243.62</v>
      </c>
      <c r="L213" s="5">
        <f>(K213-K212)/K212</f>
        <v/>
      </c>
      <c r="M213" s="5">
        <f>NORMINV(RAND(), $L$6, $L$7)</f>
        <v/>
      </c>
      <c r="N213" s="5">
        <f>NORMINV(RAND(), $L$6, $L$7)</f>
        <v/>
      </c>
      <c r="O213" s="5">
        <f>NORMINV(RAND(), $L$6, $L$7)</f>
        <v/>
      </c>
      <c r="P213" s="5">
        <f>NORMINV(RAND(), $L$6, $L$7)</f>
        <v/>
      </c>
      <c r="Q213" s="5">
        <f>NORMINV(RAND(), $L$6, $L$7)</f>
        <v/>
      </c>
    </row>
    <row r="214">
      <c r="A214" t="inlineStr">
        <is>
          <t>2026-07-09</t>
        </is>
      </c>
      <c r="B214" s="6" t="n">
        <v>384.36</v>
      </c>
      <c r="C214" s="5">
        <f>(B214-B213)/B213</f>
        <v/>
      </c>
      <c r="D214" s="5">
        <f>NORMINV(RAND(), $C$6, $C$7)</f>
        <v/>
      </c>
      <c r="E214" s="5">
        <f>NORMINV(RAND(), $C$6, $C$7)</f>
        <v/>
      </c>
      <c r="F214" s="5">
        <f>NORMINV(RAND(), $C$6, $C$7)</f>
        <v/>
      </c>
      <c r="G214" s="5">
        <f>NORMINV(RAND(), $C$6, $C$7)</f>
        <v/>
      </c>
      <c r="H214" s="5">
        <f>NORMINV(RAND(), $C$6, $C$7)</f>
        <v/>
      </c>
      <c r="J214" t="inlineStr">
        <is>
          <t>2026-07-09</t>
        </is>
      </c>
      <c r="K214" s="6" t="n">
        <v>247.04</v>
      </c>
      <c r="L214" s="5">
        <f>(K214-K213)/K213</f>
        <v/>
      </c>
      <c r="M214" s="5">
        <f>NORMINV(RAND(), $L$6, $L$7)</f>
        <v/>
      </c>
      <c r="N214" s="5">
        <f>NORMINV(RAND(), $L$6, $L$7)</f>
        <v/>
      </c>
      <c r="O214" s="5">
        <f>NORMINV(RAND(), $L$6, $L$7)</f>
        <v/>
      </c>
      <c r="P214" s="5">
        <f>NORMINV(RAND(), $L$6, $L$7)</f>
        <v/>
      </c>
      <c r="Q214" s="5">
        <f>NORMINV(RAND(), $L$6, $L$7)</f>
        <v/>
      </c>
    </row>
    <row r="215">
      <c r="A215" t="inlineStr">
        <is>
          <t>2026-07-10</t>
        </is>
      </c>
      <c r="B215" s="6" t="n">
        <v>385.1</v>
      </c>
      <c r="C215" s="5">
        <f>(B215-B214)/B214</f>
        <v/>
      </c>
      <c r="D215" s="5">
        <f>NORMINV(RAND(), $C$6, $C$7)</f>
        <v/>
      </c>
      <c r="E215" s="5">
        <f>NORMINV(RAND(), $C$6, $C$7)</f>
        <v/>
      </c>
      <c r="F215" s="5">
        <f>NORMINV(RAND(), $C$6, $C$7)</f>
        <v/>
      </c>
      <c r="G215" s="5">
        <f>NORMINV(RAND(), $C$6, $C$7)</f>
        <v/>
      </c>
      <c r="H215" s="5">
        <f>NORMINV(RAND(), $C$6, $C$7)</f>
        <v/>
      </c>
      <c r="J215" t="inlineStr">
        <is>
          <t>2026-07-10</t>
        </is>
      </c>
      <c r="K215" s="6" t="n">
        <v>245.34</v>
      </c>
      <c r="L215" s="5">
        <f>(K215-K214)/K214</f>
        <v/>
      </c>
      <c r="M215" s="5">
        <f>NORMINV(RAND(), $L$6, $L$7)</f>
        <v/>
      </c>
      <c r="N215" s="5">
        <f>NORMINV(RAND(), $L$6, $L$7)</f>
        <v/>
      </c>
      <c r="O215" s="5">
        <f>NORMINV(RAND(), $L$6, $L$7)</f>
        <v/>
      </c>
      <c r="P215" s="5">
        <f>NORMINV(RAND(), $L$6, $L$7)</f>
        <v/>
      </c>
      <c r="Q215" s="5">
        <f>NORMINV(RAND(), $L$6, $L$7)</f>
        <v/>
      </c>
    </row>
    <row r="216">
      <c r="A216" t="inlineStr">
        <is>
          <t>2026-07-13</t>
        </is>
      </c>
      <c r="B216" s="6" t="n">
        <v>390.99</v>
      </c>
      <c r="C216" s="5">
        <f>(B216-B215)/B215</f>
        <v/>
      </c>
      <c r="D216" s="5">
        <f>NORMINV(RAND(), $C$6, $C$7)</f>
        <v/>
      </c>
      <c r="E216" s="5">
        <f>NORMINV(RAND(), $C$6, $C$7)</f>
        <v/>
      </c>
      <c r="F216" s="5">
        <f>NORMINV(RAND(), $C$6, $C$7)</f>
        <v/>
      </c>
      <c r="G216" s="5">
        <f>NORMINV(RAND(), $C$6, $C$7)</f>
        <v/>
      </c>
      <c r="H216" s="5">
        <f>NORMINV(RAND(), $C$6, $C$7)</f>
        <v/>
      </c>
      <c r="J216" t="inlineStr">
        <is>
          <t>2026-07-13</t>
        </is>
      </c>
      <c r="K216" s="6" t="n">
        <v>247.31</v>
      </c>
      <c r="L216" s="5">
        <f>(K216-K215)/K215</f>
        <v/>
      </c>
      <c r="M216" s="5">
        <f>NORMINV(RAND(), $L$6, $L$7)</f>
        <v/>
      </c>
      <c r="N216" s="5">
        <f>NORMINV(RAND(), $L$6, $L$7)</f>
        <v/>
      </c>
      <c r="O216" s="5">
        <f>NORMINV(RAND(), $L$6, $L$7)</f>
        <v/>
      </c>
      <c r="P216" s="5">
        <f>NORMINV(RAND(), $L$6, $L$7)</f>
        <v/>
      </c>
      <c r="Q216" s="5">
        <f>NORMINV(RAND(), $L$6, $L$7)</f>
        <v/>
      </c>
    </row>
    <row r="217">
      <c r="A217" t="inlineStr">
        <is>
          <t>2026-07-14</t>
        </is>
      </c>
      <c r="B217" s="6" t="n">
        <v>384.93</v>
      </c>
      <c r="C217" s="5">
        <f>(B217-B216)/B216</f>
        <v/>
      </c>
      <c r="D217" s="5">
        <f>NORMINV(RAND(), $C$6, $C$7)</f>
        <v/>
      </c>
      <c r="E217" s="5">
        <f>NORMINV(RAND(), $C$6, $C$7)</f>
        <v/>
      </c>
      <c r="F217" s="5">
        <f>NORMINV(RAND(), $C$6, $C$7)</f>
        <v/>
      </c>
      <c r="G217" s="5">
        <f>NORMINV(RAND(), $C$6, $C$7)</f>
        <v/>
      </c>
      <c r="H217" s="5">
        <f>NORMINV(RAND(), $C$6, $C$7)</f>
        <v/>
      </c>
      <c r="J217" t="inlineStr">
        <is>
          <t>2026-07-14</t>
        </is>
      </c>
      <c r="K217" s="6" t="n">
        <v>247.49</v>
      </c>
      <c r="L217" s="5">
        <f>(K217-K216)/K216</f>
        <v/>
      </c>
      <c r="M217" s="5">
        <f>NORMINV(RAND(), $L$6, $L$7)</f>
        <v/>
      </c>
      <c r="N217" s="5">
        <f>NORMINV(RAND(), $L$6, $L$7)</f>
        <v/>
      </c>
      <c r="O217" s="5">
        <f>NORMINV(RAND(), $L$6, $L$7)</f>
        <v/>
      </c>
      <c r="P217" s="5">
        <f>NORMINV(RAND(), $L$6, $L$7)</f>
        <v/>
      </c>
      <c r="Q217" s="5">
        <f>NORMINV(RAND(), $L$6, $L$7)</f>
        <v/>
      </c>
    </row>
    <row r="218">
      <c r="A218" t="inlineStr">
        <is>
          <t>2026-07-15</t>
        </is>
      </c>
      <c r="B218" s="6" t="n">
        <v>395.63</v>
      </c>
      <c r="C218" s="5">
        <f>(B218-B217)/B217</f>
        <v/>
      </c>
      <c r="D218" s="5">
        <f>NORMINV(RAND(), $C$6, $C$7)</f>
        <v/>
      </c>
      <c r="E218" s="5">
        <f>NORMINV(RAND(), $C$6, $C$7)</f>
        <v/>
      </c>
      <c r="F218" s="5">
        <f>NORMINV(RAND(), $C$6, $C$7)</f>
        <v/>
      </c>
      <c r="G218" s="5">
        <f>NORMINV(RAND(), $C$6, $C$7)</f>
        <v/>
      </c>
      <c r="H218" s="5">
        <f>NORMINV(RAND(), $C$6, $C$7)</f>
        <v/>
      </c>
      <c r="J218" t="inlineStr">
        <is>
          <t>2026-07-15</t>
        </is>
      </c>
      <c r="K218" s="6" t="n">
        <v>254.96</v>
      </c>
      <c r="L218" s="5">
        <f>(K218-K217)/K217</f>
        <v/>
      </c>
      <c r="M218" s="5">
        <f>NORMINV(RAND(), $L$6, $L$7)</f>
        <v/>
      </c>
      <c r="N218" s="5">
        <f>NORMINV(RAND(), $L$6, $L$7)</f>
        <v/>
      </c>
      <c r="O218" s="5">
        <f>NORMINV(RAND(), $L$6, $L$7)</f>
        <v/>
      </c>
      <c r="P218" s="5">
        <f>NORMINV(RAND(), $L$6, $L$7)</f>
        <v/>
      </c>
      <c r="Q218" s="5">
        <f>NORMINV(RAND(), $L$6, $L$7)</f>
        <v/>
      </c>
    </row>
    <row r="219">
      <c r="A219" t="inlineStr">
        <is>
          <t>2026-07-16</t>
        </is>
      </c>
      <c r="B219" s="6" t="n">
        <v>401.1</v>
      </c>
      <c r="C219" s="5">
        <f>(B219-B218)/B218</f>
        <v/>
      </c>
      <c r="D219" s="5">
        <f>NORMINV(RAND(), $C$6, $C$7)</f>
        <v/>
      </c>
      <c r="E219" s="5">
        <f>NORMINV(RAND(), $C$6, $C$7)</f>
        <v/>
      </c>
      <c r="F219" s="5">
        <f>NORMINV(RAND(), $C$6, $C$7)</f>
        <v/>
      </c>
      <c r="G219" s="5">
        <f>NORMINV(RAND(), $C$6, $C$7)</f>
        <v/>
      </c>
      <c r="H219" s="5">
        <f>NORMINV(RAND(), $C$6, $C$7)</f>
        <v/>
      </c>
      <c r="J219" t="inlineStr">
        <is>
          <t>2026-07-16</t>
        </is>
      </c>
      <c r="K219" s="6" t="n">
        <v>249.89</v>
      </c>
      <c r="L219" s="5">
        <f>(K219-K218)/K218</f>
        <v/>
      </c>
      <c r="M219" s="5">
        <f>NORMINV(RAND(), $L$6, $L$7)</f>
        <v/>
      </c>
      <c r="N219" s="5">
        <f>NORMINV(RAND(), $L$6, $L$7)</f>
        <v/>
      </c>
      <c r="O219" s="5">
        <f>NORMINV(RAND(), $L$6, $L$7)</f>
        <v/>
      </c>
      <c r="P219" s="5">
        <f>NORMINV(RAND(), $L$6, $L$7)</f>
        <v/>
      </c>
      <c r="Q219" s="5">
        <f>NORMINV(RAND(), $L$6, $L$7)</f>
        <v/>
      </c>
    </row>
    <row r="220">
      <c r="A220" t="inlineStr">
        <is>
          <t>2026-07-17</t>
        </is>
      </c>
      <c r="B220" s="6" t="n">
        <v>393.82</v>
      </c>
      <c r="C220" s="5">
        <f>(B220-B219)/B219</f>
        <v/>
      </c>
      <c r="D220" s="5">
        <f>NORMINV(RAND(), $C$6, $C$7)</f>
        <v/>
      </c>
      <c r="E220" s="5">
        <f>NORMINV(RAND(), $C$6, $C$7)</f>
        <v/>
      </c>
      <c r="F220" s="5">
        <f>NORMINV(RAND(), $C$6, $C$7)</f>
        <v/>
      </c>
      <c r="G220" s="5">
        <f>NORMINV(RAND(), $C$6, $C$7)</f>
        <v/>
      </c>
      <c r="H220" s="5">
        <f>NORMINV(RAND(), $C$6, $C$7)</f>
        <v/>
      </c>
      <c r="J220" t="inlineStr">
        <is>
          <t>2026-07-17</t>
        </is>
      </c>
      <c r="K220" s="6" t="n">
        <v>247.23</v>
      </c>
      <c r="L220" s="5">
        <f>(K220-K219)/K219</f>
        <v/>
      </c>
      <c r="M220" s="5">
        <f>NORMINV(RAND(), $L$6, $L$7)</f>
        <v/>
      </c>
      <c r="N220" s="5">
        <f>NORMINV(RAND(), $L$6, $L$7)</f>
        <v/>
      </c>
      <c r="O220" s="5">
        <f>NORMINV(RAND(), $L$6, $L$7)</f>
        <v/>
      </c>
      <c r="P220" s="5">
        <f>NORMINV(RAND(), $L$6, $L$7)</f>
        <v/>
      </c>
      <c r="Q220" s="5">
        <f>NORMINV(RAND(), $L$6, $L$7)</f>
        <v/>
      </c>
    </row>
    <row r="221">
      <c r="A221" t="inlineStr">
        <is>
          <t>2026-07-20</t>
        </is>
      </c>
      <c r="B221" s="6" t="n">
        <v>402.29</v>
      </c>
      <c r="C221" s="5">
        <f>(B221-B220)/B220</f>
        <v/>
      </c>
      <c r="D221" s="5">
        <f>NORMINV(RAND(), $C$6, $C$7)</f>
        <v/>
      </c>
      <c r="E221" s="5">
        <f>NORMINV(RAND(), $C$6, $C$7)</f>
        <v/>
      </c>
      <c r="F221" s="5">
        <f>NORMINV(RAND(), $C$6, $C$7)</f>
        <v/>
      </c>
      <c r="G221" s="5">
        <f>NORMINV(RAND(), $C$6, $C$7)</f>
        <v/>
      </c>
      <c r="H221" s="5">
        <f>NORMINV(RAND(), $C$6, $C$7)</f>
        <v/>
      </c>
      <c r="J221" t="inlineStr">
        <is>
          <t>2026-07-20</t>
        </is>
      </c>
      <c r="K221" s="6" t="n">
        <v>249.99</v>
      </c>
      <c r="L221" s="5">
        <f>(K221-K220)/K220</f>
        <v/>
      </c>
      <c r="M221" s="5">
        <f>NORMINV(RAND(), $L$6, $L$7)</f>
        <v/>
      </c>
      <c r="N221" s="5">
        <f>NORMINV(RAND(), $L$6, $L$7)</f>
        <v/>
      </c>
      <c r="O221" s="5">
        <f>NORMINV(RAND(), $L$6, $L$7)</f>
        <v/>
      </c>
      <c r="P221" s="5">
        <f>NORMINV(RAND(), $L$6, $L$7)</f>
        <v/>
      </c>
      <c r="Q221" s="5">
        <f>NORMINV(RAND(), $L$6, $L$7)</f>
        <v/>
      </c>
    </row>
    <row r="222">
      <c r="A222" t="inlineStr">
        <is>
          <t>2026-07-21</t>
        </is>
      </c>
      <c r="B222" s="6" t="n">
        <v>397.75</v>
      </c>
      <c r="C222" s="5">
        <f>(B222-B221)/B221</f>
        <v/>
      </c>
      <c r="D222" s="5">
        <f>NORMINV(RAND(), $C$6, $C$7)</f>
        <v/>
      </c>
      <c r="E222" s="5">
        <f>NORMINV(RAND(), $C$6, $C$7)</f>
        <v/>
      </c>
      <c r="F222" s="5">
        <f>NORMINV(RAND(), $C$6, $C$7)</f>
        <v/>
      </c>
      <c r="G222" s="5">
        <f>NORMINV(RAND(), $C$6, $C$7)</f>
        <v/>
      </c>
      <c r="H222" s="5">
        <f>NORMINV(RAND(), $C$6, $C$7)</f>
        <v/>
      </c>
      <c r="J222" t="inlineStr">
        <is>
          <t>2026-07-21</t>
        </is>
      </c>
      <c r="K222" s="6" t="n">
        <v>247.55</v>
      </c>
      <c r="L222" s="5">
        <f>(K222-K221)/K221</f>
        <v/>
      </c>
      <c r="M222" s="5">
        <f>NORMINV(RAND(), $L$6, $L$7)</f>
        <v/>
      </c>
      <c r="N222" s="5">
        <f>NORMINV(RAND(), $L$6, $L$7)</f>
        <v/>
      </c>
      <c r="O222" s="5">
        <f>NORMINV(RAND(), $L$6, $L$7)</f>
        <v/>
      </c>
      <c r="P222" s="5">
        <f>NORMINV(RAND(), $L$6, $L$7)</f>
        <v/>
      </c>
      <c r="Q222" s="5">
        <f>NORMINV(RAND(), $L$6, $L$7)</f>
        <v/>
      </c>
    </row>
    <row r="223">
      <c r="A223" t="inlineStr">
        <is>
          <t>2026-07-22</t>
        </is>
      </c>
      <c r="B223" s="6" t="n">
        <v>390.34</v>
      </c>
      <c r="C223" s="5">
        <f>(B223-B222)/B222</f>
        <v/>
      </c>
      <c r="D223" s="5">
        <f>NORMINV(RAND(), $C$6, $C$7)</f>
        <v/>
      </c>
      <c r="E223" s="5">
        <f>NORMINV(RAND(), $C$6, $C$7)</f>
        <v/>
      </c>
      <c r="F223" s="5">
        <f>NORMINV(RAND(), $C$6, $C$7)</f>
        <v/>
      </c>
      <c r="G223" s="5">
        <f>NORMINV(RAND(), $C$6, $C$7)</f>
        <v/>
      </c>
      <c r="H223" s="5">
        <f>NORMINV(RAND(), $C$6, $C$7)</f>
        <v/>
      </c>
      <c r="J223" t="inlineStr">
        <is>
          <t>2026-07-22</t>
        </is>
      </c>
      <c r="K223" s="6" t="n">
        <v>244.85</v>
      </c>
      <c r="L223" s="5">
        <f>(K223-K222)/K222</f>
        <v/>
      </c>
      <c r="M223" s="5">
        <f>NORMINV(RAND(), $L$6, $L$7)</f>
        <v/>
      </c>
      <c r="N223" s="5">
        <f>NORMINV(RAND(), $L$6, $L$7)</f>
        <v/>
      </c>
      <c r="O223" s="5">
        <f>NORMINV(RAND(), $L$6, $L$7)</f>
        <v/>
      </c>
      <c r="P223" s="5">
        <f>NORMINV(RAND(), $L$6, $L$7)</f>
        <v/>
      </c>
      <c r="Q223" s="5">
        <f>NORMINV(RAND(), $L$6, $L$7)</f>
        <v/>
      </c>
    </row>
    <row r="224">
      <c r="A224" t="inlineStr">
        <is>
          <t>2026-07-23</t>
        </is>
      </c>
      <c r="B224" s="6" t="n">
        <v>381.58</v>
      </c>
      <c r="C224" s="5">
        <f>(B224-B223)/B223</f>
        <v/>
      </c>
      <c r="D224" s="5">
        <f>NORMINV(RAND(), $C$6, $C$7)</f>
        <v/>
      </c>
      <c r="E224" s="5">
        <f>NORMINV(RAND(), $C$6, $C$7)</f>
        <v/>
      </c>
      <c r="F224" s="5">
        <f>NORMINV(RAND(), $C$6, $C$7)</f>
        <v/>
      </c>
      <c r="G224" s="5">
        <f>NORMINV(RAND(), $C$6, $C$7)</f>
        <v/>
      </c>
      <c r="H224" s="5">
        <f>NORMINV(RAND(), $C$6, $C$7)</f>
        <v/>
      </c>
      <c r="J224" t="inlineStr">
        <is>
          <t>2026-07-23</t>
        </is>
      </c>
      <c r="K224" s="6" t="n">
        <v>233.66</v>
      </c>
      <c r="L224" s="5">
        <f>(K224-K223)/K223</f>
        <v/>
      </c>
      <c r="M224" s="5">
        <f>NORMINV(RAND(), $L$6, $L$7)</f>
        <v/>
      </c>
      <c r="N224" s="5">
        <f>NORMINV(RAND(), $L$6, $L$7)</f>
        <v/>
      </c>
      <c r="O224" s="5">
        <f>NORMINV(RAND(), $L$6, $L$7)</f>
        <v/>
      </c>
      <c r="P224" s="5">
        <f>NORMINV(RAND(), $L$6, $L$7)</f>
        <v/>
      </c>
      <c r="Q224" s="5">
        <f>NORMINV(RAND(), $L$6, $L$7)</f>
        <v/>
      </c>
    </row>
    <row r="225">
      <c r="A225" t="inlineStr">
        <is>
          <t>2026-07-24</t>
        </is>
      </c>
      <c r="B225" s="6" t="n">
        <v>381.7</v>
      </c>
      <c r="C225" s="5">
        <f>(B225-B224)/B224</f>
        <v/>
      </c>
      <c r="D225" s="5">
        <f>NORMINV(RAND(), $C$6, $C$7)</f>
        <v/>
      </c>
      <c r="E225" s="5">
        <f>NORMINV(RAND(), $C$6, $C$7)</f>
        <v/>
      </c>
      <c r="F225" s="5">
        <f>NORMINV(RAND(), $C$6, $C$7)</f>
        <v/>
      </c>
      <c r="G225" s="5">
        <f>NORMINV(RAND(), $C$6, $C$7)</f>
        <v/>
      </c>
      <c r="H225" s="5">
        <f>NORMINV(RAND(), $C$6, $C$7)</f>
        <v/>
      </c>
      <c r="J225" t="inlineStr">
        <is>
          <t>2026-07-24</t>
        </is>
      </c>
      <c r="K225" s="6" t="n">
        <v>232.11</v>
      </c>
      <c r="L225" s="5">
        <f>(K225-K224)/K224</f>
        <v/>
      </c>
      <c r="M225" s="5">
        <f>NORMINV(RAND(), $L$6, $L$7)</f>
        <v/>
      </c>
      <c r="N225" s="5">
        <f>NORMINV(RAND(), $L$6, $L$7)</f>
        <v/>
      </c>
      <c r="O225" s="5">
        <f>NORMINV(RAND(), $L$6, $L$7)</f>
        <v/>
      </c>
      <c r="P225" s="5">
        <f>NORMINV(RAND(), $L$6, $L$7)</f>
        <v/>
      </c>
      <c r="Q225" s="5">
        <f>NORMINV(RAND(), $L$6, $L$7)</f>
        <v/>
      </c>
    </row>
    <row r="226">
      <c r="A226" t="inlineStr">
        <is>
          <t>2026-07-27</t>
        </is>
      </c>
      <c r="B226" s="6" t="n">
        <v>389.1</v>
      </c>
      <c r="C226" s="5">
        <f>(B226-B225)/B225</f>
        <v/>
      </c>
      <c r="D226" s="5">
        <f>NORMINV(RAND(), $C$6, $C$7)</f>
        <v/>
      </c>
      <c r="E226" s="5">
        <f>NORMINV(RAND(), $C$6, $C$7)</f>
        <v/>
      </c>
      <c r="F226" s="5">
        <f>NORMINV(RAND(), $C$6, $C$7)</f>
        <v/>
      </c>
      <c r="G226" s="5">
        <f>NORMINV(RAND(), $C$6, $C$7)</f>
        <v/>
      </c>
      <c r="H226" s="5">
        <f>NORMINV(RAND(), $C$6, $C$7)</f>
        <v/>
      </c>
      <c r="J226" t="inlineStr">
        <is>
          <t>2026-07-27</t>
        </is>
      </c>
      <c r="K226" s="6" t="n">
        <v>231.39</v>
      </c>
      <c r="L226" s="5">
        <f>(K226-K225)/K225</f>
        <v/>
      </c>
      <c r="M226" s="5">
        <f>NORMINV(RAND(), $L$6, $L$7)</f>
        <v/>
      </c>
      <c r="N226" s="5">
        <f>NORMINV(RAND(), $L$6, $L$7)</f>
        <v/>
      </c>
      <c r="O226" s="5">
        <f>NORMINV(RAND(), $L$6, $L$7)</f>
        <v/>
      </c>
      <c r="P226" s="5">
        <f>NORMINV(RAND(), $L$6, $L$7)</f>
        <v/>
      </c>
      <c r="Q226" s="5">
        <f>NORMINV(RAND(), $L$6, $L$7)</f>
        <v/>
      </c>
    </row>
    <row r="227">
      <c r="A227" t="inlineStr">
        <is>
          <t>2026-07-28</t>
        </is>
      </c>
      <c r="B227" s="6" t="n">
        <v>393.35</v>
      </c>
      <c r="C227" s="5">
        <f>(B227-B226)/B226</f>
        <v/>
      </c>
      <c r="D227" s="5">
        <f>NORMINV(RAND(), $C$6, $C$7)</f>
        <v/>
      </c>
      <c r="E227" s="5">
        <f>NORMINV(RAND(), $C$6, $C$7)</f>
        <v/>
      </c>
      <c r="F227" s="5">
        <f>NORMINV(RAND(), $C$6, $C$7)</f>
        <v/>
      </c>
      <c r="G227" s="5">
        <f>NORMINV(RAND(), $C$6, $C$7)</f>
        <v/>
      </c>
      <c r="H227" s="5">
        <f>NORMINV(RAND(), $C$6, $C$7)</f>
        <v/>
      </c>
      <c r="J227" t="inlineStr">
        <is>
          <t>2026-07-28</t>
        </is>
      </c>
      <c r="K227" s="6" t="n">
        <v>230.86</v>
      </c>
      <c r="L227" s="5">
        <f>(K227-K226)/K226</f>
        <v/>
      </c>
      <c r="M227" s="5">
        <f>NORMINV(RAND(), $L$6, $L$7)</f>
        <v/>
      </c>
      <c r="N227" s="5">
        <f>NORMINV(RAND(), $L$6, $L$7)</f>
        <v/>
      </c>
      <c r="O227" s="5">
        <f>NORMINV(RAND(), $L$6, $L$7)</f>
        <v/>
      </c>
      <c r="P227" s="5">
        <f>NORMINV(RAND(), $L$6, $L$7)</f>
        <v/>
      </c>
      <c r="Q227" s="5">
        <f>NORMINV(RAND(), $L$6, $L$7)</f>
        <v/>
      </c>
    </row>
    <row r="228">
      <c r="A228" t="inlineStr">
        <is>
          <t>2026-07-29</t>
        </is>
      </c>
      <c r="B228" s="6" t="n">
        <v>390.54</v>
      </c>
      <c r="C228" s="5">
        <f>(B228-B227)/B227</f>
        <v/>
      </c>
      <c r="D228" s="5">
        <f>NORMINV(RAND(), $C$6, $C$7)</f>
        <v/>
      </c>
      <c r="E228" s="5">
        <f>NORMINV(RAND(), $C$6, $C$7)</f>
        <v/>
      </c>
      <c r="F228" s="5">
        <f>NORMINV(RAND(), $C$6, $C$7)</f>
        <v/>
      </c>
      <c r="G228" s="5">
        <f>NORMINV(RAND(), $C$6, $C$7)</f>
        <v/>
      </c>
      <c r="H228" s="5">
        <f>NORMINV(RAND(), $C$6, $C$7)</f>
        <v/>
      </c>
      <c r="J228" t="inlineStr">
        <is>
          <t>2026-07-29</t>
        </is>
      </c>
      <c r="K228" s="6" t="n">
        <v>226.65</v>
      </c>
      <c r="L228" s="5">
        <f>(K228-K227)/K227</f>
        <v/>
      </c>
      <c r="M228" s="5">
        <f>NORMINV(RAND(), $L$6, $L$7)</f>
        <v/>
      </c>
      <c r="N228" s="5">
        <f>NORMINV(RAND(), $L$6, $L$7)</f>
        <v/>
      </c>
      <c r="O228" s="5">
        <f>NORMINV(RAND(), $L$6, $L$7)</f>
        <v/>
      </c>
      <c r="P228" s="5">
        <f>NORMINV(RAND(), $L$6, $L$7)</f>
        <v/>
      </c>
      <c r="Q228" s="5">
        <f>NORMINV(RAND(), $L$6, $L$7)</f>
        <v/>
      </c>
    </row>
    <row r="229">
      <c r="A229" t="inlineStr">
        <is>
          <t>2026-07-30</t>
        </is>
      </c>
      <c r="B229" s="6" t="n">
        <v>451.1</v>
      </c>
      <c r="C229" s="5">
        <f>(B229-B228)/B228</f>
        <v/>
      </c>
      <c r="D229" s="5">
        <f>NORMINV(RAND(), $C$6, $C$7)</f>
        <v/>
      </c>
      <c r="E229" s="5">
        <f>NORMINV(RAND(), $C$6, $C$7)</f>
        <v/>
      </c>
      <c r="F229" s="5">
        <f>NORMINV(RAND(), $C$6, $C$7)</f>
        <v/>
      </c>
      <c r="G229" s="5">
        <f>NORMINV(RAND(), $C$6, $C$7)</f>
        <v/>
      </c>
      <c r="H229" s="5">
        <f>NORMINV(RAND(), $C$6, $C$7)</f>
        <v/>
      </c>
      <c r="J229" t="inlineStr">
        <is>
          <t>2026-07-30</t>
        </is>
      </c>
      <c r="K229" s="6" t="n">
        <v>235.5</v>
      </c>
      <c r="L229" s="5">
        <f>(K229-K228)/K228</f>
        <v/>
      </c>
      <c r="M229" s="5">
        <f>NORMINV(RAND(), $L$6, $L$7)</f>
        <v/>
      </c>
      <c r="N229" s="5">
        <f>NORMINV(RAND(), $L$6, $L$7)</f>
        <v/>
      </c>
      <c r="O229" s="5">
        <f>NORMINV(RAND(), $L$6, $L$7)</f>
        <v/>
      </c>
      <c r="P229" s="5">
        <f>NORMINV(RAND(), $L$6, $L$7)</f>
        <v/>
      </c>
      <c r="Q229" s="5">
        <f>NORMINV(RAND(), $L$6, $L$7)</f>
        <v/>
      </c>
    </row>
    <row r="230">
      <c r="A230" t="inlineStr">
        <is>
          <t>2026-07-31</t>
        </is>
      </c>
      <c r="B230" s="6" t="n">
        <v>464.72</v>
      </c>
      <c r="C230" s="5">
        <f>(B230-B229)/B229</f>
        <v/>
      </c>
      <c r="D230" s="5">
        <f>NORMINV(RAND(), $C$6, $C$7)</f>
        <v/>
      </c>
      <c r="E230" s="5">
        <f>NORMINV(RAND(), $C$6, $C$7)</f>
        <v/>
      </c>
      <c r="F230" s="5">
        <f>NORMINV(RAND(), $C$6, $C$7)</f>
        <v/>
      </c>
      <c r="G230" s="5">
        <f>NORMINV(RAND(), $C$6, $C$7)</f>
        <v/>
      </c>
      <c r="H230" s="5">
        <f>NORMINV(RAND(), $C$6, $C$7)</f>
        <v/>
      </c>
      <c r="J230" t="inlineStr">
        <is>
          <t>2026-07-31</t>
        </is>
      </c>
      <c r="K230" s="6" t="n">
        <v>271.58</v>
      </c>
      <c r="L230" s="5">
        <f>(K230-K229)/K229</f>
        <v/>
      </c>
      <c r="M230" s="5">
        <f>NORMINV(RAND(), $L$6, $L$7)</f>
        <v/>
      </c>
      <c r="N230" s="5">
        <f>NORMINV(RAND(), $L$6, $L$7)</f>
        <v/>
      </c>
      <c r="O230" s="5">
        <f>NORMINV(RAND(), $L$6, $L$7)</f>
        <v/>
      </c>
      <c r="P230" s="5">
        <f>NORMINV(RAND(), $L$6, $L$7)</f>
        <v/>
      </c>
      <c r="Q230" s="5">
        <f>NORMINV(RAND(), $L$6, $L$7)</f>
        <v/>
      </c>
    </row>
    <row r="231">
      <c r="A231" t="inlineStr">
        <is>
          <t>2026-08-03</t>
        </is>
      </c>
      <c r="B231" s="6" t="n">
        <v>487.65</v>
      </c>
      <c r="C231" s="5">
        <f>(B231-B230)/B230</f>
        <v/>
      </c>
      <c r="D231" s="5">
        <f>NORMINV(RAND(), $C$6, $C$7)</f>
        <v/>
      </c>
      <c r="E231" s="5">
        <f>NORMINV(RAND(), $C$6, $C$7)</f>
        <v/>
      </c>
      <c r="F231" s="5">
        <f>NORMINV(RAND(), $C$6, $C$7)</f>
        <v/>
      </c>
      <c r="G231" s="5">
        <f>NORMINV(RAND(), $C$6, $C$7)</f>
        <v/>
      </c>
      <c r="H231" s="5">
        <f>NORMINV(RAND(), $C$6, $C$7)</f>
        <v/>
      </c>
      <c r="J231" t="inlineStr">
        <is>
          <t>2026-08-03</t>
        </is>
      </c>
      <c r="K231" s="6" t="n">
        <v>284.02</v>
      </c>
      <c r="L231" s="5">
        <f>(K231-K230)/K230</f>
        <v/>
      </c>
      <c r="M231" s="5">
        <f>NORMINV(RAND(), $L$6, $L$7)</f>
        <v/>
      </c>
      <c r="N231" s="5">
        <f>NORMINV(RAND(), $L$6, $L$7)</f>
        <v/>
      </c>
      <c r="O231" s="5">
        <f>NORMINV(RAND(), $L$6, $L$7)</f>
        <v/>
      </c>
      <c r="P231" s="5">
        <f>NORMINV(RAND(), $L$6, $L$7)</f>
        <v/>
      </c>
      <c r="Q231" s="5">
        <f>NORMINV(RAND(), $L$6, $L$7)</f>
        <v/>
      </c>
    </row>
    <row r="232">
      <c r="A232" t="inlineStr">
        <is>
          <t>2026-08-04</t>
        </is>
      </c>
      <c r="B232" s="6" t="n">
        <v>492.81</v>
      </c>
      <c r="C232" s="5">
        <f>(B232-B231)/B231</f>
        <v/>
      </c>
      <c r="D232" s="5">
        <f>NORMINV(RAND(), $C$6, $C$7)</f>
        <v/>
      </c>
      <c r="E232" s="5">
        <f>NORMINV(RAND(), $C$6, $C$7)</f>
        <v/>
      </c>
      <c r="F232" s="5">
        <f>NORMINV(RAND(), $C$6, $C$7)</f>
        <v/>
      </c>
      <c r="G232" s="5">
        <f>NORMINV(RAND(), $C$6, $C$7)</f>
        <v/>
      </c>
      <c r="H232" s="5">
        <f>NORMINV(RAND(), $C$6, $C$7)</f>
        <v/>
      </c>
      <c r="J232" t="inlineStr">
        <is>
          <t>2026-08-04</t>
        </is>
      </c>
      <c r="K232" s="6" t="n">
        <v>277.42</v>
      </c>
      <c r="L232" s="5">
        <f>(K232-K231)/K231</f>
        <v/>
      </c>
      <c r="M232" s="5">
        <f>NORMINV(RAND(), $L$6, $L$7)</f>
        <v/>
      </c>
      <c r="N232" s="5">
        <f>NORMINV(RAND(), $L$6, $L$7)</f>
        <v/>
      </c>
      <c r="O232" s="5">
        <f>NORMINV(RAND(), $L$6, $L$7)</f>
        <v/>
      </c>
      <c r="P232" s="5">
        <f>NORMINV(RAND(), $L$6, $L$7)</f>
        <v/>
      </c>
      <c r="Q232" s="5">
        <f>NORMINV(RAND(), $L$6, $L$7)</f>
        <v/>
      </c>
    </row>
    <row r="233">
      <c r="A233" t="inlineStr">
        <is>
          <t>2026-08-05</t>
        </is>
      </c>
      <c r="B233" s="6" t="n">
        <v>487.46</v>
      </c>
      <c r="C233" s="5">
        <f>(B233-B232)/B232</f>
        <v/>
      </c>
      <c r="D233" s="5">
        <f>NORMINV(RAND(), $C$6, $C$7)</f>
        <v/>
      </c>
      <c r="E233" s="5">
        <f>NORMINV(RAND(), $C$6, $C$7)</f>
        <v/>
      </c>
      <c r="F233" s="5">
        <f>NORMINV(RAND(), $C$6, $C$7)</f>
        <v/>
      </c>
      <c r="G233" s="5">
        <f>NORMINV(RAND(), $C$6, $C$7)</f>
        <v/>
      </c>
      <c r="H233" s="5">
        <f>NORMINV(RAND(), $C$6, $C$7)</f>
        <v/>
      </c>
      <c r="J233" t="inlineStr">
        <is>
          <t>2026-08-05</t>
        </is>
      </c>
      <c r="K233" s="6" t="n">
        <v>272.65</v>
      </c>
      <c r="L233" s="5">
        <f>(K233-K232)/K232</f>
        <v/>
      </c>
      <c r="M233" s="5">
        <f>NORMINV(RAND(), $L$6, $L$7)</f>
        <v/>
      </c>
      <c r="N233" s="5">
        <f>NORMINV(RAND(), $L$6, $L$7)</f>
        <v/>
      </c>
      <c r="O233" s="5">
        <f>NORMINV(RAND(), $L$6, $L$7)</f>
        <v/>
      </c>
      <c r="P233" s="5">
        <f>NORMINV(RAND(), $L$6, $L$7)</f>
        <v/>
      </c>
      <c r="Q233" s="5">
        <f>NORMINV(RAND(), $L$6, $L$7)</f>
        <v/>
      </c>
    </row>
    <row r="234">
      <c r="A234" t="inlineStr">
        <is>
          <t>2026-08-06</t>
        </is>
      </c>
      <c r="B234" s="6" t="n">
        <v>499.86</v>
      </c>
      <c r="C234" s="5">
        <f>(B234-B233)/B233</f>
        <v/>
      </c>
      <c r="D234" s="5">
        <f>NORMINV(RAND(), $C$6, $C$7)</f>
        <v/>
      </c>
      <c r="E234" s="5">
        <f>NORMINV(RAND(), $C$6, $C$7)</f>
        <v/>
      </c>
      <c r="F234" s="5">
        <f>NORMINV(RAND(), $C$6, $C$7)</f>
        <v/>
      </c>
      <c r="G234" s="5">
        <f>NORMINV(RAND(), $C$6, $C$7)</f>
        <v/>
      </c>
      <c r="H234" s="5">
        <f>NORMINV(RAND(), $C$6, $C$7)</f>
        <v/>
      </c>
      <c r="J234" t="inlineStr">
        <is>
          <t>2026-08-06</t>
        </is>
      </c>
      <c r="K234" s="6" t="n">
        <v>272.26</v>
      </c>
      <c r="L234" s="5">
        <f>(K234-K233)/K233</f>
        <v/>
      </c>
      <c r="M234" s="5">
        <f>NORMINV(RAND(), $L$6, $L$7)</f>
        <v/>
      </c>
      <c r="N234" s="5">
        <f>NORMINV(RAND(), $L$6, $L$7)</f>
        <v/>
      </c>
      <c r="O234" s="5">
        <f>NORMINV(RAND(), $L$6, $L$7)</f>
        <v/>
      </c>
      <c r="P234" s="5">
        <f>NORMINV(RAND(), $L$6, $L$7)</f>
        <v/>
      </c>
      <c r="Q234" s="5">
        <f>NORMINV(RAND(), $L$6, $L$7)</f>
        <v/>
      </c>
    </row>
    <row r="235">
      <c r="A235" t="inlineStr">
        <is>
          <t>2026-08-07</t>
        </is>
      </c>
      <c r="B235" s="6" t="n">
        <v>499.99</v>
      </c>
      <c r="C235" s="5">
        <f>(B235-B234)/B234</f>
        <v/>
      </c>
      <c r="D235" s="5">
        <f>NORMINV(RAND(), $C$6, $C$7)</f>
        <v/>
      </c>
      <c r="E235" s="5">
        <f>NORMINV(RAND(), $C$6, $C$7)</f>
        <v/>
      </c>
      <c r="F235" s="5">
        <f>NORMINV(RAND(), $C$6, $C$7)</f>
        <v/>
      </c>
      <c r="G235" s="5">
        <f>NORMINV(RAND(), $C$6, $C$7)</f>
        <v/>
      </c>
      <c r="H235" s="5">
        <f>NORMINV(RAND(), $C$6, $C$7)</f>
        <v/>
      </c>
      <c r="J235" t="inlineStr">
        <is>
          <t>2026-08-07</t>
        </is>
      </c>
      <c r="K235" s="6" t="n">
        <v>274.48</v>
      </c>
      <c r="L235" s="5">
        <f>(K235-K234)/K234</f>
        <v/>
      </c>
      <c r="M235" s="5">
        <f>NORMINV(RAND(), $L$6, $L$7)</f>
        <v/>
      </c>
      <c r="N235" s="5">
        <f>NORMINV(RAND(), $L$6, $L$7)</f>
        <v/>
      </c>
      <c r="O235" s="5">
        <f>NORMINV(RAND(), $L$6, $L$7)</f>
        <v/>
      </c>
      <c r="P235" s="5">
        <f>NORMINV(RAND(), $L$6, $L$7)</f>
        <v/>
      </c>
      <c r="Q235" s="5">
        <f>NORMINV(RAND(), $L$6, $L$7)</f>
        <v/>
      </c>
    </row>
    <row r="236">
      <c r="A236" t="inlineStr">
        <is>
          <t>2026-08-10</t>
        </is>
      </c>
      <c r="B236" s="6" t="n">
        <v>506.06</v>
      </c>
      <c r="C236" s="5">
        <f>(B236-B235)/B235</f>
        <v/>
      </c>
      <c r="D236" s="5">
        <f>NORMINV(RAND(), $C$6, $C$7)</f>
        <v/>
      </c>
      <c r="E236" s="5">
        <f>NORMINV(RAND(), $C$6, $C$7)</f>
        <v/>
      </c>
      <c r="F236" s="5">
        <f>NORMINV(RAND(), $C$6, $C$7)</f>
        <v/>
      </c>
      <c r="G236" s="5">
        <f>NORMINV(RAND(), $C$6, $C$7)</f>
        <v/>
      </c>
      <c r="H236" s="5">
        <f>NORMINV(RAND(), $C$6, $C$7)</f>
        <v/>
      </c>
      <c r="J236" t="inlineStr">
        <is>
          <t>2026-08-10</t>
        </is>
      </c>
      <c r="K236" s="6" t="n">
        <v>278.09</v>
      </c>
      <c r="L236" s="5">
        <f>(K236-K235)/K235</f>
        <v/>
      </c>
      <c r="M236" s="5">
        <f>NORMINV(RAND(), $L$6, $L$7)</f>
        <v/>
      </c>
      <c r="N236" s="5">
        <f>NORMINV(RAND(), $L$6, $L$7)</f>
        <v/>
      </c>
      <c r="O236" s="5">
        <f>NORMINV(RAND(), $L$6, $L$7)</f>
        <v/>
      </c>
      <c r="P236" s="5">
        <f>NORMINV(RAND(), $L$6, $L$7)</f>
        <v/>
      </c>
      <c r="Q236" s="5">
        <f>NORMINV(RAND(), $L$6, $L$7)</f>
        <v/>
      </c>
    </row>
    <row r="237">
      <c r="A237" t="inlineStr">
        <is>
          <t>2026-08-11</t>
        </is>
      </c>
      <c r="B237" s="6" t="n">
        <v>503.81</v>
      </c>
      <c r="C237" s="5">
        <f>(B237-B236)/B236</f>
        <v/>
      </c>
      <c r="D237" s="5">
        <f>NORMINV(RAND(), $C$6, $C$7)</f>
        <v/>
      </c>
      <c r="E237" s="5">
        <f>NORMINV(RAND(), $C$6, $C$7)</f>
        <v/>
      </c>
      <c r="F237" s="5">
        <f>NORMINV(RAND(), $C$6, $C$7)</f>
        <v/>
      </c>
      <c r="G237" s="5">
        <f>NORMINV(RAND(), $C$6, $C$7)</f>
        <v/>
      </c>
      <c r="H237" s="5">
        <f>NORMINV(RAND(), $C$6, $C$7)</f>
        <v/>
      </c>
      <c r="J237" t="inlineStr">
        <is>
          <t>2026-08-11</t>
        </is>
      </c>
      <c r="K237" s="6" t="n">
        <v>272.27</v>
      </c>
      <c r="L237" s="5">
        <f>(K237-K236)/K236</f>
        <v/>
      </c>
      <c r="M237" s="5">
        <f>NORMINV(RAND(), $L$6, $L$7)</f>
        <v/>
      </c>
      <c r="N237" s="5">
        <f>NORMINV(RAND(), $L$6, $L$7)</f>
        <v/>
      </c>
      <c r="O237" s="5">
        <f>NORMINV(RAND(), $L$6, $L$7)</f>
        <v/>
      </c>
      <c r="P237" s="5">
        <f>NORMINV(RAND(), $L$6, $L$7)</f>
        <v/>
      </c>
      <c r="Q237" s="5">
        <f>NORMINV(RAND(), $L$6, $L$7)</f>
        <v/>
      </c>
    </row>
    <row r="238">
      <c r="A238" t="inlineStr">
        <is>
          <t>2026-08-12</t>
        </is>
      </c>
      <c r="B238" s="6" t="n">
        <v>492.43</v>
      </c>
      <c r="C238" s="5">
        <f>(B238-B237)/B237</f>
        <v/>
      </c>
      <c r="D238" s="5">
        <f>NORMINV(RAND(), $C$6, $C$7)</f>
        <v/>
      </c>
      <c r="E238" s="5">
        <f>NORMINV(RAND(), $C$6, $C$7)</f>
        <v/>
      </c>
      <c r="F238" s="5">
        <f>NORMINV(RAND(), $C$6, $C$7)</f>
        <v/>
      </c>
      <c r="G238" s="5">
        <f>NORMINV(RAND(), $C$6, $C$7)</f>
        <v/>
      </c>
      <c r="H238" s="5">
        <f>NORMINV(RAND(), $C$6, $C$7)</f>
        <v/>
      </c>
      <c r="J238" t="inlineStr">
        <is>
          <t>2026-08-12</t>
        </is>
      </c>
      <c r="K238" s="6" t="n">
        <v>267.28</v>
      </c>
      <c r="L238" s="5">
        <f>(K238-K237)/K237</f>
        <v/>
      </c>
      <c r="M238" s="5">
        <f>NORMINV(RAND(), $L$6, $L$7)</f>
        <v/>
      </c>
      <c r="N238" s="5">
        <f>NORMINV(RAND(), $L$6, $L$7)</f>
        <v/>
      </c>
      <c r="O238" s="5">
        <f>NORMINV(RAND(), $L$6, $L$7)</f>
        <v/>
      </c>
      <c r="P238" s="5">
        <f>NORMINV(RAND(), $L$6, $L$7)</f>
        <v/>
      </c>
      <c r="Q238" s="5">
        <f>NORMINV(RAND(), $L$6, $L$7)</f>
        <v/>
      </c>
    </row>
    <row r="239">
      <c r="A239" t="inlineStr">
        <is>
          <t>2026-08-13</t>
        </is>
      </c>
      <c r="B239" s="6" t="n">
        <v>496.88</v>
      </c>
      <c r="C239" s="5">
        <f>(B239-B238)/B238</f>
        <v/>
      </c>
      <c r="D239" s="5">
        <f>NORMINV(RAND(), $C$6, $C$7)</f>
        <v/>
      </c>
      <c r="E239" s="5">
        <f>NORMINV(RAND(), $C$6, $C$7)</f>
        <v/>
      </c>
      <c r="F239" s="5">
        <f>NORMINV(RAND(), $C$6, $C$7)</f>
        <v/>
      </c>
      <c r="G239" s="5">
        <f>NORMINV(RAND(), $C$6, $C$7)</f>
        <v/>
      </c>
      <c r="H239" s="5">
        <f>NORMINV(RAND(), $C$6, $C$7)</f>
        <v/>
      </c>
      <c r="J239" t="inlineStr">
        <is>
          <t>2026-08-13</t>
        </is>
      </c>
      <c r="K239" s="6" t="n">
        <v>265.13</v>
      </c>
      <c r="L239" s="5">
        <f>(K239-K238)/K238</f>
        <v/>
      </c>
      <c r="M239" s="5">
        <f>NORMINV(RAND(), $L$6, $L$7)</f>
        <v/>
      </c>
      <c r="N239" s="5">
        <f>NORMINV(RAND(), $L$6, $L$7)</f>
        <v/>
      </c>
      <c r="O239" s="5">
        <f>NORMINV(RAND(), $L$6, $L$7)</f>
        <v/>
      </c>
      <c r="P239" s="5">
        <f>NORMINV(RAND(), $L$6, $L$7)</f>
        <v/>
      </c>
      <c r="Q239" s="5">
        <f>NORMINV(RAND(), $L$6, $L$7)</f>
        <v/>
      </c>
    </row>
    <row r="240">
      <c r="A240" t="inlineStr">
        <is>
          <t>2026-08-14</t>
        </is>
      </c>
      <c r="B240" s="6" t="n">
        <v>495.4</v>
      </c>
      <c r="C240" s="5">
        <f>(B240-B239)/B239</f>
        <v/>
      </c>
      <c r="D240" s="5">
        <f>NORMINV(RAND(), $C$6, $C$7)</f>
        <v/>
      </c>
      <c r="E240" s="5">
        <f>NORMINV(RAND(), $C$6, $C$7)</f>
        <v/>
      </c>
      <c r="F240" s="5">
        <f>NORMINV(RAND(), $C$6, $C$7)</f>
        <v/>
      </c>
      <c r="G240" s="5">
        <f>NORMINV(RAND(), $C$6, $C$7)</f>
        <v/>
      </c>
      <c r="H240" s="5">
        <f>NORMINV(RAND(), $C$6, $C$7)</f>
        <v/>
      </c>
      <c r="J240" t="inlineStr">
        <is>
          <t>2026-08-14</t>
        </is>
      </c>
      <c r="K240" s="6" t="n">
        <v>262.65</v>
      </c>
      <c r="L240" s="5">
        <f>(K240-K239)/K239</f>
        <v/>
      </c>
      <c r="M240" s="5">
        <f>NORMINV(RAND(), $L$6, $L$7)</f>
        <v/>
      </c>
      <c r="N240" s="5">
        <f>NORMINV(RAND(), $L$6, $L$7)</f>
        <v/>
      </c>
      <c r="O240" s="5">
        <f>NORMINV(RAND(), $L$6, $L$7)</f>
        <v/>
      </c>
      <c r="P240" s="5">
        <f>NORMINV(RAND(), $L$6, $L$7)</f>
        <v/>
      </c>
      <c r="Q240" s="5">
        <f>NORMINV(RAND(), $L$6, $L$7)</f>
        <v/>
      </c>
    </row>
    <row r="241">
      <c r="A241" t="inlineStr">
        <is>
          <t>2026-08-17</t>
        </is>
      </c>
      <c r="B241" s="6" t="n">
        <v>480.35</v>
      </c>
      <c r="C241" s="5">
        <f>(B241-B240)/B240</f>
        <v/>
      </c>
      <c r="D241" s="5">
        <f>NORMINV(RAND(), $C$6, $C$7)</f>
        <v/>
      </c>
      <c r="E241" s="5">
        <f>NORMINV(RAND(), $C$6, $C$7)</f>
        <v/>
      </c>
      <c r="F241" s="5">
        <f>NORMINV(RAND(), $C$6, $C$7)</f>
        <v/>
      </c>
      <c r="G241" s="5">
        <f>NORMINV(RAND(), $C$6, $C$7)</f>
        <v/>
      </c>
      <c r="H241" s="5">
        <f>NORMINV(RAND(), $C$6, $C$7)</f>
        <v/>
      </c>
      <c r="J241" t="inlineStr">
        <is>
          <t>2026-08-17</t>
        </is>
      </c>
      <c r="K241" s="6" t="n">
        <v>261.31</v>
      </c>
      <c r="L241" s="5">
        <f>(K241-K240)/K240</f>
        <v/>
      </c>
      <c r="M241" s="5">
        <f>NORMINV(RAND(), $L$6, $L$7)</f>
        <v/>
      </c>
      <c r="N241" s="5">
        <f>NORMINV(RAND(), $L$6, $L$7)</f>
        <v/>
      </c>
      <c r="O241" s="5">
        <f>NORMINV(RAND(), $L$6, $L$7)</f>
        <v/>
      </c>
      <c r="P241" s="5">
        <f>NORMINV(RAND(), $L$6, $L$7)</f>
        <v/>
      </c>
      <c r="Q241" s="5">
        <f>NORMINV(RAND(), $L$6, $L$7)</f>
        <v/>
      </c>
    </row>
    <row r="242">
      <c r="A242" t="inlineStr">
        <is>
          <t>2026-08-18</t>
        </is>
      </c>
      <c r="B242" s="6" t="n">
        <v>481.63</v>
      </c>
      <c r="C242" s="5">
        <f>(B242-B241)/B241</f>
        <v/>
      </c>
      <c r="D242" s="5">
        <f>NORMINV(RAND(), $C$6, $C$7)</f>
        <v/>
      </c>
      <c r="E242" s="5">
        <f>NORMINV(RAND(), $C$6, $C$7)</f>
        <v/>
      </c>
      <c r="F242" s="5">
        <f>NORMINV(RAND(), $C$6, $C$7)</f>
        <v/>
      </c>
      <c r="G242" s="5">
        <f>NORMINV(RAND(), $C$6, $C$7)</f>
        <v/>
      </c>
      <c r="H242" s="5">
        <f>NORMINV(RAND(), $C$6, $C$7)</f>
        <v/>
      </c>
      <c r="J242" t="inlineStr">
        <is>
          <t>2026-08-18</t>
        </is>
      </c>
      <c r="K242" s="6" t="n">
        <v>259.45</v>
      </c>
      <c r="L242" s="5">
        <f>(K242-K241)/K241</f>
        <v/>
      </c>
      <c r="M242" s="5">
        <f>NORMINV(RAND(), $L$6, $L$7)</f>
        <v/>
      </c>
      <c r="N242" s="5">
        <f>NORMINV(RAND(), $L$6, $L$7)</f>
        <v/>
      </c>
      <c r="O242" s="5">
        <f>NORMINV(RAND(), $L$6, $L$7)</f>
        <v/>
      </c>
      <c r="P242" s="5">
        <f>NORMINV(RAND(), $L$6, $L$7)</f>
        <v/>
      </c>
      <c r="Q242" s="5">
        <f>NORMINV(RAND(), $L$6, $L$7)</f>
        <v/>
      </c>
    </row>
    <row r="243">
      <c r="A243" t="inlineStr">
        <is>
          <t>2026-08-19</t>
        </is>
      </c>
      <c r="B243" s="6" t="n">
        <v>484.31</v>
      </c>
      <c r="C243" s="5">
        <f>(B243-B242)/B242</f>
        <v/>
      </c>
      <c r="D243" s="5">
        <f>NORMINV(RAND(), $C$6, $C$7)</f>
        <v/>
      </c>
      <c r="E243" s="5">
        <f>NORMINV(RAND(), $C$6, $C$7)</f>
        <v/>
      </c>
      <c r="F243" s="5">
        <f>NORMINV(RAND(), $C$6, $C$7)</f>
        <v/>
      </c>
      <c r="G243" s="5">
        <f>NORMINV(RAND(), $C$6, $C$7)</f>
        <v/>
      </c>
      <c r="H243" s="5">
        <f>NORMINV(RAND(), $C$6, $C$7)</f>
        <v/>
      </c>
      <c r="J243" t="inlineStr">
        <is>
          <t>2026-08-19</t>
        </is>
      </c>
      <c r="K243" s="6" t="n">
        <v>265.84</v>
      </c>
      <c r="L243" s="5">
        <f>(K243-K242)/K242</f>
        <v/>
      </c>
      <c r="M243" s="5">
        <f>NORMINV(RAND(), $L$6, $L$7)</f>
        <v/>
      </c>
      <c r="N243" s="5">
        <f>NORMINV(RAND(), $L$6, $L$7)</f>
        <v/>
      </c>
      <c r="O243" s="5">
        <f>NORMINV(RAND(), $L$6, $L$7)</f>
        <v/>
      </c>
      <c r="P243" s="5">
        <f>NORMINV(RAND(), $L$6, $L$7)</f>
        <v/>
      </c>
      <c r="Q243" s="5">
        <f>NORMINV(RAND(), $L$6, $L$7)</f>
        <v/>
      </c>
    </row>
    <row r="244">
      <c r="A244" t="inlineStr">
        <is>
          <t>2026-08-20</t>
        </is>
      </c>
      <c r="B244" s="6" t="n">
        <v>481.15</v>
      </c>
      <c r="C244" s="5">
        <f>(B244-B243)/B243</f>
        <v/>
      </c>
      <c r="D244" s="5">
        <f>NORMINV(RAND(), $C$6, $C$7)</f>
        <v/>
      </c>
      <c r="E244" s="5">
        <f>NORMINV(RAND(), $C$6, $C$7)</f>
        <v/>
      </c>
      <c r="F244" s="5">
        <f>NORMINV(RAND(), $C$6, $C$7)</f>
        <v/>
      </c>
      <c r="G244" s="5">
        <f>NORMINV(RAND(), $C$6, $C$7)</f>
        <v/>
      </c>
      <c r="H244" s="5">
        <f>NORMINV(RAND(), $C$6, $C$7)</f>
        <v/>
      </c>
      <c r="J244" t="inlineStr">
        <is>
          <t>2026-08-20</t>
        </is>
      </c>
      <c r="K244" s="6" t="n">
        <v>260.11</v>
      </c>
      <c r="L244" s="5">
        <f>(K244-K243)/K243</f>
        <v/>
      </c>
      <c r="M244" s="5">
        <f>NORMINV(RAND(), $L$6, $L$7)</f>
        <v/>
      </c>
      <c r="N244" s="5">
        <f>NORMINV(RAND(), $L$6, $L$7)</f>
        <v/>
      </c>
      <c r="O244" s="5">
        <f>NORMINV(RAND(), $L$6, $L$7)</f>
        <v/>
      </c>
      <c r="P244" s="5">
        <f>NORMINV(RAND(), $L$6, $L$7)</f>
        <v/>
      </c>
      <c r="Q244" s="5">
        <f>NORMINV(RAND(), $L$6, $L$7)</f>
        <v/>
      </c>
    </row>
    <row r="245">
      <c r="A245" t="inlineStr">
        <is>
          <t>2026-08-21</t>
        </is>
      </c>
      <c r="B245" s="6" t="n">
        <v>483.24</v>
      </c>
      <c r="C245" s="5">
        <f>(B245-B244)/B244</f>
        <v/>
      </c>
      <c r="D245" s="5">
        <f>NORMINV(RAND(), $C$6, $C$7)</f>
        <v/>
      </c>
      <c r="E245" s="5">
        <f>NORMINV(RAND(), $C$6, $C$7)</f>
        <v/>
      </c>
      <c r="F245" s="5">
        <f>NORMINV(RAND(), $C$6, $C$7)</f>
        <v/>
      </c>
      <c r="G245" s="5">
        <f>NORMINV(RAND(), $C$6, $C$7)</f>
        <v/>
      </c>
      <c r="H245" s="5">
        <f>NORMINV(RAND(), $C$6, $C$7)</f>
        <v/>
      </c>
      <c r="J245" t="inlineStr">
        <is>
          <t>2026-08-21</t>
        </is>
      </c>
      <c r="K245" s="6" t="n">
        <v>258.63</v>
      </c>
      <c r="L245" s="5">
        <f>(K245-K244)/K244</f>
        <v/>
      </c>
      <c r="M245" s="5">
        <f>NORMINV(RAND(), $L$6, $L$7)</f>
        <v/>
      </c>
      <c r="N245" s="5">
        <f>NORMINV(RAND(), $L$6, $L$7)</f>
        <v/>
      </c>
      <c r="O245" s="5">
        <f>NORMINV(RAND(), $L$6, $L$7)</f>
        <v/>
      </c>
      <c r="P245" s="5">
        <f>NORMINV(RAND(), $L$6, $L$7)</f>
        <v/>
      </c>
      <c r="Q245" s="5">
        <f>NORMINV(RAND(), $L$6, $L$7)</f>
        <v/>
      </c>
    </row>
    <row r="246">
      <c r="A246" t="inlineStr">
        <is>
          <t>2026-08-24</t>
        </is>
      </c>
      <c r="B246" s="6" t="n">
        <v>487.31</v>
      </c>
      <c r="C246" s="5">
        <f>(B246-B245)/B245</f>
        <v/>
      </c>
      <c r="D246" s="5">
        <f>NORMINV(RAND(), $C$6, $C$7)</f>
        <v/>
      </c>
      <c r="E246" s="5">
        <f>NORMINV(RAND(), $C$6, $C$7)</f>
        <v/>
      </c>
      <c r="F246" s="5">
        <f>NORMINV(RAND(), $C$6, $C$7)</f>
        <v/>
      </c>
      <c r="G246" s="5">
        <f>NORMINV(RAND(), $C$6, $C$7)</f>
        <v/>
      </c>
      <c r="H246" s="5">
        <f>NORMINV(RAND(), $C$6, $C$7)</f>
        <v/>
      </c>
      <c r="J246" t="inlineStr">
        <is>
          <t>2026-08-24</t>
        </is>
      </c>
      <c r="K246" s="6" t="n">
        <v>262.07</v>
      </c>
      <c r="L246" s="5">
        <f>(K246-K245)/K245</f>
        <v/>
      </c>
      <c r="M246" s="5">
        <f>NORMINV(RAND(), $L$6, $L$7)</f>
        <v/>
      </c>
      <c r="N246" s="5">
        <f>NORMINV(RAND(), $L$6, $L$7)</f>
        <v/>
      </c>
      <c r="O246" s="5">
        <f>NORMINV(RAND(), $L$6, $L$7)</f>
        <v/>
      </c>
      <c r="P246" s="5">
        <f>NORMINV(RAND(), $L$6, $L$7)</f>
        <v/>
      </c>
      <c r="Q246" s="5">
        <f>NORMINV(RAND(), $L$6, $L$7)</f>
        <v/>
      </c>
    </row>
    <row r="247">
      <c r="A247" t="inlineStr">
        <is>
          <t>2026-08-25</t>
        </is>
      </c>
      <c r="B247" s="6" t="n">
        <v>491.71</v>
      </c>
      <c r="C247" s="5">
        <f>(B247-B246)/B246</f>
        <v/>
      </c>
      <c r="D247" s="5">
        <f>NORMINV(RAND(), $C$6, $C$7)</f>
        <v/>
      </c>
      <c r="E247" s="5">
        <f>NORMINV(RAND(), $C$6, $C$7)</f>
        <v/>
      </c>
      <c r="F247" s="5">
        <f>NORMINV(RAND(), $C$6, $C$7)</f>
        <v/>
      </c>
      <c r="G247" s="5">
        <f>NORMINV(RAND(), $C$6, $C$7)</f>
        <v/>
      </c>
      <c r="H247" s="5">
        <f>NORMINV(RAND(), $C$6, $C$7)</f>
        <v/>
      </c>
      <c r="J247" t="inlineStr">
        <is>
          <t>2026-08-25</t>
        </is>
      </c>
      <c r="K247" s="6" t="n">
        <v>261.06</v>
      </c>
      <c r="L247" s="5">
        <f>(K247-K246)/K246</f>
        <v/>
      </c>
      <c r="M247" s="5">
        <f>NORMINV(RAND(), $L$6, $L$7)</f>
        <v/>
      </c>
      <c r="N247" s="5">
        <f>NORMINV(RAND(), $L$6, $L$7)</f>
        <v/>
      </c>
      <c r="O247" s="5">
        <f>NORMINV(RAND(), $L$6, $L$7)</f>
        <v/>
      </c>
      <c r="P247" s="5">
        <f>NORMINV(RAND(), $L$6, $L$7)</f>
        <v/>
      </c>
      <c r="Q247" s="5">
        <f>NORMINV(RAND(), $L$6, $L$7)</f>
        <v/>
      </c>
    </row>
    <row r="248">
      <c r="A248" t="inlineStr">
        <is>
          <t>2026-08-26</t>
        </is>
      </c>
      <c r="B248" s="6" t="n">
        <v>496.37</v>
      </c>
      <c r="C248" s="5">
        <f>(B248-B247)/B247</f>
        <v/>
      </c>
      <c r="D248" s="5">
        <f>NORMINV(RAND(), $C$6, $C$7)</f>
        <v/>
      </c>
      <c r="E248" s="5">
        <f>NORMINV(RAND(), $C$6, $C$7)</f>
        <v/>
      </c>
      <c r="F248" s="5">
        <f>NORMINV(RAND(), $C$6, $C$7)</f>
        <v/>
      </c>
      <c r="G248" s="5">
        <f>NORMINV(RAND(), $C$6, $C$7)</f>
        <v/>
      </c>
      <c r="H248" s="5">
        <f>NORMINV(RAND(), $C$6, $C$7)</f>
        <v/>
      </c>
      <c r="J248" t="inlineStr">
        <is>
          <t>2026-08-26</t>
        </is>
      </c>
      <c r="K248" s="6" t="n">
        <v>260.28</v>
      </c>
      <c r="L248" s="5">
        <f>(K248-K247)/K247</f>
        <v/>
      </c>
      <c r="M248" s="5">
        <f>NORMINV(RAND(), $L$6, $L$7)</f>
        <v/>
      </c>
      <c r="N248" s="5">
        <f>NORMINV(RAND(), $L$6, $L$7)</f>
        <v/>
      </c>
      <c r="O248" s="5">
        <f>NORMINV(RAND(), $L$6, $L$7)</f>
        <v/>
      </c>
      <c r="P248" s="5">
        <f>NORMINV(RAND(), $L$6, $L$7)</f>
        <v/>
      </c>
      <c r="Q248" s="5">
        <f>NORMINV(RAND(), $L$6, $L$7)</f>
        <v/>
      </c>
    </row>
    <row r="249">
      <c r="A249" t="inlineStr">
        <is>
          <t>2026-08-27</t>
        </is>
      </c>
      <c r="B249" s="6" t="n">
        <v>505.06</v>
      </c>
      <c r="C249" s="5">
        <f>(B249-B248)/B248</f>
        <v/>
      </c>
      <c r="D249" s="5">
        <f>NORMINV(RAND(), $C$6, $C$7)</f>
        <v/>
      </c>
      <c r="E249" s="5">
        <f>NORMINV(RAND(), $C$6, $C$7)</f>
        <v/>
      </c>
      <c r="F249" s="5">
        <f>NORMINV(RAND(), $C$6, $C$7)</f>
        <v/>
      </c>
      <c r="G249" s="5">
        <f>NORMINV(RAND(), $C$6, $C$7)</f>
        <v/>
      </c>
      <c r="H249" s="5">
        <f>NORMINV(RAND(), $C$6, $C$7)</f>
        <v/>
      </c>
      <c r="J249" t="inlineStr">
        <is>
          <t>2026-08-27</t>
        </is>
      </c>
      <c r="K249" s="6" t="n">
        <v>256.26</v>
      </c>
      <c r="L249" s="5">
        <f>(K249-K248)/K248</f>
        <v/>
      </c>
      <c r="M249" s="5">
        <f>NORMINV(RAND(), $L$6, $L$7)</f>
        <v/>
      </c>
      <c r="N249" s="5">
        <f>NORMINV(RAND(), $L$6, $L$7)</f>
        <v/>
      </c>
      <c r="O249" s="5">
        <f>NORMINV(RAND(), $L$6, $L$7)</f>
        <v/>
      </c>
      <c r="P249" s="5">
        <f>NORMINV(RAND(), $L$6, $L$7)</f>
        <v/>
      </c>
      <c r="Q249" s="5">
        <f>NORMINV(RAND(), $L$6, $L$7)</f>
        <v/>
      </c>
    </row>
    <row r="250">
      <c r="A250" t="inlineStr">
        <is>
          <t>2026-08-28</t>
        </is>
      </c>
      <c r="B250" s="6" t="n">
        <v>513.53</v>
      </c>
      <c r="C250" s="5">
        <f>(B250-B249)/B249</f>
        <v/>
      </c>
      <c r="D250" s="5">
        <f>NORMINV(RAND(), $C$6, $C$7)</f>
        <v/>
      </c>
      <c r="E250" s="5">
        <f>NORMINV(RAND(), $C$6, $C$7)</f>
        <v/>
      </c>
      <c r="F250" s="5">
        <f>NORMINV(RAND(), $C$6, $C$7)</f>
        <v/>
      </c>
      <c r="G250" s="5">
        <f>NORMINV(RAND(), $C$6, $C$7)</f>
        <v/>
      </c>
      <c r="H250" s="5">
        <f>NORMINV(RAND(), $C$6, $C$7)</f>
        <v/>
      </c>
      <c r="J250" t="inlineStr">
        <is>
          <t>2026-08-28</t>
        </is>
      </c>
      <c r="K250" s="6" t="n">
        <v>266.43</v>
      </c>
      <c r="L250" s="5">
        <f>(K250-K249)/K249</f>
        <v/>
      </c>
      <c r="M250" s="5">
        <f>NORMINV(RAND(), $L$6, $L$7)</f>
        <v/>
      </c>
      <c r="N250" s="5">
        <f>NORMINV(RAND(), $L$6, $L$7)</f>
        <v/>
      </c>
      <c r="O250" s="5">
        <f>NORMINV(RAND(), $L$6, $L$7)</f>
        <v/>
      </c>
      <c r="P250" s="5">
        <f>NORMINV(RAND(), $L$6, $L$7)</f>
        <v/>
      </c>
      <c r="Q250" s="5">
        <f>NORMINV(RAND(), $L$6, $L$7)</f>
        <v/>
      </c>
    </row>
    <row r="251">
      <c r="A251" t="inlineStr">
        <is>
          <t>2026-08-31</t>
        </is>
      </c>
      <c r="B251" s="6" t="n">
        <v>507.29</v>
      </c>
      <c r="C251" s="5">
        <f>(B251-B250)/B250</f>
        <v/>
      </c>
      <c r="D251" s="5">
        <f>NORMINV(RAND(), $C$6, $C$7)</f>
        <v/>
      </c>
      <c r="E251" s="5">
        <f>NORMINV(RAND(), $C$6, $C$7)</f>
        <v/>
      </c>
      <c r="F251" s="5">
        <f>NORMINV(RAND(), $C$6, $C$7)</f>
        <v/>
      </c>
      <c r="G251" s="5">
        <f>NORMINV(RAND(), $C$6, $C$7)</f>
        <v/>
      </c>
      <c r="H251" s="5">
        <f>NORMINV(RAND(), $C$6, $C$7)</f>
        <v/>
      </c>
      <c r="J251" t="inlineStr">
        <is>
          <t>2026-08-31</t>
        </is>
      </c>
      <c r="K251" s="6" t="n">
        <v>259.77</v>
      </c>
      <c r="L251" s="5">
        <f>(K251-K250)/K250</f>
        <v/>
      </c>
      <c r="M251" s="5">
        <f>NORMINV(RAND(), $L$6, $L$7)</f>
        <v/>
      </c>
      <c r="N251" s="5">
        <f>NORMINV(RAND(), $L$6, $L$7)</f>
        <v/>
      </c>
      <c r="O251" s="5">
        <f>NORMINV(RAND(), $L$6, $L$7)</f>
        <v/>
      </c>
      <c r="P251" s="5">
        <f>NORMINV(RAND(), $L$6, $L$7)</f>
        <v/>
      </c>
      <c r="Q251" s="5">
        <f>NORMINV(RAND(), $L$6, $L$7)</f>
        <v/>
      </c>
    </row>
    <row r="252">
      <c r="A252" t="inlineStr">
        <is>
          <t>2026-09-01</t>
        </is>
      </c>
      <c r="B252" s="6" t="n">
        <v>501.02</v>
      </c>
      <c r="C252" s="5">
        <f>(B252-B251)/B251</f>
        <v/>
      </c>
      <c r="D252" s="5">
        <f>NORMINV(RAND(), $C$6, $C$7)</f>
        <v/>
      </c>
      <c r="E252" s="5">
        <f>NORMINV(RAND(), $C$6, $C$7)</f>
        <v/>
      </c>
      <c r="F252" s="5">
        <f>NORMINV(RAND(), $C$6, $C$7)</f>
        <v/>
      </c>
      <c r="G252" s="5">
        <f>NORMINV(RAND(), $C$6, $C$7)</f>
        <v/>
      </c>
      <c r="H252" s="5">
        <f>NORMINV(RAND(), $C$6, $C$7)</f>
        <v/>
      </c>
      <c r="J252" t="inlineStr">
        <is>
          <t>2026-09-01</t>
        </is>
      </c>
      <c r="K252" s="6" t="n">
        <v>254.92</v>
      </c>
      <c r="L252" s="5">
        <f>(K252-K251)/K251</f>
        <v/>
      </c>
      <c r="M252" s="5">
        <f>NORMINV(RAND(), $L$6, $L$7)</f>
        <v/>
      </c>
      <c r="N252" s="5">
        <f>NORMINV(RAND(), $L$6, $L$7)</f>
        <v/>
      </c>
      <c r="O252" s="5">
        <f>NORMINV(RAND(), $L$6, $L$7)</f>
        <v/>
      </c>
      <c r="P252" s="5">
        <f>NORMINV(RAND(), $L$6, $L$7)</f>
        <v/>
      </c>
      <c r="Q252" s="5">
        <f>NORMINV(RAND(), $L$6, $L$7)</f>
        <v/>
      </c>
    </row>
    <row r="253">
      <c r="A253" t="inlineStr">
        <is>
          <t>2026-09-02</t>
        </is>
      </c>
      <c r="B253" s="6" t="n">
        <v>496.82</v>
      </c>
      <c r="C253" s="5">
        <f>(B253-B252)/B252</f>
        <v/>
      </c>
      <c r="D253" s="5">
        <f>NORMINV(RAND(), $C$6, $C$7)</f>
        <v/>
      </c>
      <c r="E253" s="5">
        <f>NORMINV(RAND(), $C$6, $C$7)</f>
        <v/>
      </c>
      <c r="F253" s="5">
        <f>NORMINV(RAND(), $C$6, $C$7)</f>
        <v/>
      </c>
      <c r="G253" s="5">
        <f>NORMINV(RAND(), $C$6, $C$7)</f>
        <v/>
      </c>
      <c r="H253" s="5">
        <f>NORMINV(RAND(), $C$6, $C$7)</f>
        <v/>
      </c>
      <c r="J253" t="inlineStr">
        <is>
          <t>2026-09-02</t>
        </is>
      </c>
      <c r="K253" s="6" t="n">
        <v>254.98</v>
      </c>
      <c r="L253" s="5">
        <f>(K253-K252)/K252</f>
        <v/>
      </c>
      <c r="M253" s="5">
        <f>NORMINV(RAND(), $L$6, $L$7)</f>
        <v/>
      </c>
      <c r="N253" s="5">
        <f>NORMINV(RAND(), $L$6, $L$7)</f>
        <v/>
      </c>
      <c r="O253" s="5">
        <f>NORMINV(RAND(), $L$6, $L$7)</f>
        <v/>
      </c>
      <c r="P253" s="5">
        <f>NORMINV(RAND(), $L$6, $L$7)</f>
        <v/>
      </c>
      <c r="Q253" s="5">
        <f>NORMINV(RAND(), $L$6, $L$7)</f>
        <v/>
      </c>
    </row>
    <row r="254">
      <c r="A254" t="inlineStr">
        <is>
          <t>2026-09-03</t>
        </is>
      </c>
      <c r="B254" s="6" t="n">
        <v>510.12</v>
      </c>
      <c r="C254" s="5">
        <f>(B254-B253)/B253</f>
        <v/>
      </c>
      <c r="D254" s="5">
        <f>NORMINV(RAND(), $C$6, $C$7)</f>
        <v/>
      </c>
      <c r="E254" s="5">
        <f>NORMINV(RAND(), $C$6, $C$7)</f>
        <v/>
      </c>
      <c r="F254" s="5">
        <f>NORMINV(RAND(), $C$6, $C$7)</f>
        <v/>
      </c>
      <c r="G254" s="5">
        <f>NORMINV(RAND(), $C$6, $C$7)</f>
        <v/>
      </c>
      <c r="H254" s="5">
        <f>NORMINV(RAND(), $C$6, $C$7)</f>
        <v/>
      </c>
      <c r="J254" t="inlineStr">
        <is>
          <t>2026-09-03</t>
        </is>
      </c>
      <c r="K254" s="6" t="n">
        <v>258.9</v>
      </c>
      <c r="L254" s="5">
        <f>(K254-K253)/K253</f>
        <v/>
      </c>
      <c r="M254" s="5">
        <f>NORMINV(RAND(), $L$6, $L$7)</f>
        <v/>
      </c>
      <c r="N254" s="5">
        <f>NORMINV(RAND(), $L$6, $L$7)</f>
        <v/>
      </c>
      <c r="O254" s="5">
        <f>NORMINV(RAND(), $L$6, $L$7)</f>
        <v/>
      </c>
      <c r="P254" s="5">
        <f>NORMINV(RAND(), $L$6, $L$7)</f>
        <v/>
      </c>
      <c r="Q254" s="5">
        <f>NORMINV(RAND(), $L$6, $L$7)</f>
        <v/>
      </c>
    </row>
    <row r="255">
      <c r="A255" t="inlineStr">
        <is>
          <t>2026-09-04</t>
        </is>
      </c>
      <c r="B255" s="6" t="n">
        <v>499.7</v>
      </c>
      <c r="C255" s="5">
        <f>(B255-B254)/B254</f>
        <v/>
      </c>
      <c r="D255" s="5">
        <f>NORMINV(RAND(), $C$6, $C$7)</f>
        <v/>
      </c>
      <c r="E255" s="5">
        <f>NORMINV(RAND(), $C$6, $C$7)</f>
        <v/>
      </c>
      <c r="F255" s="5">
        <f>NORMINV(RAND(), $C$6, $C$7)</f>
        <v/>
      </c>
      <c r="G255" s="5">
        <f>NORMINV(RAND(), $C$6, $C$7)</f>
        <v/>
      </c>
      <c r="H255" s="5">
        <f>NORMINV(RAND(), $C$6, $C$7)</f>
        <v/>
      </c>
      <c r="J255" t="inlineStr">
        <is>
          <t>2026-09-04</t>
        </is>
      </c>
      <c r="K255" s="6" t="n">
        <v>258.51</v>
      </c>
      <c r="L255" s="5">
        <f>(K255-K254)/K254</f>
        <v/>
      </c>
      <c r="M255" s="5">
        <f>NORMINV(RAND(), $L$6, $L$7)</f>
        <v/>
      </c>
      <c r="N255" s="5">
        <f>NORMINV(RAND(), $L$6, $L$7)</f>
        <v/>
      </c>
      <c r="O255" s="5">
        <f>NORMINV(RAND(), $L$6, $L$7)</f>
        <v/>
      </c>
      <c r="P255" s="5">
        <f>NORMINV(RAND(), $L$6, $L$7)</f>
        <v/>
      </c>
      <c r="Q255" s="5">
        <f>NORMINV(RAND(), $L$6, $L$7)</f>
        <v/>
      </c>
    </row>
    <row r="256">
      <c r="A256" t="inlineStr">
        <is>
          <t>2026-09-08</t>
        </is>
      </c>
      <c r="B256" s="6" t="n">
        <v>493.95</v>
      </c>
      <c r="C256" s="5">
        <f>(B256-B255)/B255</f>
        <v/>
      </c>
      <c r="D256" s="5">
        <f>NORMINV(RAND(), $C$6, $C$7)</f>
        <v/>
      </c>
      <c r="E256" s="5">
        <f>NORMINV(RAND(), $C$6, $C$7)</f>
        <v/>
      </c>
      <c r="F256" s="5">
        <f>NORMINV(RAND(), $C$6, $C$7)</f>
        <v/>
      </c>
      <c r="G256" s="5">
        <f>NORMINV(RAND(), $C$6, $C$7)</f>
        <v/>
      </c>
      <c r="H256" s="5">
        <f>NORMINV(RAND(), $C$6, $C$7)</f>
        <v/>
      </c>
      <c r="J256" t="inlineStr">
        <is>
          <t>2026-09-08</t>
        </is>
      </c>
      <c r="K256" s="6" t="n">
        <v>256.97</v>
      </c>
      <c r="L256" s="5">
        <f>(K256-K255)/K255</f>
        <v/>
      </c>
      <c r="M256" s="5">
        <f>NORMINV(RAND(), $L$6, $L$7)</f>
        <v/>
      </c>
      <c r="N256" s="5">
        <f>NORMINV(RAND(), $L$6, $L$7)</f>
        <v/>
      </c>
      <c r="O256" s="5">
        <f>NORMINV(RAND(), $L$6, $L$7)</f>
        <v/>
      </c>
      <c r="P256" s="5">
        <f>NORMINV(RAND(), $L$6, $L$7)</f>
        <v/>
      </c>
      <c r="Q256" s="5">
        <f>NORMINV(RAND(), $L$6, $L$7)</f>
        <v/>
      </c>
    </row>
    <row r="257">
      <c r="A257" t="inlineStr">
        <is>
          <t>2026-09-09</t>
        </is>
      </c>
      <c r="B257" s="6" t="n">
        <v>491.65</v>
      </c>
      <c r="C257" s="5">
        <f>(B257-B256)/B256</f>
        <v/>
      </c>
      <c r="D257" s="5">
        <f>NORMINV(RAND(), $C$6, $C$7)</f>
        <v/>
      </c>
      <c r="E257" s="5">
        <f>NORMINV(RAND(), $C$6, $C$7)</f>
        <v/>
      </c>
      <c r="F257" s="5">
        <f>NORMINV(RAND(), $C$6, $C$7)</f>
        <v/>
      </c>
      <c r="G257" s="5">
        <f>NORMINV(RAND(), $C$6, $C$7)</f>
        <v/>
      </c>
      <c r="H257" s="5">
        <f>NORMINV(RAND(), $C$6, $C$7)</f>
        <v/>
      </c>
      <c r="J257" t="inlineStr">
        <is>
          <t>2026-09-09</t>
        </is>
      </c>
      <c r="K257" s="6" t="n">
        <v>252.4</v>
      </c>
      <c r="L257" s="5">
        <f>(K257-K256)/K256</f>
        <v/>
      </c>
      <c r="M257" s="5">
        <f>NORMINV(RAND(), $L$6, $L$7)</f>
        <v/>
      </c>
      <c r="N257" s="5">
        <f>NORMINV(RAND(), $L$6, $L$7)</f>
        <v/>
      </c>
      <c r="O257" s="5">
        <f>NORMINV(RAND(), $L$6, $L$7)</f>
        <v/>
      </c>
      <c r="P257" s="5">
        <f>NORMINV(RAND(), $L$6, $L$7)</f>
        <v/>
      </c>
      <c r="Q257" s="5">
        <f>NORMINV(RAND(), $L$6, $L$7)</f>
        <v/>
      </c>
    </row>
    <row r="258">
      <c r="A258" t="inlineStr">
        <is>
          <t>2026-09-10</t>
        </is>
      </c>
      <c r="B258" s="6" t="n">
        <v>492.44</v>
      </c>
      <c r="C258" s="5">
        <f>(B258-B257)/B257</f>
        <v/>
      </c>
      <c r="D258" s="5">
        <f>NORMINV(RAND(), $C$6, $C$7)</f>
        <v/>
      </c>
      <c r="E258" s="5">
        <f>NORMINV(RAND(), $C$6, $C$7)</f>
        <v/>
      </c>
      <c r="F258" s="5">
        <f>NORMINV(RAND(), $C$6, $C$7)</f>
        <v/>
      </c>
      <c r="G258" s="5">
        <f>NORMINV(RAND(), $C$6, $C$7)</f>
        <v/>
      </c>
      <c r="H258" s="5">
        <f>NORMINV(RAND(), $C$6, $C$7)</f>
        <v/>
      </c>
      <c r="J258" t="inlineStr">
        <is>
          <t>2026-09-10</t>
        </is>
      </c>
      <c r="K258" s="6" t="n">
        <v>251.89</v>
      </c>
      <c r="L258" s="5">
        <f>(K258-K257)/K257</f>
        <v/>
      </c>
      <c r="M258" s="5">
        <f>NORMINV(RAND(), $L$6, $L$7)</f>
        <v/>
      </c>
      <c r="N258" s="5">
        <f>NORMINV(RAND(), $L$6, $L$7)</f>
        <v/>
      </c>
      <c r="O258" s="5">
        <f>NORMINV(RAND(), $L$6, $L$7)</f>
        <v/>
      </c>
      <c r="P258" s="5">
        <f>NORMINV(RAND(), $L$6, $L$7)</f>
        <v/>
      </c>
      <c r="Q258" s="5">
        <f>NORMINV(RAND(), $L$6, $L$7)</f>
        <v/>
      </c>
    </row>
    <row r="259">
      <c r="A259" t="inlineStr">
        <is>
          <t>2026-09-11</t>
        </is>
      </c>
      <c r="B259" s="6" t="n">
        <v>495.63</v>
      </c>
      <c r="C259" s="5">
        <f>(B259-B258)/B258</f>
        <v/>
      </c>
      <c r="D259" s="5">
        <f>NORMINV(RAND(), $C$6, $C$7)</f>
        <v/>
      </c>
      <c r="E259" s="5">
        <f>NORMINV(RAND(), $C$6, $C$7)</f>
        <v/>
      </c>
      <c r="F259" s="5">
        <f>NORMINV(RAND(), $C$6, $C$7)</f>
        <v/>
      </c>
      <c r="G259" s="5">
        <f>NORMINV(RAND(), $C$6, $C$7)</f>
        <v/>
      </c>
      <c r="H259" s="5">
        <f>NORMINV(RAND(), $C$6, $C$7)</f>
        <v/>
      </c>
      <c r="J259" t="inlineStr">
        <is>
          <t>2026-09-11</t>
        </is>
      </c>
      <c r="K259" s="6" t="n">
        <v>256.78</v>
      </c>
      <c r="L259" s="5">
        <f>(K259-K258)/K258</f>
        <v/>
      </c>
      <c r="M259" s="5">
        <f>NORMINV(RAND(), $L$6, $L$7)</f>
        <v/>
      </c>
      <c r="N259" s="5">
        <f>NORMINV(RAND(), $L$6, $L$7)</f>
        <v/>
      </c>
      <c r="O259" s="5">
        <f>NORMINV(RAND(), $L$6, $L$7)</f>
        <v/>
      </c>
      <c r="P259" s="5">
        <f>NORMINV(RAND(), $L$6, $L$7)</f>
        <v/>
      </c>
      <c r="Q259" s="5">
        <f>NORMINV(RAND(), $L$6, $L$7)</f>
        <v/>
      </c>
    </row>
    <row r="260">
      <c r="A260" t="inlineStr">
        <is>
          <t>2026-09-14</t>
        </is>
      </c>
      <c r="B260" s="6" t="n">
        <v>505.41</v>
      </c>
      <c r="C260" s="5">
        <f>(B260-B259)/B259</f>
        <v/>
      </c>
      <c r="D260" s="5">
        <f>NORMINV(RAND(), $C$6, $C$7)</f>
        <v/>
      </c>
      <c r="E260" s="5">
        <f>NORMINV(RAND(), $C$6, $C$7)</f>
        <v/>
      </c>
      <c r="F260" s="5">
        <f>NORMINV(RAND(), $C$6, $C$7)</f>
        <v/>
      </c>
      <c r="G260" s="5">
        <f>NORMINV(RAND(), $C$6, $C$7)</f>
        <v/>
      </c>
      <c r="H260" s="5">
        <f>NORMINV(RAND(), $C$6, $C$7)</f>
        <v/>
      </c>
      <c r="J260" t="inlineStr">
        <is>
          <t>2026-09-14</t>
        </is>
      </c>
      <c r="K260" s="6" t="n">
        <v>253.54</v>
      </c>
      <c r="L260" s="5">
        <f>(K260-K259)/K259</f>
        <v/>
      </c>
      <c r="M260" s="5">
        <f>NORMINV(RAND(), $L$6, $L$7)</f>
        <v/>
      </c>
      <c r="N260" s="5">
        <f>NORMINV(RAND(), $L$6, $L$7)</f>
        <v/>
      </c>
      <c r="O260" s="5">
        <f>NORMINV(RAND(), $L$6, $L$7)</f>
        <v/>
      </c>
      <c r="P260" s="5">
        <f>NORMINV(RAND(), $L$6, $L$7)</f>
        <v/>
      </c>
      <c r="Q260" s="5">
        <f>NORMINV(RAND(), $L$6, $L$7)</f>
        <v/>
      </c>
    </row>
    <row r="261">
      <c r="A261" t="inlineStr">
        <is>
          <t>2026-09-15</t>
        </is>
      </c>
      <c r="B261" s="6" t="n">
        <v>497.12</v>
      </c>
      <c r="C261" s="5">
        <f>(B261-B260)/B260</f>
        <v/>
      </c>
      <c r="D261" s="5">
        <f>NORMINV(RAND(), $C$6, $C$7)</f>
        <v/>
      </c>
      <c r="E261" s="5">
        <f>NORMINV(RAND(), $C$6, $C$7)</f>
        <v/>
      </c>
      <c r="F261" s="5">
        <f>NORMINV(RAND(), $C$6, $C$7)</f>
        <v/>
      </c>
      <c r="G261" s="5">
        <f>NORMINV(RAND(), $C$6, $C$7)</f>
        <v/>
      </c>
      <c r="H261" s="5">
        <f>NORMINV(RAND(), $C$6, $C$7)</f>
        <v/>
      </c>
      <c r="J261" t="inlineStr">
        <is>
          <t>2026-09-15</t>
        </is>
      </c>
      <c r="K261" s="6" t="n">
        <v>248.42</v>
      </c>
      <c r="L261" s="5">
        <f>(K261-K260)/K260</f>
        <v/>
      </c>
      <c r="M261" s="5">
        <f>NORMINV(RAND(), $L$6, $L$7)</f>
        <v/>
      </c>
      <c r="N261" s="5">
        <f>NORMINV(RAND(), $L$6, $L$7)</f>
        <v/>
      </c>
      <c r="O261" s="5">
        <f>NORMINV(RAND(), $L$6, $L$7)</f>
        <v/>
      </c>
      <c r="P261" s="5">
        <f>NORMINV(RAND(), $L$6, $L$7)</f>
        <v/>
      </c>
      <c r="Q261" s="5">
        <f>NORMINV(RAND(), $L$6, $L$7)</f>
        <v/>
      </c>
    </row>
    <row r="262">
      <c r="A262" t="inlineStr">
        <is>
          <t>2026-09-16</t>
        </is>
      </c>
      <c r="B262" s="6" t="n">
        <v>490.3</v>
      </c>
      <c r="C262" s="5">
        <f>(B262-B261)/B261</f>
        <v/>
      </c>
      <c r="D262" s="5">
        <f>NORMINV(RAND(), $C$6, $C$7)</f>
        <v/>
      </c>
      <c r="E262" s="5">
        <f>NORMINV(RAND(), $C$6, $C$7)</f>
        <v/>
      </c>
      <c r="F262" s="5">
        <f>NORMINV(RAND(), $C$6, $C$7)</f>
        <v/>
      </c>
      <c r="G262" s="5">
        <f>NORMINV(RAND(), $C$6, $C$7)</f>
        <v/>
      </c>
      <c r="H262" s="5">
        <f>NORMINV(RAND(), $C$6, $C$7)</f>
        <v/>
      </c>
      <c r="J262" t="inlineStr">
        <is>
          <t>2026-09-16</t>
        </is>
      </c>
      <c r="K262" s="6" t="n">
        <v>245.96</v>
      </c>
      <c r="L262" s="5">
        <f>(K262-K261)/K261</f>
        <v/>
      </c>
      <c r="M262" s="5">
        <f>NORMINV(RAND(), $L$6, $L$7)</f>
        <v/>
      </c>
      <c r="N262" s="5">
        <f>NORMINV(RAND(), $L$6, $L$7)</f>
        <v/>
      </c>
      <c r="O262" s="5">
        <f>NORMINV(RAND(), $L$6, $L$7)</f>
        <v/>
      </c>
      <c r="P262" s="5">
        <f>NORMINV(RAND(), $L$6, $L$7)</f>
        <v/>
      </c>
      <c r="Q262" s="5">
        <f>NORMINV(RAND(), $L$6, $L$7)</f>
        <v/>
      </c>
    </row>
    <row r="263">
      <c r="A263" t="inlineStr">
        <is>
          <t>2026-09-17</t>
        </is>
      </c>
      <c r="B263" s="6" t="n">
        <v>497.75</v>
      </c>
      <c r="C263" s="5">
        <f>(B263-B262)/B262</f>
        <v/>
      </c>
      <c r="D263" s="5">
        <f>NORMINV(RAND(), $C$6, $C$7)</f>
        <v/>
      </c>
      <c r="E263" s="5">
        <f>NORMINV(RAND(), $C$6, $C$7)</f>
        <v/>
      </c>
      <c r="F263" s="5">
        <f>NORMINV(RAND(), $C$6, $C$7)</f>
        <v/>
      </c>
      <c r="G263" s="5">
        <f>NORMINV(RAND(), $C$6, $C$7)</f>
        <v/>
      </c>
      <c r="H263" s="5">
        <f>NORMINV(RAND(), $C$6, $C$7)</f>
        <v/>
      </c>
      <c r="J263" t="inlineStr">
        <is>
          <t>2026-09-17</t>
        </is>
      </c>
      <c r="K263" s="6" t="n">
        <v>251.19</v>
      </c>
      <c r="L263" s="5">
        <f>(K263-K262)/K262</f>
        <v/>
      </c>
      <c r="M263" s="5">
        <f>NORMINV(RAND(), $L$6, $L$7)</f>
        <v/>
      </c>
      <c r="N263" s="5">
        <f>NORMINV(RAND(), $L$6, $L$7)</f>
        <v/>
      </c>
      <c r="O263" s="5">
        <f>NORMINV(RAND(), $L$6, $L$7)</f>
        <v/>
      </c>
      <c r="P263" s="5">
        <f>NORMINV(RAND(), $L$6, $L$7)</f>
        <v/>
      </c>
      <c r="Q263" s="5">
        <f>NORMINV(RAND(), $L$6, $L$7)</f>
        <v/>
      </c>
    </row>
    <row r="264">
      <c r="A264" t="inlineStr">
        <is>
          <t>2026-09-18</t>
        </is>
      </c>
      <c r="B264" s="6" t="n">
        <v>493.78</v>
      </c>
      <c r="C264" s="5">
        <f>(B264-B263)/B263</f>
        <v/>
      </c>
      <c r="D264" s="5">
        <f>NORMINV(RAND(), $C$6, $C$7)</f>
        <v/>
      </c>
      <c r="E264" s="5">
        <f>NORMINV(RAND(), $C$6, $C$7)</f>
        <v/>
      </c>
      <c r="F264" s="5">
        <f>NORMINV(RAND(), $C$6, $C$7)</f>
        <v/>
      </c>
      <c r="G264" s="5">
        <f>NORMINV(RAND(), $C$6, $C$7)</f>
        <v/>
      </c>
      <c r="H264" s="5">
        <f>NORMINV(RAND(), $C$6, $C$7)</f>
        <v/>
      </c>
      <c r="J264" t="inlineStr">
        <is>
          <t>2026-09-18</t>
        </is>
      </c>
      <c r="K264" s="6" t="n">
        <v>253.71</v>
      </c>
      <c r="L264" s="5">
        <f>(K264-K263)/K263</f>
        <v/>
      </c>
      <c r="M264" s="5">
        <f>NORMINV(RAND(), $L$6, $L$7)</f>
        <v/>
      </c>
      <c r="N264" s="5">
        <f>NORMINV(RAND(), $L$6, $L$7)</f>
        <v/>
      </c>
      <c r="O264" s="5">
        <f>NORMINV(RAND(), $L$6, $L$7)</f>
        <v/>
      </c>
      <c r="P264" s="5">
        <f>NORMINV(RAND(), $L$6, $L$7)</f>
        <v/>
      </c>
      <c r="Q264" s="5">
        <f>NORMINV(RAND(), $L$6, $L$7)</f>
        <v/>
      </c>
    </row>
    <row r="265">
      <c r="A265" t="inlineStr">
        <is>
          <t>2026-09-21</t>
        </is>
      </c>
      <c r="B265" s="6" t="n">
        <v>501.61</v>
      </c>
      <c r="C265" s="5">
        <f>(B265-B264)/B264</f>
        <v/>
      </c>
      <c r="D265" s="5">
        <f>NORMINV(RAND(), $C$6, $C$7)</f>
        <v/>
      </c>
      <c r="E265" s="5">
        <f>NORMINV(RAND(), $C$6, $C$7)</f>
        <v/>
      </c>
      <c r="F265" s="5">
        <f>NORMINV(RAND(), $C$6, $C$7)</f>
        <v/>
      </c>
      <c r="G265" s="5">
        <f>NORMINV(RAND(), $C$6, $C$7)</f>
        <v/>
      </c>
      <c r="H265" s="5">
        <f>NORMINV(RAND(), $C$6, $C$7)</f>
        <v/>
      </c>
      <c r="J265" t="inlineStr">
        <is>
          <t>2026-09-21</t>
        </is>
      </c>
      <c r="K265" s="6" t="n">
        <v>258.45</v>
      </c>
      <c r="L265" s="5">
        <f>(K265-K264)/K264</f>
        <v/>
      </c>
      <c r="M265" s="5">
        <f>NORMINV(RAND(), $L$6, $L$7)</f>
        <v/>
      </c>
      <c r="N265" s="5">
        <f>NORMINV(RAND(), $L$6, $L$7)</f>
        <v/>
      </c>
      <c r="O265" s="5">
        <f>NORMINV(RAND(), $L$6, $L$7)</f>
        <v/>
      </c>
      <c r="P265" s="5">
        <f>NORMINV(RAND(), $L$6, $L$7)</f>
        <v/>
      </c>
      <c r="Q265" s="5">
        <f>NORMINV(RAND(), $L$6, $L$7)</f>
        <v/>
      </c>
    </row>
  </sheetData>
  <mergeCells count="8">
    <mergeCell ref="S19:V20"/>
    <mergeCell ref="S22:V23"/>
    <mergeCell ref="S2:V2"/>
    <mergeCell ref="S17:V17"/>
    <mergeCell ref="A13:H13"/>
    <mergeCell ref="S25:V26"/>
    <mergeCell ref="J13:Q13"/>
    <mergeCell ref="S28:V2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2026-09-02T04:20:02Z</dcterms:created>
  <dcterms:modified xmlns:dcterms="http://purl.org/dc/terms/" xmlns:xsi="http://www.w3.org/2001/XMLSchema-instance" xsi:type="dcterms:W3CDTF">2026-09-22T04:34:32Z</dcterms:modified>
  <cp:lastModifiedBy>Geovany Bramanthya Samuel Sihombing</cp:lastModifiedBy>
</cp:coreProperties>
</file>