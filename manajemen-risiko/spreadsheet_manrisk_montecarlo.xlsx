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geova\.gemini\antigravity\scratch\"/>
    </mc:Choice>
  </mc:AlternateContent>
  <xr:revisionPtr revIDLastSave="0" documentId="13_ncr:1_{C207776F-BA8B-409B-9580-18798473503A}" xr6:coauthVersionLast="47" xr6:coauthVersionMax="47" xr10:uidLastSave="{00000000-0000-0000-0000-000000000000}"/>
  <bookViews>
    <workbookView xWindow="-120" yWindow="-120" windowWidth="29040" windowHeight="16440" xr2:uid="{00000000-000D-0000-FFFF-FFFF00000000}"/>
  </bookViews>
  <sheets>
    <sheet name="TUGAS 1" sheetId="1" r:id="rId1"/>
    <sheet name="TUGAS 2" sheetId="2" r:id="rId2"/>
    <sheet name="TUGAS 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265" i="3" l="1"/>
  <c r="C265" i="3"/>
  <c r="L264" i="3"/>
  <c r="C264" i="3"/>
  <c r="L263" i="3"/>
  <c r="C263" i="3"/>
  <c r="L262" i="3"/>
  <c r="C262" i="3"/>
  <c r="L261" i="3"/>
  <c r="C261" i="3"/>
  <c r="L260" i="3"/>
  <c r="C260" i="3"/>
  <c r="L259" i="3"/>
  <c r="C259" i="3"/>
  <c r="L258" i="3"/>
  <c r="C258" i="3"/>
  <c r="L257" i="3"/>
  <c r="C257" i="3"/>
  <c r="L256" i="3"/>
  <c r="C256" i="3"/>
  <c r="L255" i="3"/>
  <c r="C255" i="3"/>
  <c r="L254" i="3"/>
  <c r="C254" i="3"/>
  <c r="L253" i="3"/>
  <c r="C253" i="3"/>
  <c r="L252" i="3"/>
  <c r="C252" i="3"/>
  <c r="L251" i="3"/>
  <c r="C251" i="3"/>
  <c r="L250" i="3"/>
  <c r="C250" i="3"/>
  <c r="L249" i="3"/>
  <c r="C249" i="3"/>
  <c r="L248" i="3"/>
  <c r="C248" i="3"/>
  <c r="L247" i="3"/>
  <c r="C247" i="3"/>
  <c r="L246" i="3"/>
  <c r="C246" i="3"/>
  <c r="L245" i="3"/>
  <c r="C245" i="3"/>
  <c r="L244" i="3"/>
  <c r="C244" i="3"/>
  <c r="L243" i="3"/>
  <c r="C243" i="3"/>
  <c r="L242" i="3"/>
  <c r="C242" i="3"/>
  <c r="L241" i="3"/>
  <c r="C241" i="3"/>
  <c r="L240" i="3"/>
  <c r="C240" i="3"/>
  <c r="L239" i="3"/>
  <c r="C239" i="3"/>
  <c r="L238" i="3"/>
  <c r="C238" i="3"/>
  <c r="L237" i="3"/>
  <c r="C237" i="3"/>
  <c r="L236" i="3"/>
  <c r="C236" i="3"/>
  <c r="L235" i="3"/>
  <c r="C235" i="3"/>
  <c r="L234" i="3"/>
  <c r="C234" i="3"/>
  <c r="L233" i="3"/>
  <c r="C233" i="3"/>
  <c r="L232" i="3"/>
  <c r="C232" i="3"/>
  <c r="L231" i="3"/>
  <c r="C231" i="3"/>
  <c r="L230" i="3"/>
  <c r="C230" i="3"/>
  <c r="L229" i="3"/>
  <c r="C229" i="3"/>
  <c r="L228" i="3"/>
  <c r="C228" i="3"/>
  <c r="L227" i="3"/>
  <c r="C227" i="3"/>
  <c r="L226" i="3"/>
  <c r="C226" i="3"/>
  <c r="L225" i="3"/>
  <c r="C225" i="3"/>
  <c r="L224" i="3"/>
  <c r="C224" i="3"/>
  <c r="L223" i="3"/>
  <c r="C223" i="3"/>
  <c r="L222" i="3"/>
  <c r="C222" i="3"/>
  <c r="L221" i="3"/>
  <c r="C221" i="3"/>
  <c r="L220" i="3"/>
  <c r="C220" i="3"/>
  <c r="L219" i="3"/>
  <c r="C219" i="3"/>
  <c r="L218" i="3"/>
  <c r="C218" i="3"/>
  <c r="L217" i="3"/>
  <c r="C217" i="3"/>
  <c r="L216" i="3"/>
  <c r="C216" i="3"/>
  <c r="L215" i="3"/>
  <c r="C215" i="3"/>
  <c r="L214" i="3"/>
  <c r="C214" i="3"/>
  <c r="L213" i="3"/>
  <c r="C213" i="3"/>
  <c r="L212" i="3"/>
  <c r="C212" i="3"/>
  <c r="L211" i="3"/>
  <c r="C211" i="3"/>
  <c r="L210" i="3"/>
  <c r="C210" i="3"/>
  <c r="L209" i="3"/>
  <c r="C209" i="3"/>
  <c r="L208" i="3"/>
  <c r="C208" i="3"/>
  <c r="L207" i="3"/>
  <c r="C207" i="3"/>
  <c r="L206" i="3"/>
  <c r="C206" i="3"/>
  <c r="L205" i="3"/>
  <c r="C205" i="3"/>
  <c r="L204" i="3"/>
  <c r="C204" i="3"/>
  <c r="L203" i="3"/>
  <c r="C203" i="3"/>
  <c r="L202" i="3"/>
  <c r="C202" i="3"/>
  <c r="L201" i="3"/>
  <c r="C201" i="3"/>
  <c r="L200" i="3"/>
  <c r="C200" i="3"/>
  <c r="L199" i="3"/>
  <c r="C199" i="3"/>
  <c r="L198" i="3"/>
  <c r="C198" i="3"/>
  <c r="L197" i="3"/>
  <c r="C197" i="3"/>
  <c r="L196" i="3"/>
  <c r="C196" i="3"/>
  <c r="L195" i="3"/>
  <c r="C195" i="3"/>
  <c r="L194" i="3"/>
  <c r="C194" i="3"/>
  <c r="L193" i="3"/>
  <c r="C193" i="3"/>
  <c r="L192" i="3"/>
  <c r="C192" i="3"/>
  <c r="L191" i="3"/>
  <c r="C191" i="3"/>
  <c r="L190" i="3"/>
  <c r="C190" i="3"/>
  <c r="L189" i="3"/>
  <c r="C189" i="3"/>
  <c r="L188" i="3"/>
  <c r="C188" i="3"/>
  <c r="L187" i="3"/>
  <c r="C187" i="3"/>
  <c r="L186" i="3"/>
  <c r="C186" i="3"/>
  <c r="L185" i="3"/>
  <c r="C185" i="3"/>
  <c r="L184" i="3"/>
  <c r="C184" i="3"/>
  <c r="L183" i="3"/>
  <c r="C183" i="3"/>
  <c r="L182" i="3"/>
  <c r="C182" i="3"/>
  <c r="L181" i="3"/>
  <c r="C181" i="3"/>
  <c r="L180" i="3"/>
  <c r="C180" i="3"/>
  <c r="L179" i="3"/>
  <c r="C179" i="3"/>
  <c r="L178" i="3"/>
  <c r="C178" i="3"/>
  <c r="L177" i="3"/>
  <c r="C177" i="3"/>
  <c r="L176" i="3"/>
  <c r="C176" i="3"/>
  <c r="L175" i="3"/>
  <c r="C175" i="3"/>
  <c r="L174" i="3"/>
  <c r="C174" i="3"/>
  <c r="L173" i="3"/>
  <c r="C173" i="3"/>
  <c r="L172" i="3"/>
  <c r="C172" i="3"/>
  <c r="L171" i="3"/>
  <c r="C171" i="3"/>
  <c r="L170" i="3"/>
  <c r="C170" i="3"/>
  <c r="L169" i="3"/>
  <c r="C169" i="3"/>
  <c r="L168" i="3"/>
  <c r="C168" i="3"/>
  <c r="L167" i="3"/>
  <c r="C167" i="3"/>
  <c r="L166" i="3"/>
  <c r="C166" i="3"/>
  <c r="L165" i="3"/>
  <c r="C165" i="3"/>
  <c r="L164" i="3"/>
  <c r="C164" i="3"/>
  <c r="L163" i="3"/>
  <c r="C163" i="3"/>
  <c r="L162" i="3"/>
  <c r="C162" i="3"/>
  <c r="L161" i="3"/>
  <c r="C161" i="3"/>
  <c r="L160" i="3"/>
  <c r="C160" i="3"/>
  <c r="L159" i="3"/>
  <c r="C159" i="3"/>
  <c r="L158" i="3"/>
  <c r="C158" i="3"/>
  <c r="L157" i="3"/>
  <c r="C157" i="3"/>
  <c r="L156" i="3"/>
  <c r="C156" i="3"/>
  <c r="L155" i="3"/>
  <c r="C155" i="3"/>
  <c r="L154" i="3"/>
  <c r="C154" i="3"/>
  <c r="L153" i="3"/>
  <c r="C153" i="3"/>
  <c r="L152" i="3"/>
  <c r="C152" i="3"/>
  <c r="L151" i="3"/>
  <c r="C151" i="3"/>
  <c r="L150" i="3"/>
  <c r="C150" i="3"/>
  <c r="L149" i="3"/>
  <c r="C149" i="3"/>
  <c r="L148" i="3"/>
  <c r="C148" i="3"/>
  <c r="L147" i="3"/>
  <c r="C147" i="3"/>
  <c r="L146" i="3"/>
  <c r="C146" i="3"/>
  <c r="L145" i="3"/>
  <c r="C145" i="3"/>
  <c r="L144" i="3"/>
  <c r="C144" i="3"/>
  <c r="L143" i="3"/>
  <c r="C143" i="3"/>
  <c r="L142" i="3"/>
  <c r="C142" i="3"/>
  <c r="L141" i="3"/>
  <c r="C141" i="3"/>
  <c r="L140" i="3"/>
  <c r="C140" i="3"/>
  <c r="L139" i="3"/>
  <c r="C139" i="3"/>
  <c r="L138" i="3"/>
  <c r="C138" i="3"/>
  <c r="L137" i="3"/>
  <c r="C137" i="3"/>
  <c r="L136" i="3"/>
  <c r="C136" i="3"/>
  <c r="L135" i="3"/>
  <c r="C135" i="3"/>
  <c r="L134" i="3"/>
  <c r="C134" i="3"/>
  <c r="L133" i="3"/>
  <c r="C133" i="3"/>
  <c r="L132" i="3"/>
  <c r="C132" i="3"/>
  <c r="L131" i="3"/>
  <c r="C131" i="3"/>
  <c r="L130" i="3"/>
  <c r="C130" i="3"/>
  <c r="L129" i="3"/>
  <c r="C129" i="3"/>
  <c r="L128" i="3"/>
  <c r="C128" i="3"/>
  <c r="L127" i="3"/>
  <c r="C127" i="3"/>
  <c r="L126" i="3"/>
  <c r="C126" i="3"/>
  <c r="L125" i="3"/>
  <c r="C125" i="3"/>
  <c r="L124" i="3"/>
  <c r="C124" i="3"/>
  <c r="L123" i="3"/>
  <c r="C123" i="3"/>
  <c r="L122" i="3"/>
  <c r="C122" i="3"/>
  <c r="L121" i="3"/>
  <c r="C121" i="3"/>
  <c r="L120" i="3"/>
  <c r="C120" i="3"/>
  <c r="L119" i="3"/>
  <c r="C119" i="3"/>
  <c r="L118" i="3"/>
  <c r="C118" i="3"/>
  <c r="L117" i="3"/>
  <c r="C117" i="3"/>
  <c r="L116" i="3"/>
  <c r="C116" i="3"/>
  <c r="L115" i="3"/>
  <c r="C115" i="3"/>
  <c r="L114" i="3"/>
  <c r="C114" i="3"/>
  <c r="L113" i="3"/>
  <c r="C113" i="3"/>
  <c r="L112" i="3"/>
  <c r="C112" i="3"/>
  <c r="L111" i="3"/>
  <c r="C111" i="3"/>
  <c r="L110" i="3"/>
  <c r="C110" i="3"/>
  <c r="L109" i="3"/>
  <c r="C109" i="3"/>
  <c r="L108" i="3"/>
  <c r="C108" i="3"/>
  <c r="L107" i="3"/>
  <c r="C107" i="3"/>
  <c r="L106" i="3"/>
  <c r="C106" i="3"/>
  <c r="L105" i="3"/>
  <c r="C105" i="3"/>
  <c r="L104" i="3"/>
  <c r="C104" i="3"/>
  <c r="L103" i="3"/>
  <c r="C103" i="3"/>
  <c r="L102" i="3"/>
  <c r="C102" i="3"/>
  <c r="L101" i="3"/>
  <c r="C101" i="3"/>
  <c r="L100" i="3"/>
  <c r="C100" i="3"/>
  <c r="L99" i="3"/>
  <c r="C99" i="3"/>
  <c r="L98" i="3"/>
  <c r="C98" i="3"/>
  <c r="L97" i="3"/>
  <c r="C97" i="3"/>
  <c r="L96" i="3"/>
  <c r="C96" i="3"/>
  <c r="L95" i="3"/>
  <c r="C95" i="3"/>
  <c r="L94" i="3"/>
  <c r="C94" i="3"/>
  <c r="L93" i="3"/>
  <c r="C93" i="3"/>
  <c r="L92" i="3"/>
  <c r="C92" i="3"/>
  <c r="L91" i="3"/>
  <c r="C91" i="3"/>
  <c r="L90" i="3"/>
  <c r="C90" i="3"/>
  <c r="L89" i="3"/>
  <c r="C89" i="3"/>
  <c r="L88" i="3"/>
  <c r="C88" i="3"/>
  <c r="L87" i="3"/>
  <c r="C87" i="3"/>
  <c r="L86" i="3"/>
  <c r="C86" i="3"/>
  <c r="L85" i="3"/>
  <c r="C85" i="3"/>
  <c r="L84" i="3"/>
  <c r="C84" i="3"/>
  <c r="L83" i="3"/>
  <c r="C83" i="3"/>
  <c r="L82" i="3"/>
  <c r="C82" i="3"/>
  <c r="L81" i="3"/>
  <c r="C81" i="3"/>
  <c r="L80" i="3"/>
  <c r="C80" i="3"/>
  <c r="L79" i="3"/>
  <c r="C79" i="3"/>
  <c r="L78" i="3"/>
  <c r="C78" i="3"/>
  <c r="L77" i="3"/>
  <c r="C77" i="3"/>
  <c r="L76" i="3"/>
  <c r="C76" i="3"/>
  <c r="L75" i="3"/>
  <c r="C75" i="3"/>
  <c r="L74" i="3"/>
  <c r="C74" i="3"/>
  <c r="L73" i="3"/>
  <c r="C73" i="3"/>
  <c r="L72" i="3"/>
  <c r="C72" i="3"/>
  <c r="L71" i="3"/>
  <c r="C71" i="3"/>
  <c r="L70" i="3"/>
  <c r="C70" i="3"/>
  <c r="L69" i="3"/>
  <c r="C69" i="3"/>
  <c r="L68" i="3"/>
  <c r="C68" i="3"/>
  <c r="L67" i="3"/>
  <c r="C67" i="3"/>
  <c r="L66" i="3"/>
  <c r="C66" i="3"/>
  <c r="L65" i="3"/>
  <c r="C65" i="3"/>
  <c r="L64" i="3"/>
  <c r="C64" i="3"/>
  <c r="L63" i="3"/>
  <c r="C63" i="3"/>
  <c r="L62" i="3"/>
  <c r="C62" i="3"/>
  <c r="L61" i="3"/>
  <c r="C61" i="3"/>
  <c r="L60" i="3"/>
  <c r="C60" i="3"/>
  <c r="L59" i="3"/>
  <c r="C59" i="3"/>
  <c r="L58" i="3"/>
  <c r="C58" i="3"/>
  <c r="L57" i="3"/>
  <c r="C57" i="3"/>
  <c r="L56" i="3"/>
  <c r="C56" i="3"/>
  <c r="L55" i="3"/>
  <c r="C55" i="3"/>
  <c r="L54" i="3"/>
  <c r="C54" i="3"/>
  <c r="L53" i="3"/>
  <c r="C53" i="3"/>
  <c r="L52" i="3"/>
  <c r="C52" i="3"/>
  <c r="L51" i="3"/>
  <c r="C51" i="3"/>
  <c r="L50" i="3"/>
  <c r="C50" i="3"/>
  <c r="L49" i="3"/>
  <c r="C49" i="3"/>
  <c r="L48" i="3"/>
  <c r="C48" i="3"/>
  <c r="L47" i="3"/>
  <c r="C47" i="3"/>
  <c r="L46" i="3"/>
  <c r="C46" i="3"/>
  <c r="L45" i="3"/>
  <c r="C45" i="3"/>
  <c r="L44" i="3"/>
  <c r="C44" i="3"/>
  <c r="L43" i="3"/>
  <c r="C43" i="3"/>
  <c r="L42" i="3"/>
  <c r="C42" i="3"/>
  <c r="L41" i="3"/>
  <c r="C41" i="3"/>
  <c r="L40" i="3"/>
  <c r="C40" i="3"/>
  <c r="L39" i="3"/>
  <c r="C39" i="3"/>
  <c r="L38" i="3"/>
  <c r="C38" i="3"/>
  <c r="L37" i="3"/>
  <c r="C37" i="3"/>
  <c r="L36" i="3"/>
  <c r="C36" i="3"/>
  <c r="L35" i="3"/>
  <c r="C35" i="3"/>
  <c r="L34" i="3"/>
  <c r="C34" i="3"/>
  <c r="L33" i="3"/>
  <c r="C33" i="3"/>
  <c r="L32" i="3"/>
  <c r="C32" i="3"/>
  <c r="L31" i="3"/>
  <c r="C31" i="3"/>
  <c r="L30" i="3"/>
  <c r="C30" i="3"/>
  <c r="L29" i="3"/>
  <c r="C29" i="3"/>
  <c r="L28" i="3"/>
  <c r="C28" i="3"/>
  <c r="L27" i="3"/>
  <c r="C27" i="3"/>
  <c r="L26" i="3"/>
  <c r="C26" i="3"/>
  <c r="L25" i="3"/>
  <c r="C25" i="3"/>
  <c r="L24" i="3"/>
  <c r="C24" i="3"/>
  <c r="L23" i="3"/>
  <c r="C23" i="3"/>
  <c r="L22" i="3"/>
  <c r="C22" i="3"/>
  <c r="L21" i="3"/>
  <c r="C21" i="3"/>
  <c r="L20" i="3"/>
  <c r="C20" i="3"/>
  <c r="L19" i="3"/>
  <c r="C19" i="3"/>
  <c r="L18" i="3"/>
  <c r="C18" i="3"/>
  <c r="L17" i="3"/>
  <c r="C17" i="3"/>
  <c r="L16" i="3"/>
  <c r="C16" i="3"/>
  <c r="L8" i="3"/>
  <c r="C8" i="3"/>
  <c r="L5" i="3"/>
  <c r="C5" i="3"/>
  <c r="J262" i="2"/>
  <c r="C262" i="2"/>
  <c r="J261" i="2"/>
  <c r="C261" i="2"/>
  <c r="J260" i="2"/>
  <c r="C260" i="2"/>
  <c r="J259" i="2"/>
  <c r="C259" i="2"/>
  <c r="J258" i="2"/>
  <c r="C258" i="2"/>
  <c r="J257" i="2"/>
  <c r="C257" i="2"/>
  <c r="J256" i="2"/>
  <c r="C256" i="2"/>
  <c r="J255" i="2"/>
  <c r="C255" i="2"/>
  <c r="J254" i="2"/>
  <c r="C254" i="2"/>
  <c r="J253" i="2"/>
  <c r="C253" i="2"/>
  <c r="J252" i="2"/>
  <c r="C252" i="2"/>
  <c r="J251" i="2"/>
  <c r="C251" i="2"/>
  <c r="J250" i="2"/>
  <c r="C250" i="2"/>
  <c r="J249" i="2"/>
  <c r="C249" i="2"/>
  <c r="J248" i="2"/>
  <c r="C248" i="2"/>
  <c r="J247" i="2"/>
  <c r="C247" i="2"/>
  <c r="J246" i="2"/>
  <c r="C246" i="2"/>
  <c r="J245" i="2"/>
  <c r="C245" i="2"/>
  <c r="J244" i="2"/>
  <c r="C244" i="2"/>
  <c r="J243" i="2"/>
  <c r="C243" i="2"/>
  <c r="J242" i="2"/>
  <c r="C242" i="2"/>
  <c r="J241" i="2"/>
  <c r="C241" i="2"/>
  <c r="J240" i="2"/>
  <c r="C240" i="2"/>
  <c r="J239" i="2"/>
  <c r="C239" i="2"/>
  <c r="J238" i="2"/>
  <c r="C238" i="2"/>
  <c r="J237" i="2"/>
  <c r="C237" i="2"/>
  <c r="J236" i="2"/>
  <c r="C236" i="2"/>
  <c r="J235" i="2"/>
  <c r="C235" i="2"/>
  <c r="J234" i="2"/>
  <c r="C234" i="2"/>
  <c r="J233" i="2"/>
  <c r="C233" i="2"/>
  <c r="J232" i="2"/>
  <c r="C232" i="2"/>
  <c r="J231" i="2"/>
  <c r="C231" i="2"/>
  <c r="J230" i="2"/>
  <c r="C230" i="2"/>
  <c r="J229" i="2"/>
  <c r="C229" i="2"/>
  <c r="J228" i="2"/>
  <c r="C228" i="2"/>
  <c r="J227" i="2"/>
  <c r="C227" i="2"/>
  <c r="J226" i="2"/>
  <c r="C226" i="2"/>
  <c r="J225" i="2"/>
  <c r="C225" i="2"/>
  <c r="J224" i="2"/>
  <c r="C224" i="2"/>
  <c r="J223" i="2"/>
  <c r="C223" i="2"/>
  <c r="J222" i="2"/>
  <c r="C222" i="2"/>
  <c r="J221" i="2"/>
  <c r="C221" i="2"/>
  <c r="J220" i="2"/>
  <c r="C220" i="2"/>
  <c r="J219" i="2"/>
  <c r="C219" i="2"/>
  <c r="J218" i="2"/>
  <c r="C218" i="2"/>
  <c r="J217" i="2"/>
  <c r="C217" i="2"/>
  <c r="J216" i="2"/>
  <c r="C216" i="2"/>
  <c r="J215" i="2"/>
  <c r="C215" i="2"/>
  <c r="J214" i="2"/>
  <c r="C214" i="2"/>
  <c r="J213" i="2"/>
  <c r="C213" i="2"/>
  <c r="J212" i="2"/>
  <c r="C212" i="2"/>
  <c r="J211" i="2"/>
  <c r="C211" i="2"/>
  <c r="J210" i="2"/>
  <c r="C210" i="2"/>
  <c r="J209" i="2"/>
  <c r="C209" i="2"/>
  <c r="J208" i="2"/>
  <c r="C208" i="2"/>
  <c r="J207" i="2"/>
  <c r="C207" i="2"/>
  <c r="J206" i="2"/>
  <c r="C206" i="2"/>
  <c r="J205" i="2"/>
  <c r="C205" i="2"/>
  <c r="J204" i="2"/>
  <c r="C204" i="2"/>
  <c r="J203" i="2"/>
  <c r="C203" i="2"/>
  <c r="J202" i="2"/>
  <c r="C202" i="2"/>
  <c r="J201" i="2"/>
  <c r="C201" i="2"/>
  <c r="J200" i="2"/>
  <c r="C200" i="2"/>
  <c r="J199" i="2"/>
  <c r="C199" i="2"/>
  <c r="J198" i="2"/>
  <c r="C198" i="2"/>
  <c r="J197" i="2"/>
  <c r="C197" i="2"/>
  <c r="J196" i="2"/>
  <c r="C196" i="2"/>
  <c r="J195" i="2"/>
  <c r="C195" i="2"/>
  <c r="J194" i="2"/>
  <c r="C194" i="2"/>
  <c r="J193" i="2"/>
  <c r="C193" i="2"/>
  <c r="J192" i="2"/>
  <c r="C192" i="2"/>
  <c r="J191" i="2"/>
  <c r="C191" i="2"/>
  <c r="J190" i="2"/>
  <c r="C190" i="2"/>
  <c r="J189" i="2"/>
  <c r="C189" i="2"/>
  <c r="J188" i="2"/>
  <c r="C188" i="2"/>
  <c r="J187" i="2"/>
  <c r="C187" i="2"/>
  <c r="J186" i="2"/>
  <c r="C186" i="2"/>
  <c r="J185" i="2"/>
  <c r="C185" i="2"/>
  <c r="J184" i="2"/>
  <c r="C184" i="2"/>
  <c r="J183" i="2"/>
  <c r="C183" i="2"/>
  <c r="J182" i="2"/>
  <c r="C182" i="2"/>
  <c r="J181" i="2"/>
  <c r="C181" i="2"/>
  <c r="J180" i="2"/>
  <c r="C180" i="2"/>
  <c r="J179" i="2"/>
  <c r="C179" i="2"/>
  <c r="J178" i="2"/>
  <c r="C178" i="2"/>
  <c r="J177" i="2"/>
  <c r="C177" i="2"/>
  <c r="J176" i="2"/>
  <c r="C176" i="2"/>
  <c r="J175" i="2"/>
  <c r="C175" i="2"/>
  <c r="J174" i="2"/>
  <c r="C174" i="2"/>
  <c r="J173" i="2"/>
  <c r="C173" i="2"/>
  <c r="J172" i="2"/>
  <c r="C172" i="2"/>
  <c r="J171" i="2"/>
  <c r="C171" i="2"/>
  <c r="J170" i="2"/>
  <c r="C170" i="2"/>
  <c r="J169" i="2"/>
  <c r="C169" i="2"/>
  <c r="J168" i="2"/>
  <c r="C168" i="2"/>
  <c r="J167" i="2"/>
  <c r="C167" i="2"/>
  <c r="J166" i="2"/>
  <c r="C166" i="2"/>
  <c r="J165" i="2"/>
  <c r="C165" i="2"/>
  <c r="J164" i="2"/>
  <c r="C164" i="2"/>
  <c r="J163" i="2"/>
  <c r="C163" i="2"/>
  <c r="J162" i="2"/>
  <c r="C162" i="2"/>
  <c r="J161" i="2"/>
  <c r="C161" i="2"/>
  <c r="J160" i="2"/>
  <c r="C160" i="2"/>
  <c r="J159" i="2"/>
  <c r="C159" i="2"/>
  <c r="J158" i="2"/>
  <c r="C158" i="2"/>
  <c r="J157" i="2"/>
  <c r="C157" i="2"/>
  <c r="J156" i="2"/>
  <c r="C156" i="2"/>
  <c r="J155" i="2"/>
  <c r="C155" i="2"/>
  <c r="J154" i="2"/>
  <c r="C154" i="2"/>
  <c r="J153" i="2"/>
  <c r="C153" i="2"/>
  <c r="J152" i="2"/>
  <c r="C152" i="2"/>
  <c r="J151" i="2"/>
  <c r="C151" i="2"/>
  <c r="J150" i="2"/>
  <c r="C150" i="2"/>
  <c r="J149" i="2"/>
  <c r="C149" i="2"/>
  <c r="J148" i="2"/>
  <c r="C148" i="2"/>
  <c r="J147" i="2"/>
  <c r="C147" i="2"/>
  <c r="J146" i="2"/>
  <c r="C146" i="2"/>
  <c r="J145" i="2"/>
  <c r="C145" i="2"/>
  <c r="J144" i="2"/>
  <c r="C144" i="2"/>
  <c r="J143" i="2"/>
  <c r="C143" i="2"/>
  <c r="J142" i="2"/>
  <c r="C142" i="2"/>
  <c r="J141" i="2"/>
  <c r="C141" i="2"/>
  <c r="J140" i="2"/>
  <c r="C140" i="2"/>
  <c r="J139" i="2"/>
  <c r="C139" i="2"/>
  <c r="J138" i="2"/>
  <c r="C138" i="2"/>
  <c r="J137" i="2"/>
  <c r="C137" i="2"/>
  <c r="J136" i="2"/>
  <c r="C136" i="2"/>
  <c r="J135" i="2"/>
  <c r="C135" i="2"/>
  <c r="J134" i="2"/>
  <c r="C134" i="2"/>
  <c r="J133" i="2"/>
  <c r="C133" i="2"/>
  <c r="J132" i="2"/>
  <c r="C132" i="2"/>
  <c r="J131" i="2"/>
  <c r="C131" i="2"/>
  <c r="J130" i="2"/>
  <c r="C130" i="2"/>
  <c r="J129" i="2"/>
  <c r="C129" i="2"/>
  <c r="J128" i="2"/>
  <c r="C128" i="2"/>
  <c r="J127" i="2"/>
  <c r="C127" i="2"/>
  <c r="J126" i="2"/>
  <c r="C126" i="2"/>
  <c r="J125" i="2"/>
  <c r="C125" i="2"/>
  <c r="J124" i="2"/>
  <c r="C124" i="2"/>
  <c r="J123" i="2"/>
  <c r="C123" i="2"/>
  <c r="J122" i="2"/>
  <c r="C122" i="2"/>
  <c r="J121" i="2"/>
  <c r="C121" i="2"/>
  <c r="J120" i="2"/>
  <c r="C120" i="2"/>
  <c r="J119" i="2"/>
  <c r="C119" i="2"/>
  <c r="J118" i="2"/>
  <c r="C118" i="2"/>
  <c r="J117" i="2"/>
  <c r="C117" i="2"/>
  <c r="J116" i="2"/>
  <c r="C116" i="2"/>
  <c r="J115" i="2"/>
  <c r="C115" i="2"/>
  <c r="J114" i="2"/>
  <c r="C114" i="2"/>
  <c r="J113" i="2"/>
  <c r="C113" i="2"/>
  <c r="J112" i="2"/>
  <c r="C112" i="2"/>
  <c r="J111" i="2"/>
  <c r="C111" i="2"/>
  <c r="J110" i="2"/>
  <c r="C110" i="2"/>
  <c r="J109" i="2"/>
  <c r="C109" i="2"/>
  <c r="J108" i="2"/>
  <c r="C108" i="2"/>
  <c r="J107" i="2"/>
  <c r="C107" i="2"/>
  <c r="J106" i="2"/>
  <c r="C106" i="2"/>
  <c r="J105" i="2"/>
  <c r="C105" i="2"/>
  <c r="J104" i="2"/>
  <c r="C104" i="2"/>
  <c r="J103" i="2"/>
  <c r="C103" i="2"/>
  <c r="J102" i="2"/>
  <c r="C102" i="2"/>
  <c r="J101" i="2"/>
  <c r="C101" i="2"/>
  <c r="J100" i="2"/>
  <c r="C100" i="2"/>
  <c r="J99" i="2"/>
  <c r="C99" i="2"/>
  <c r="J98" i="2"/>
  <c r="C98" i="2"/>
  <c r="J97" i="2"/>
  <c r="C97" i="2"/>
  <c r="J96" i="2"/>
  <c r="C96" i="2"/>
  <c r="J95" i="2"/>
  <c r="C95" i="2"/>
  <c r="J94" i="2"/>
  <c r="C94" i="2"/>
  <c r="J93" i="2"/>
  <c r="C93" i="2"/>
  <c r="J92" i="2"/>
  <c r="C92" i="2"/>
  <c r="J91" i="2"/>
  <c r="C91" i="2"/>
  <c r="J90" i="2"/>
  <c r="C90" i="2"/>
  <c r="J89" i="2"/>
  <c r="C89" i="2"/>
  <c r="J88" i="2"/>
  <c r="C88" i="2"/>
  <c r="J87" i="2"/>
  <c r="C87" i="2"/>
  <c r="J86" i="2"/>
  <c r="C86" i="2"/>
  <c r="J85" i="2"/>
  <c r="C85" i="2"/>
  <c r="J84" i="2"/>
  <c r="C84" i="2"/>
  <c r="J83" i="2"/>
  <c r="C83" i="2"/>
  <c r="J82" i="2"/>
  <c r="C82" i="2"/>
  <c r="J81" i="2"/>
  <c r="C81" i="2"/>
  <c r="J80" i="2"/>
  <c r="C80" i="2"/>
  <c r="J79" i="2"/>
  <c r="C79" i="2"/>
  <c r="J78" i="2"/>
  <c r="C78" i="2"/>
  <c r="J77" i="2"/>
  <c r="C77" i="2"/>
  <c r="J76" i="2"/>
  <c r="C76" i="2"/>
  <c r="J75" i="2"/>
  <c r="C75" i="2"/>
  <c r="J74" i="2"/>
  <c r="C74" i="2"/>
  <c r="J73" i="2"/>
  <c r="C73" i="2"/>
  <c r="J72" i="2"/>
  <c r="C72" i="2"/>
  <c r="J71" i="2"/>
  <c r="C71" i="2"/>
  <c r="J70" i="2"/>
  <c r="C70" i="2"/>
  <c r="J69" i="2"/>
  <c r="C69" i="2"/>
  <c r="J68" i="2"/>
  <c r="C68" i="2"/>
  <c r="J67" i="2"/>
  <c r="C67" i="2"/>
  <c r="J66" i="2"/>
  <c r="C66" i="2"/>
  <c r="J65" i="2"/>
  <c r="C65" i="2"/>
  <c r="J64" i="2"/>
  <c r="C64" i="2"/>
  <c r="J63" i="2"/>
  <c r="C63" i="2"/>
  <c r="J62" i="2"/>
  <c r="C62" i="2"/>
  <c r="J61" i="2"/>
  <c r="C61" i="2"/>
  <c r="J60" i="2"/>
  <c r="C60" i="2"/>
  <c r="J59" i="2"/>
  <c r="C59" i="2"/>
  <c r="J58" i="2"/>
  <c r="C58" i="2"/>
  <c r="J57" i="2"/>
  <c r="C57" i="2"/>
  <c r="J56" i="2"/>
  <c r="C56" i="2"/>
  <c r="J55" i="2"/>
  <c r="C55" i="2"/>
  <c r="J54" i="2"/>
  <c r="C54" i="2"/>
  <c r="J53" i="2"/>
  <c r="C53" i="2"/>
  <c r="J52" i="2"/>
  <c r="C52" i="2"/>
  <c r="J51" i="2"/>
  <c r="C51" i="2"/>
  <c r="J50" i="2"/>
  <c r="C50" i="2"/>
  <c r="J49" i="2"/>
  <c r="C49" i="2"/>
  <c r="J48" i="2"/>
  <c r="C48" i="2"/>
  <c r="J47" i="2"/>
  <c r="C47" i="2"/>
  <c r="J46" i="2"/>
  <c r="C46" i="2"/>
  <c r="J45" i="2"/>
  <c r="C45" i="2"/>
  <c r="J44" i="2"/>
  <c r="C44" i="2"/>
  <c r="J43" i="2"/>
  <c r="C43" i="2"/>
  <c r="J42" i="2"/>
  <c r="C42" i="2"/>
  <c r="J41" i="2"/>
  <c r="C41" i="2"/>
  <c r="J40" i="2"/>
  <c r="C40" i="2"/>
  <c r="J39" i="2"/>
  <c r="C39" i="2"/>
  <c r="J38" i="2"/>
  <c r="C38" i="2"/>
  <c r="J37" i="2"/>
  <c r="C37" i="2"/>
  <c r="J36" i="2"/>
  <c r="C36" i="2"/>
  <c r="J35" i="2"/>
  <c r="C35" i="2"/>
  <c r="J34" i="2"/>
  <c r="C34" i="2"/>
  <c r="J33" i="2"/>
  <c r="C33" i="2"/>
  <c r="J32" i="2"/>
  <c r="C32" i="2"/>
  <c r="J31" i="2"/>
  <c r="C31" i="2"/>
  <c r="J30" i="2"/>
  <c r="C30" i="2"/>
  <c r="J29" i="2"/>
  <c r="C29" i="2"/>
  <c r="J28" i="2"/>
  <c r="C28" i="2"/>
  <c r="J27" i="2"/>
  <c r="C27" i="2"/>
  <c r="J26" i="2"/>
  <c r="C26" i="2"/>
  <c r="J25" i="2"/>
  <c r="C25" i="2"/>
  <c r="J24" i="2"/>
  <c r="C24" i="2"/>
  <c r="J23" i="2"/>
  <c r="C23" i="2"/>
  <c r="J22" i="2"/>
  <c r="C22" i="2"/>
  <c r="J21" i="2"/>
  <c r="C21" i="2"/>
  <c r="J20" i="2"/>
  <c r="C20" i="2"/>
  <c r="J19" i="2"/>
  <c r="C19" i="2"/>
  <c r="J18" i="2"/>
  <c r="C18" i="2"/>
  <c r="J17" i="2"/>
  <c r="C17" i="2"/>
  <c r="J16" i="2"/>
  <c r="C16" i="2"/>
  <c r="J15" i="2"/>
  <c r="C15" i="2"/>
  <c r="J14" i="2"/>
  <c r="C14" i="2"/>
  <c r="J13" i="2"/>
  <c r="C13" i="2"/>
  <c r="J5" i="2"/>
  <c r="C5" i="2"/>
  <c r="J4" i="2"/>
  <c r="C4" i="2"/>
  <c r="J263" i="1"/>
  <c r="C263" i="1"/>
  <c r="J262" i="1"/>
  <c r="C262" i="1"/>
  <c r="J261" i="1"/>
  <c r="C261" i="1"/>
  <c r="J260" i="1"/>
  <c r="C260" i="1"/>
  <c r="J259" i="1"/>
  <c r="C259" i="1"/>
  <c r="J258" i="1"/>
  <c r="C258" i="1"/>
  <c r="J257" i="1"/>
  <c r="C257" i="1"/>
  <c r="J256" i="1"/>
  <c r="C256" i="1"/>
  <c r="J255" i="1"/>
  <c r="C255" i="1"/>
  <c r="J254" i="1"/>
  <c r="C254" i="1"/>
  <c r="J253" i="1"/>
  <c r="C253" i="1"/>
  <c r="J252" i="1"/>
  <c r="C252" i="1"/>
  <c r="J251" i="1"/>
  <c r="C251" i="1"/>
  <c r="J250" i="1"/>
  <c r="C250" i="1"/>
  <c r="J249" i="1"/>
  <c r="C249" i="1"/>
  <c r="J248" i="1"/>
  <c r="C248" i="1"/>
  <c r="J247" i="1"/>
  <c r="C247" i="1"/>
  <c r="J246" i="1"/>
  <c r="C246" i="1"/>
  <c r="J245" i="1"/>
  <c r="C245" i="1"/>
  <c r="J244" i="1"/>
  <c r="C244" i="1"/>
  <c r="J243" i="1"/>
  <c r="C243" i="1"/>
  <c r="J242" i="1"/>
  <c r="C242" i="1"/>
  <c r="J241" i="1"/>
  <c r="C241" i="1"/>
  <c r="J240" i="1"/>
  <c r="C240" i="1"/>
  <c r="J239" i="1"/>
  <c r="C239" i="1"/>
  <c r="J238" i="1"/>
  <c r="C238" i="1"/>
  <c r="J237" i="1"/>
  <c r="C237" i="1"/>
  <c r="J236" i="1"/>
  <c r="C236" i="1"/>
  <c r="J235" i="1"/>
  <c r="C235" i="1"/>
  <c r="J234" i="1"/>
  <c r="C234" i="1"/>
  <c r="J233" i="1"/>
  <c r="C233" i="1"/>
  <c r="J232" i="1"/>
  <c r="C232" i="1"/>
  <c r="J231" i="1"/>
  <c r="C231" i="1"/>
  <c r="J230" i="1"/>
  <c r="C230" i="1"/>
  <c r="J229" i="1"/>
  <c r="C229" i="1"/>
  <c r="J228" i="1"/>
  <c r="C228" i="1"/>
  <c r="J227" i="1"/>
  <c r="C227" i="1"/>
  <c r="J226" i="1"/>
  <c r="C226" i="1"/>
  <c r="J225" i="1"/>
  <c r="C225" i="1"/>
  <c r="J224" i="1"/>
  <c r="C224" i="1"/>
  <c r="J223" i="1"/>
  <c r="C223" i="1"/>
  <c r="J222" i="1"/>
  <c r="C222" i="1"/>
  <c r="J221" i="1"/>
  <c r="C221" i="1"/>
  <c r="J220" i="1"/>
  <c r="C220" i="1"/>
  <c r="J219" i="1"/>
  <c r="C219" i="1"/>
  <c r="J218" i="1"/>
  <c r="C218" i="1"/>
  <c r="J217" i="1"/>
  <c r="C217" i="1"/>
  <c r="J216" i="1"/>
  <c r="C216" i="1"/>
  <c r="J215" i="1"/>
  <c r="C215" i="1"/>
  <c r="J214" i="1"/>
  <c r="C214" i="1"/>
  <c r="J213" i="1"/>
  <c r="C213" i="1"/>
  <c r="J212" i="1"/>
  <c r="C212" i="1"/>
  <c r="J211" i="1"/>
  <c r="C211" i="1"/>
  <c r="J210" i="1"/>
  <c r="C210" i="1"/>
  <c r="J209" i="1"/>
  <c r="C209" i="1"/>
  <c r="J208" i="1"/>
  <c r="C208" i="1"/>
  <c r="J207" i="1"/>
  <c r="C207" i="1"/>
  <c r="J206" i="1"/>
  <c r="C206" i="1"/>
  <c r="J205" i="1"/>
  <c r="C205" i="1"/>
  <c r="J204" i="1"/>
  <c r="C204" i="1"/>
  <c r="J203" i="1"/>
  <c r="C203" i="1"/>
  <c r="J202" i="1"/>
  <c r="C202" i="1"/>
  <c r="J201" i="1"/>
  <c r="C201" i="1"/>
  <c r="J200" i="1"/>
  <c r="C200" i="1"/>
  <c r="J199" i="1"/>
  <c r="C199" i="1"/>
  <c r="J198" i="1"/>
  <c r="C198" i="1"/>
  <c r="J197" i="1"/>
  <c r="C197" i="1"/>
  <c r="J196" i="1"/>
  <c r="C196" i="1"/>
  <c r="J195" i="1"/>
  <c r="C195" i="1"/>
  <c r="J194" i="1"/>
  <c r="C194" i="1"/>
  <c r="J193" i="1"/>
  <c r="C193" i="1"/>
  <c r="J192" i="1"/>
  <c r="C192" i="1"/>
  <c r="J191" i="1"/>
  <c r="C191" i="1"/>
  <c r="J190" i="1"/>
  <c r="C190" i="1"/>
  <c r="J189" i="1"/>
  <c r="C189" i="1"/>
  <c r="J188" i="1"/>
  <c r="C188" i="1"/>
  <c r="J187" i="1"/>
  <c r="C187" i="1"/>
  <c r="J186" i="1"/>
  <c r="C186" i="1"/>
  <c r="J185" i="1"/>
  <c r="C185" i="1"/>
  <c r="J184" i="1"/>
  <c r="C184" i="1"/>
  <c r="J183" i="1"/>
  <c r="C183" i="1"/>
  <c r="J182" i="1"/>
  <c r="C182" i="1"/>
  <c r="J181" i="1"/>
  <c r="C181" i="1"/>
  <c r="J180" i="1"/>
  <c r="C180" i="1"/>
  <c r="J179" i="1"/>
  <c r="C179" i="1"/>
  <c r="J178" i="1"/>
  <c r="C178" i="1"/>
  <c r="J177" i="1"/>
  <c r="C177" i="1"/>
  <c r="J176" i="1"/>
  <c r="C176" i="1"/>
  <c r="J175" i="1"/>
  <c r="C175" i="1"/>
  <c r="J174" i="1"/>
  <c r="C174" i="1"/>
  <c r="J173" i="1"/>
  <c r="C173" i="1"/>
  <c r="J172" i="1"/>
  <c r="C172" i="1"/>
  <c r="J171" i="1"/>
  <c r="C171" i="1"/>
  <c r="J170" i="1"/>
  <c r="C170" i="1"/>
  <c r="J169" i="1"/>
  <c r="C169" i="1"/>
  <c r="J168" i="1"/>
  <c r="C168" i="1"/>
  <c r="J167" i="1"/>
  <c r="C167" i="1"/>
  <c r="J166" i="1"/>
  <c r="C166" i="1"/>
  <c r="J165" i="1"/>
  <c r="C165" i="1"/>
  <c r="J164" i="1"/>
  <c r="C164" i="1"/>
  <c r="J163" i="1"/>
  <c r="C163" i="1"/>
  <c r="J162" i="1"/>
  <c r="C162" i="1"/>
  <c r="J161" i="1"/>
  <c r="C161" i="1"/>
  <c r="J160" i="1"/>
  <c r="C160" i="1"/>
  <c r="J159" i="1"/>
  <c r="C159" i="1"/>
  <c r="J158" i="1"/>
  <c r="C158" i="1"/>
  <c r="J157" i="1"/>
  <c r="C157" i="1"/>
  <c r="J156" i="1"/>
  <c r="C156" i="1"/>
  <c r="J155" i="1"/>
  <c r="C155" i="1"/>
  <c r="J154" i="1"/>
  <c r="C154" i="1"/>
  <c r="J153" i="1"/>
  <c r="C153" i="1"/>
  <c r="J152" i="1"/>
  <c r="C152" i="1"/>
  <c r="J151" i="1"/>
  <c r="C151" i="1"/>
  <c r="J150" i="1"/>
  <c r="C150" i="1"/>
  <c r="J149" i="1"/>
  <c r="C149" i="1"/>
  <c r="J148" i="1"/>
  <c r="C148" i="1"/>
  <c r="J147" i="1"/>
  <c r="C147" i="1"/>
  <c r="J146" i="1"/>
  <c r="C146" i="1"/>
  <c r="J145" i="1"/>
  <c r="C145" i="1"/>
  <c r="J144" i="1"/>
  <c r="C144" i="1"/>
  <c r="J143" i="1"/>
  <c r="C143" i="1"/>
  <c r="J142" i="1"/>
  <c r="C142" i="1"/>
  <c r="J141" i="1"/>
  <c r="C141" i="1"/>
  <c r="J140" i="1"/>
  <c r="C140" i="1"/>
  <c r="J139" i="1"/>
  <c r="C139" i="1"/>
  <c r="J138" i="1"/>
  <c r="C138" i="1"/>
  <c r="J137" i="1"/>
  <c r="C137" i="1"/>
  <c r="J136" i="1"/>
  <c r="C136" i="1"/>
  <c r="J135" i="1"/>
  <c r="C135" i="1"/>
  <c r="J134" i="1"/>
  <c r="C134" i="1"/>
  <c r="J133" i="1"/>
  <c r="C133" i="1"/>
  <c r="J132" i="1"/>
  <c r="C132" i="1"/>
  <c r="J131" i="1"/>
  <c r="C131" i="1"/>
  <c r="J130" i="1"/>
  <c r="C130" i="1"/>
  <c r="J129" i="1"/>
  <c r="C129" i="1"/>
  <c r="J128" i="1"/>
  <c r="C128" i="1"/>
  <c r="J127" i="1"/>
  <c r="C127" i="1"/>
  <c r="J126" i="1"/>
  <c r="C126" i="1"/>
  <c r="J125" i="1"/>
  <c r="C125" i="1"/>
  <c r="J124" i="1"/>
  <c r="C124" i="1"/>
  <c r="J123" i="1"/>
  <c r="C123" i="1"/>
  <c r="J122" i="1"/>
  <c r="C122" i="1"/>
  <c r="J121" i="1"/>
  <c r="C121" i="1"/>
  <c r="J120" i="1"/>
  <c r="C120" i="1"/>
  <c r="J119" i="1"/>
  <c r="C119" i="1"/>
  <c r="J118" i="1"/>
  <c r="C118" i="1"/>
  <c r="J117" i="1"/>
  <c r="C117" i="1"/>
  <c r="J116" i="1"/>
  <c r="C116" i="1"/>
  <c r="J115" i="1"/>
  <c r="C115" i="1"/>
  <c r="J114" i="1"/>
  <c r="C114" i="1"/>
  <c r="J113" i="1"/>
  <c r="C113" i="1"/>
  <c r="J112" i="1"/>
  <c r="C112" i="1"/>
  <c r="J111" i="1"/>
  <c r="C111" i="1"/>
  <c r="J110" i="1"/>
  <c r="C110" i="1"/>
  <c r="J109" i="1"/>
  <c r="C109" i="1"/>
  <c r="J108" i="1"/>
  <c r="C108" i="1"/>
  <c r="J107" i="1"/>
  <c r="C107" i="1"/>
  <c r="J106" i="1"/>
  <c r="C106" i="1"/>
  <c r="J105" i="1"/>
  <c r="C105" i="1"/>
  <c r="J104" i="1"/>
  <c r="C104" i="1"/>
  <c r="J103" i="1"/>
  <c r="C103" i="1"/>
  <c r="J102" i="1"/>
  <c r="C102" i="1"/>
  <c r="J101" i="1"/>
  <c r="C101" i="1"/>
  <c r="J100" i="1"/>
  <c r="C100" i="1"/>
  <c r="J99" i="1"/>
  <c r="C99" i="1"/>
  <c r="J98" i="1"/>
  <c r="C98" i="1"/>
  <c r="J97" i="1"/>
  <c r="C97" i="1"/>
  <c r="J96" i="1"/>
  <c r="C96" i="1"/>
  <c r="J95" i="1"/>
  <c r="C95" i="1"/>
  <c r="J94" i="1"/>
  <c r="C94" i="1"/>
  <c r="J93" i="1"/>
  <c r="C93" i="1"/>
  <c r="J92" i="1"/>
  <c r="C92" i="1"/>
  <c r="J91" i="1"/>
  <c r="C91" i="1"/>
  <c r="J90" i="1"/>
  <c r="C90" i="1"/>
  <c r="J89" i="1"/>
  <c r="C89" i="1"/>
  <c r="J88" i="1"/>
  <c r="C88" i="1"/>
  <c r="J87" i="1"/>
  <c r="C87" i="1"/>
  <c r="J86" i="1"/>
  <c r="C86" i="1"/>
  <c r="J85" i="1"/>
  <c r="C85" i="1"/>
  <c r="J84" i="1"/>
  <c r="C84" i="1"/>
  <c r="J83" i="1"/>
  <c r="C83" i="1"/>
  <c r="J82" i="1"/>
  <c r="C82" i="1"/>
  <c r="J81" i="1"/>
  <c r="C81" i="1"/>
  <c r="J80" i="1"/>
  <c r="C80" i="1"/>
  <c r="J79" i="1"/>
  <c r="C79" i="1"/>
  <c r="J78" i="1"/>
  <c r="C78" i="1"/>
  <c r="J77" i="1"/>
  <c r="C77" i="1"/>
  <c r="J76" i="1"/>
  <c r="C76" i="1"/>
  <c r="J75" i="1"/>
  <c r="C75" i="1"/>
  <c r="J74" i="1"/>
  <c r="C74" i="1"/>
  <c r="J73" i="1"/>
  <c r="C73" i="1"/>
  <c r="J72" i="1"/>
  <c r="C72" i="1"/>
  <c r="J71" i="1"/>
  <c r="C71" i="1"/>
  <c r="J70" i="1"/>
  <c r="C70" i="1"/>
  <c r="J69" i="1"/>
  <c r="C69" i="1"/>
  <c r="J68" i="1"/>
  <c r="C68" i="1"/>
  <c r="J67" i="1"/>
  <c r="C67" i="1"/>
  <c r="J66" i="1"/>
  <c r="C66" i="1"/>
  <c r="J65" i="1"/>
  <c r="C65" i="1"/>
  <c r="J64" i="1"/>
  <c r="C64" i="1"/>
  <c r="J63" i="1"/>
  <c r="C63" i="1"/>
  <c r="J62" i="1"/>
  <c r="C62" i="1"/>
  <c r="J61" i="1"/>
  <c r="C61" i="1"/>
  <c r="J60" i="1"/>
  <c r="C60" i="1"/>
  <c r="J59" i="1"/>
  <c r="C59" i="1"/>
  <c r="J58" i="1"/>
  <c r="C58" i="1"/>
  <c r="J57" i="1"/>
  <c r="C57" i="1"/>
  <c r="J56" i="1"/>
  <c r="C56" i="1"/>
  <c r="J55" i="1"/>
  <c r="C55" i="1"/>
  <c r="J54" i="1"/>
  <c r="C54" i="1"/>
  <c r="J53" i="1"/>
  <c r="C53" i="1"/>
  <c r="J52" i="1"/>
  <c r="C52" i="1"/>
  <c r="J51" i="1"/>
  <c r="C51" i="1"/>
  <c r="J50" i="1"/>
  <c r="C50" i="1"/>
  <c r="J49" i="1"/>
  <c r="C49" i="1"/>
  <c r="J48" i="1"/>
  <c r="C48" i="1"/>
  <c r="J47" i="1"/>
  <c r="C47" i="1"/>
  <c r="J46" i="1"/>
  <c r="C46" i="1"/>
  <c r="J45" i="1"/>
  <c r="C45" i="1"/>
  <c r="J44" i="1"/>
  <c r="C44" i="1"/>
  <c r="J43" i="1"/>
  <c r="C43" i="1"/>
  <c r="J42" i="1"/>
  <c r="C42" i="1"/>
  <c r="J41" i="1"/>
  <c r="C41" i="1"/>
  <c r="J40" i="1"/>
  <c r="C40" i="1"/>
  <c r="J39" i="1"/>
  <c r="C39" i="1"/>
  <c r="J38" i="1"/>
  <c r="C38" i="1"/>
  <c r="J37" i="1"/>
  <c r="C37" i="1"/>
  <c r="J36" i="1"/>
  <c r="C36" i="1"/>
  <c r="J35" i="1"/>
  <c r="C35" i="1"/>
  <c r="J34" i="1"/>
  <c r="C34" i="1"/>
  <c r="J33" i="1"/>
  <c r="C33" i="1"/>
  <c r="J32" i="1"/>
  <c r="C32" i="1"/>
  <c r="J31" i="1"/>
  <c r="C31" i="1"/>
  <c r="J30" i="1"/>
  <c r="C30" i="1"/>
  <c r="J29" i="1"/>
  <c r="C29" i="1"/>
  <c r="J28" i="1"/>
  <c r="C28" i="1"/>
  <c r="J27" i="1"/>
  <c r="C27" i="1"/>
  <c r="J26" i="1"/>
  <c r="C26" i="1"/>
  <c r="J25" i="1"/>
  <c r="C25" i="1"/>
  <c r="J24" i="1"/>
  <c r="C24" i="1"/>
  <c r="J23" i="1"/>
  <c r="C23" i="1"/>
  <c r="J22" i="1"/>
  <c r="C22" i="1"/>
  <c r="J21" i="1"/>
  <c r="C21" i="1"/>
  <c r="J20" i="1"/>
  <c r="C20" i="1"/>
  <c r="J19" i="1"/>
  <c r="C19" i="1"/>
  <c r="J18" i="1"/>
  <c r="C18" i="1"/>
  <c r="J17" i="1"/>
  <c r="C17" i="1"/>
  <c r="J16" i="1"/>
  <c r="C16" i="1"/>
  <c r="J15" i="1"/>
  <c r="C15" i="1"/>
  <c r="J14" i="1"/>
  <c r="C14" i="1"/>
  <c r="J7" i="1"/>
  <c r="C7" i="1"/>
  <c r="J5" i="1"/>
  <c r="C5" i="1"/>
  <c r="B8" i="2" l="1"/>
  <c r="B3" i="2"/>
  <c r="B7" i="2" s="1"/>
  <c r="J6" i="1"/>
  <c r="J8" i="1" s="1"/>
  <c r="I3" i="2"/>
  <c r="C6" i="1"/>
  <c r="C8" i="1" s="1"/>
  <c r="C7" i="3"/>
  <c r="C6" i="3"/>
  <c r="L7" i="3"/>
  <c r="L6" i="3"/>
  <c r="I7" i="2"/>
  <c r="I6" i="2"/>
  <c r="B6" i="2"/>
  <c r="I8" i="2"/>
  <c r="C9" i="1" l="1"/>
  <c r="J9" i="1"/>
  <c r="Q265" i="3"/>
  <c r="M264" i="3"/>
  <c r="Q261" i="3"/>
  <c r="M260" i="3"/>
  <c r="Q257" i="3"/>
  <c r="M256" i="3"/>
  <c r="Q253" i="3"/>
  <c r="M252" i="3"/>
  <c r="Q249" i="3"/>
  <c r="M248" i="3"/>
  <c r="Q245" i="3"/>
  <c r="M244" i="3"/>
  <c r="Q241" i="3"/>
  <c r="M240" i="3"/>
  <c r="Q237" i="3"/>
  <c r="M236" i="3"/>
  <c r="Q233" i="3"/>
  <c r="M232" i="3"/>
  <c r="Q229" i="3"/>
  <c r="M228" i="3"/>
  <c r="Q225" i="3"/>
  <c r="M224" i="3"/>
  <c r="Q221" i="3"/>
  <c r="M220" i="3"/>
  <c r="Q217" i="3"/>
  <c r="M216" i="3"/>
  <c r="Q213" i="3"/>
  <c r="M212" i="3"/>
  <c r="Q209" i="3"/>
  <c r="M208" i="3"/>
  <c r="Q205" i="3"/>
  <c r="M204" i="3"/>
  <c r="Q201" i="3"/>
  <c r="M200" i="3"/>
  <c r="Q197" i="3"/>
  <c r="M196" i="3"/>
  <c r="Q193" i="3"/>
  <c r="M192" i="3"/>
  <c r="Q189" i="3"/>
  <c r="M188" i="3"/>
  <c r="Q185" i="3"/>
  <c r="M184" i="3"/>
  <c r="Q181" i="3"/>
  <c r="M180" i="3"/>
  <c r="Q177" i="3"/>
  <c r="M176" i="3"/>
  <c r="Q173" i="3"/>
  <c r="M172" i="3"/>
  <c r="Q169" i="3"/>
  <c r="M168" i="3"/>
  <c r="Q165" i="3"/>
  <c r="M164" i="3"/>
  <c r="Q161" i="3"/>
  <c r="M160" i="3"/>
  <c r="Q157" i="3"/>
  <c r="M156" i="3"/>
  <c r="Q153" i="3"/>
  <c r="P265" i="3"/>
  <c r="O265" i="3"/>
  <c r="O261" i="3"/>
  <c r="O257" i="3"/>
  <c r="O253" i="3"/>
  <c r="O249" i="3"/>
  <c r="O245" i="3"/>
  <c r="N265" i="3"/>
  <c r="M265" i="3"/>
  <c r="O263" i="3"/>
  <c r="O260" i="3"/>
  <c r="M257" i="3"/>
  <c r="M254" i="3"/>
  <c r="M251" i="3"/>
  <c r="Q246" i="3"/>
  <c r="Q243" i="3"/>
  <c r="N239" i="3"/>
  <c r="P236" i="3"/>
  <c r="N229" i="3"/>
  <c r="P226" i="3"/>
  <c r="M222" i="3"/>
  <c r="O219" i="3"/>
  <c r="Q216" i="3"/>
  <c r="N212" i="3"/>
  <c r="O209" i="3"/>
  <c r="Q206" i="3"/>
  <c r="N202" i="3"/>
  <c r="P199" i="3"/>
  <c r="M195" i="3"/>
  <c r="O192" i="3"/>
  <c r="P189" i="3"/>
  <c r="M185" i="3"/>
  <c r="O182" i="3"/>
  <c r="Q179" i="3"/>
  <c r="N175" i="3"/>
  <c r="P172" i="3"/>
  <c r="N165" i="3"/>
  <c r="P162" i="3"/>
  <c r="M158" i="3"/>
  <c r="O155" i="3"/>
  <c r="Q152" i="3"/>
  <c r="M151" i="3"/>
  <c r="Q148" i="3"/>
  <c r="M147" i="3"/>
  <c r="Q144" i="3"/>
  <c r="M143" i="3"/>
  <c r="Q140" i="3"/>
  <c r="M139" i="3"/>
  <c r="Q136" i="3"/>
  <c r="M135" i="3"/>
  <c r="Q132" i="3"/>
  <c r="M131" i="3"/>
  <c r="Q128" i="3"/>
  <c r="M127" i="3"/>
  <c r="Q124" i="3"/>
  <c r="M123" i="3"/>
  <c r="Q120" i="3"/>
  <c r="M119" i="3"/>
  <c r="Q116" i="3"/>
  <c r="M115" i="3"/>
  <c r="Q112" i="3"/>
  <c r="M111" i="3"/>
  <c r="Q108" i="3"/>
  <c r="M107" i="3"/>
  <c r="Q104" i="3"/>
  <c r="M103" i="3"/>
  <c r="Q100" i="3"/>
  <c r="M99" i="3"/>
  <c r="Q96" i="3"/>
  <c r="M95" i="3"/>
  <c r="Q92" i="3"/>
  <c r="M91" i="3"/>
  <c r="Q88" i="3"/>
  <c r="M87" i="3"/>
  <c r="Q84" i="3"/>
  <c r="M83" i="3"/>
  <c r="Q80" i="3"/>
  <c r="M79" i="3"/>
  <c r="N263" i="3"/>
  <c r="N260" i="3"/>
  <c r="P246" i="3"/>
  <c r="P243" i="3"/>
  <c r="M239" i="3"/>
  <c r="O236" i="3"/>
  <c r="P233" i="3"/>
  <c r="M229" i="3"/>
  <c r="O226" i="3"/>
  <c r="Q223" i="3"/>
  <c r="N219" i="3"/>
  <c r="P216" i="3"/>
  <c r="N209" i="3"/>
  <c r="P206" i="3"/>
  <c r="M202" i="3"/>
  <c r="O199" i="3"/>
  <c r="Q196" i="3"/>
  <c r="N192" i="3"/>
  <c r="O189" i="3"/>
  <c r="Q186" i="3"/>
  <c r="N182" i="3"/>
  <c r="P179" i="3"/>
  <c r="M175" i="3"/>
  <c r="O172" i="3"/>
  <c r="P169" i="3"/>
  <c r="M165" i="3"/>
  <c r="O162" i="3"/>
  <c r="Q159" i="3"/>
  <c r="N155" i="3"/>
  <c r="P152" i="3"/>
  <c r="P148" i="3"/>
  <c r="P144" i="3"/>
  <c r="P140" i="3"/>
  <c r="P136" i="3"/>
  <c r="P132" i="3"/>
  <c r="P128" i="3"/>
  <c r="P124" i="3"/>
  <c r="P120" i="3"/>
  <c r="P116" i="3"/>
  <c r="P112" i="3"/>
  <c r="P108" i="3"/>
  <c r="P104" i="3"/>
  <c r="M263" i="3"/>
  <c r="Q258" i="3"/>
  <c r="Q255" i="3"/>
  <c r="Q252" i="3"/>
  <c r="P249" i="3"/>
  <c r="O246" i="3"/>
  <c r="O243" i="3"/>
  <c r="Q240" i="3"/>
  <c r="N236" i="3"/>
  <c r="O233" i="3"/>
  <c r="Q230" i="3"/>
  <c r="N226" i="3"/>
  <c r="P223" i="3"/>
  <c r="M219" i="3"/>
  <c r="O216" i="3"/>
  <c r="P213" i="3"/>
  <c r="M209" i="3"/>
  <c r="O206" i="3"/>
  <c r="Q203" i="3"/>
  <c r="P258" i="3"/>
  <c r="P255" i="3"/>
  <c r="P252" i="3"/>
  <c r="N249" i="3"/>
  <c r="N246" i="3"/>
  <c r="N243" i="3"/>
  <c r="P240" i="3"/>
  <c r="N233" i="3"/>
  <c r="P230" i="3"/>
  <c r="M226" i="3"/>
  <c r="O223" i="3"/>
  <c r="Q220" i="3"/>
  <c r="N216" i="3"/>
  <c r="O213" i="3"/>
  <c r="Q210" i="3"/>
  <c r="N206" i="3"/>
  <c r="P203" i="3"/>
  <c r="M199" i="3"/>
  <c r="O196" i="3"/>
  <c r="P193" i="3"/>
  <c r="M189" i="3"/>
  <c r="O186" i="3"/>
  <c r="Q183" i="3"/>
  <c r="N179" i="3"/>
  <c r="P176" i="3"/>
  <c r="N169" i="3"/>
  <c r="P166" i="3"/>
  <c r="P264" i="3"/>
  <c r="N261" i="3"/>
  <c r="N258" i="3"/>
  <c r="N255" i="3"/>
  <c r="N252" i="3"/>
  <c r="N240" i="3"/>
  <c r="O237" i="3"/>
  <c r="Q234" i="3"/>
  <c r="N230" i="3"/>
  <c r="P227" i="3"/>
  <c r="M223" i="3"/>
  <c r="O220" i="3"/>
  <c r="P217" i="3"/>
  <c r="M213" i="3"/>
  <c r="O210" i="3"/>
  <c r="Q207" i="3"/>
  <c r="N203" i="3"/>
  <c r="P200" i="3"/>
  <c r="N193" i="3"/>
  <c r="P190" i="3"/>
  <c r="M186" i="3"/>
  <c r="O183" i="3"/>
  <c r="Q180" i="3"/>
  <c r="N176" i="3"/>
  <c r="O173" i="3"/>
  <c r="Q250" i="3"/>
  <c r="O235" i="3"/>
  <c r="M233" i="3"/>
  <c r="P231" i="3"/>
  <c r="M218" i="3"/>
  <c r="M214" i="3"/>
  <c r="P212" i="3"/>
  <c r="N210" i="3"/>
  <c r="Q208" i="3"/>
  <c r="Q204" i="3"/>
  <c r="M197" i="3"/>
  <c r="O188" i="3"/>
  <c r="M181" i="3"/>
  <c r="M179" i="3"/>
  <c r="P177" i="3"/>
  <c r="P170" i="3"/>
  <c r="N167" i="3"/>
  <c r="M162" i="3"/>
  <c r="O154" i="3"/>
  <c r="N151" i="3"/>
  <c r="M148" i="3"/>
  <c r="N145" i="3"/>
  <c r="O142" i="3"/>
  <c r="O139" i="3"/>
  <c r="N136" i="3"/>
  <c r="O133" i="3"/>
  <c r="P130" i="3"/>
  <c r="P127" i="3"/>
  <c r="O124" i="3"/>
  <c r="P121" i="3"/>
  <c r="Q118" i="3"/>
  <c r="Q115" i="3"/>
  <c r="Q109" i="3"/>
  <c r="M102" i="3"/>
  <c r="O99" i="3"/>
  <c r="P96" i="3"/>
  <c r="M92" i="3"/>
  <c r="O89" i="3"/>
  <c r="Q86" i="3"/>
  <c r="N82" i="3"/>
  <c r="P79" i="3"/>
  <c r="O75" i="3"/>
  <c r="O71" i="3"/>
  <c r="O67" i="3"/>
  <c r="O63" i="3"/>
  <c r="O59" i="3"/>
  <c r="O55" i="3"/>
  <c r="O51" i="3"/>
  <c r="O47" i="3"/>
  <c r="Q262" i="3"/>
  <c r="Q256" i="3"/>
  <c r="Q254" i="3"/>
  <c r="P250" i="3"/>
  <c r="N235" i="3"/>
  <c r="O231" i="3"/>
  <c r="Q227" i="3"/>
  <c r="O212" i="3"/>
  <c r="M210" i="3"/>
  <c r="P208" i="3"/>
  <c r="M206" i="3"/>
  <c r="P204" i="3"/>
  <c r="Q195" i="3"/>
  <c r="N188" i="3"/>
  <c r="P186" i="3"/>
  <c r="O177" i="3"/>
  <c r="O170" i="3"/>
  <c r="M167" i="3"/>
  <c r="Q264" i="3"/>
  <c r="P262" i="3"/>
  <c r="O258" i="3"/>
  <c r="P256" i="3"/>
  <c r="P254" i="3"/>
  <c r="O252" i="3"/>
  <c r="O250" i="3"/>
  <c r="Q244" i="3"/>
  <c r="M235" i="3"/>
  <c r="N231" i="3"/>
  <c r="P229" i="3"/>
  <c r="O227" i="3"/>
  <c r="P225" i="3"/>
  <c r="O208" i="3"/>
  <c r="O204" i="3"/>
  <c r="Q202" i="3"/>
  <c r="P195" i="3"/>
  <c r="N186" i="3"/>
  <c r="Q184" i="3"/>
  <c r="N177" i="3"/>
  <c r="N170" i="3"/>
  <c r="P165" i="3"/>
  <c r="P160" i="3"/>
  <c r="O157" i="3"/>
  <c r="M154" i="3"/>
  <c r="Q149" i="3"/>
  <c r="M142" i="3"/>
  <c r="M133" i="3"/>
  <c r="N130" i="3"/>
  <c r="N127" i="3"/>
  <c r="M124" i="3"/>
  <c r="N121" i="3"/>
  <c r="O118" i="3"/>
  <c r="O115" i="3"/>
  <c r="N112" i="3"/>
  <c r="O109" i="3"/>
  <c r="P106" i="3"/>
  <c r="P103" i="3"/>
  <c r="N96" i="3"/>
  <c r="P93" i="3"/>
  <c r="M89" i="3"/>
  <c r="O86" i="3"/>
  <c r="Q83" i="3"/>
  <c r="O264" i="3"/>
  <c r="O262" i="3"/>
  <c r="Q260" i="3"/>
  <c r="M258" i="3"/>
  <c r="O256" i="3"/>
  <c r="O254" i="3"/>
  <c r="N250" i="3"/>
  <c r="Q248" i="3"/>
  <c r="P244" i="3"/>
  <c r="Q242" i="3"/>
  <c r="M231" i="3"/>
  <c r="O229" i="3"/>
  <c r="N227" i="3"/>
  <c r="O225" i="3"/>
  <c r="P221" i="3"/>
  <c r="N208" i="3"/>
  <c r="N204" i="3"/>
  <c r="P202" i="3"/>
  <c r="Q200" i="3"/>
  <c r="O195" i="3"/>
  <c r="O193" i="3"/>
  <c r="Q191" i="3"/>
  <c r="P184" i="3"/>
  <c r="M177" i="3"/>
  <c r="Q175" i="3"/>
  <c r="M170" i="3"/>
  <c r="O165" i="3"/>
  <c r="Q163" i="3"/>
  <c r="O160" i="3"/>
  <c r="N157" i="3"/>
  <c r="O152" i="3"/>
  <c r="P149" i="3"/>
  <c r="Q146" i="3"/>
  <c r="Q143" i="3"/>
  <c r="Q137" i="3"/>
  <c r="M130" i="3"/>
  <c r="M121" i="3"/>
  <c r="N118" i="3"/>
  <c r="N115" i="3"/>
  <c r="M112" i="3"/>
  <c r="N109" i="3"/>
  <c r="O106" i="3"/>
  <c r="O103" i="3"/>
  <c r="P100" i="3"/>
  <c r="M96" i="3"/>
  <c r="M262" i="3"/>
  <c r="O248" i="3"/>
  <c r="N244" i="3"/>
  <c r="O242" i="3"/>
  <c r="O240" i="3"/>
  <c r="P238" i="3"/>
  <c r="P234" i="3"/>
  <c r="M225" i="3"/>
  <c r="N221" i="3"/>
  <c r="Q219" i="3"/>
  <c r="N217" i="3"/>
  <c r="P215" i="3"/>
  <c r="N200" i="3"/>
  <c r="P198" i="3"/>
  <c r="O191" i="3"/>
  <c r="N184" i="3"/>
  <c r="P182" i="3"/>
  <c r="P180" i="3"/>
  <c r="O175" i="3"/>
  <c r="N173" i="3"/>
  <c r="P168" i="3"/>
  <c r="O163" i="3"/>
  <c r="Q155" i="3"/>
  <c r="M152" i="3"/>
  <c r="N149" i="3"/>
  <c r="O146" i="3"/>
  <c r="O143" i="3"/>
  <c r="N140" i="3"/>
  <c r="O137" i="3"/>
  <c r="P134" i="3"/>
  <c r="P131" i="3"/>
  <c r="O128" i="3"/>
  <c r="P125" i="3"/>
  <c r="Q122" i="3"/>
  <c r="Q119" i="3"/>
  <c r="Q113" i="3"/>
  <c r="Q259" i="3"/>
  <c r="M247" i="3"/>
  <c r="O244" i="3"/>
  <c r="P239" i="3"/>
  <c r="P211" i="3"/>
  <c r="O201" i="3"/>
  <c r="P194" i="3"/>
  <c r="P192" i="3"/>
  <c r="O187" i="3"/>
  <c r="O185" i="3"/>
  <c r="N180" i="3"/>
  <c r="M178" i="3"/>
  <c r="Q168" i="3"/>
  <c r="N166" i="3"/>
  <c r="N164" i="3"/>
  <c r="N158" i="3"/>
  <c r="P156" i="3"/>
  <c r="P154" i="3"/>
  <c r="N152" i="3"/>
  <c r="P150" i="3"/>
  <c r="N139" i="3"/>
  <c r="N137" i="3"/>
  <c r="Q135" i="3"/>
  <c r="N126" i="3"/>
  <c r="N124" i="3"/>
  <c r="O122" i="3"/>
  <c r="O120" i="3"/>
  <c r="O107" i="3"/>
  <c r="O102" i="3"/>
  <c r="N97" i="3"/>
  <c r="O92" i="3"/>
  <c r="Q87" i="3"/>
  <c r="O84" i="3"/>
  <c r="N81" i="3"/>
  <c r="N78" i="3"/>
  <c r="P75" i="3"/>
  <c r="Q72" i="3"/>
  <c r="N68" i="3"/>
  <c r="P65" i="3"/>
  <c r="M61" i="3"/>
  <c r="O58" i="3"/>
  <c r="Q55" i="3"/>
  <c r="M51" i="3"/>
  <c r="O48" i="3"/>
  <c r="Q45" i="3"/>
  <c r="M44" i="3"/>
  <c r="Q41" i="3"/>
  <c r="M40" i="3"/>
  <c r="Q37" i="3"/>
  <c r="M36" i="3"/>
  <c r="Q33" i="3"/>
  <c r="M32" i="3"/>
  <c r="Q29" i="3"/>
  <c r="M28" i="3"/>
  <c r="Q25" i="3"/>
  <c r="M24" i="3"/>
  <c r="Q21" i="3"/>
  <c r="M20" i="3"/>
  <c r="Q17" i="3"/>
  <c r="M16" i="3"/>
  <c r="P259" i="3"/>
  <c r="N254" i="3"/>
  <c r="M249" i="3"/>
  <c r="O239" i="3"/>
  <c r="O221" i="3"/>
  <c r="O211" i="3"/>
  <c r="N201" i="3"/>
  <c r="P196" i="3"/>
  <c r="O194" i="3"/>
  <c r="N187" i="3"/>
  <c r="N185" i="3"/>
  <c r="P175" i="3"/>
  <c r="O168" i="3"/>
  <c r="M166" i="3"/>
  <c r="O156" i="3"/>
  <c r="N154" i="3"/>
  <c r="O150" i="3"/>
  <c r="O148" i="3"/>
  <c r="P146" i="3"/>
  <c r="M137" i="3"/>
  <c r="P135" i="3"/>
  <c r="M126" i="3"/>
  <c r="N122" i="3"/>
  <c r="N120" i="3"/>
  <c r="P118" i="3"/>
  <c r="O116" i="3"/>
  <c r="N107" i="3"/>
  <c r="Q105" i="3"/>
  <c r="N102" i="3"/>
  <c r="O100" i="3"/>
  <c r="M97" i="3"/>
  <c r="Q95" i="3"/>
  <c r="N92" i="3"/>
  <c r="P87" i="3"/>
  <c r="N84" i="3"/>
  <c r="M81" i="3"/>
  <c r="M78" i="3"/>
  <c r="N75" i="3"/>
  <c r="P72" i="3"/>
  <c r="M68" i="3"/>
  <c r="O65" i="3"/>
  <c r="Q62" i="3"/>
  <c r="N58" i="3"/>
  <c r="P55" i="3"/>
  <c r="Q52" i="3"/>
  <c r="N48" i="3"/>
  <c r="P45" i="3"/>
  <c r="P41" i="3"/>
  <c r="P37" i="3"/>
  <c r="P33" i="3"/>
  <c r="P29" i="3"/>
  <c r="P25" i="3"/>
  <c r="P21" i="3"/>
  <c r="P17" i="3"/>
  <c r="N264" i="3"/>
  <c r="O259" i="3"/>
  <c r="P241" i="3"/>
  <c r="Q236" i="3"/>
  <c r="Q231" i="3"/>
  <c r="Q226" i="3"/>
  <c r="M221" i="3"/>
  <c r="N211" i="3"/>
  <c r="O203" i="3"/>
  <c r="M201" i="3"/>
  <c r="Q198" i="3"/>
  <c r="N196" i="3"/>
  <c r="N194" i="3"/>
  <c r="N189" i="3"/>
  <c r="M187" i="3"/>
  <c r="Q182" i="3"/>
  <c r="N168" i="3"/>
  <c r="N156" i="3"/>
  <c r="N150" i="3"/>
  <c r="N148" i="3"/>
  <c r="N146" i="3"/>
  <c r="O144" i="3"/>
  <c r="O135" i="3"/>
  <c r="Q133" i="3"/>
  <c r="M122" i="3"/>
  <c r="M120" i="3"/>
  <c r="M118" i="3"/>
  <c r="N116" i="3"/>
  <c r="Q114" i="3"/>
  <c r="P105" i="3"/>
  <c r="N100" i="3"/>
  <c r="P95" i="3"/>
  <c r="Q90" i="3"/>
  <c r="O87" i="3"/>
  <c r="M84" i="3"/>
  <c r="M75" i="3"/>
  <c r="O72" i="3"/>
  <c r="Q69" i="3"/>
  <c r="N65" i="3"/>
  <c r="P62" i="3"/>
  <c r="M58" i="3"/>
  <c r="N55" i="3"/>
  <c r="P52" i="3"/>
  <c r="M48" i="3"/>
  <c r="O45" i="3"/>
  <c r="O41" i="3"/>
  <c r="O37" i="3"/>
  <c r="O33" i="3"/>
  <c r="O29" i="3"/>
  <c r="O25" i="3"/>
  <c r="M261" i="3"/>
  <c r="O251" i="3"/>
  <c r="M241" i="3"/>
  <c r="O238" i="3"/>
  <c r="O228" i="3"/>
  <c r="O218" i="3"/>
  <c r="Q215" i="3"/>
  <c r="M198" i="3"/>
  <c r="N191" i="3"/>
  <c r="N163" i="3"/>
  <c r="N161" i="3"/>
  <c r="P159" i="3"/>
  <c r="P142" i="3"/>
  <c r="O140" i="3"/>
  <c r="N131" i="3"/>
  <c r="O129" i="3"/>
  <c r="Q127" i="3"/>
  <c r="Q125" i="3"/>
  <c r="N114" i="3"/>
  <c r="O112" i="3"/>
  <c r="P110" i="3"/>
  <c r="M105" i="3"/>
  <c r="Q103" i="3"/>
  <c r="P98" i="3"/>
  <c r="O93" i="3"/>
  <c r="N90" i="3"/>
  <c r="P85" i="3"/>
  <c r="O82" i="3"/>
  <c r="N79" i="3"/>
  <c r="O76" i="3"/>
  <c r="Q73" i="3"/>
  <c r="N69" i="3"/>
  <c r="P66" i="3"/>
  <c r="M62" i="3"/>
  <c r="N59" i="3"/>
  <c r="P261" i="3"/>
  <c r="O255" i="3"/>
  <c r="N234" i="3"/>
  <c r="P222" i="3"/>
  <c r="N181" i="3"/>
  <c r="N178" i="3"/>
  <c r="P164" i="3"/>
  <c r="P161" i="3"/>
  <c r="M159" i="3"/>
  <c r="Q154" i="3"/>
  <c r="O149" i="3"/>
  <c r="N138" i="3"/>
  <c r="O131" i="3"/>
  <c r="N101" i="3"/>
  <c r="P99" i="3"/>
  <c r="N89" i="3"/>
  <c r="O77" i="3"/>
  <c r="M70" i="3"/>
  <c r="P68" i="3"/>
  <c r="Q66" i="3"/>
  <c r="N61" i="3"/>
  <c r="P59" i="3"/>
  <c r="Q57" i="3"/>
  <c r="M54" i="3"/>
  <c r="O52" i="3"/>
  <c r="M49" i="3"/>
  <c r="Q47" i="3"/>
  <c r="P42" i="3"/>
  <c r="O39" i="3"/>
  <c r="P34" i="3"/>
  <c r="O31" i="3"/>
  <c r="P26" i="3"/>
  <c r="P23" i="3"/>
  <c r="P20" i="3"/>
  <c r="O17" i="3"/>
  <c r="M255" i="3"/>
  <c r="P237" i="3"/>
  <c r="M234" i="3"/>
  <c r="O222" i="3"/>
  <c r="N195" i="3"/>
  <c r="Q172" i="3"/>
  <c r="O164" i="3"/>
  <c r="O161" i="3"/>
  <c r="M149" i="3"/>
  <c r="Q142" i="3"/>
  <c r="M138" i="3"/>
  <c r="P133" i="3"/>
  <c r="Q126" i="3"/>
  <c r="P114" i="3"/>
  <c r="Q107" i="3"/>
  <c r="O105" i="3"/>
  <c r="M101" i="3"/>
  <c r="N99" i="3"/>
  <c r="N77" i="3"/>
  <c r="P73" i="3"/>
  <c r="O68" i="3"/>
  <c r="O66" i="3"/>
  <c r="Q64" i="3"/>
  <c r="M59" i="3"/>
  <c r="P57" i="3"/>
  <c r="N52" i="3"/>
  <c r="P47" i="3"/>
  <c r="O42" i="3"/>
  <c r="N39" i="3"/>
  <c r="O34" i="3"/>
  <c r="N31" i="3"/>
  <c r="O26" i="3"/>
  <c r="O23" i="3"/>
  <c r="O20" i="3"/>
  <c r="N17" i="3"/>
  <c r="M227" i="3"/>
  <c r="M215" i="3"/>
  <c r="P209" i="3"/>
  <c r="N183" i="3"/>
  <c r="M246" i="3"/>
  <c r="M243" i="3"/>
  <c r="N237" i="3"/>
  <c r="Q224" i="3"/>
  <c r="N222" i="3"/>
  <c r="Q218" i="3"/>
  <c r="O215" i="3"/>
  <c r="O200" i="3"/>
  <c r="Q192" i="3"/>
  <c r="N172" i="3"/>
  <c r="M161" i="3"/>
  <c r="N142" i="3"/>
  <c r="N133" i="3"/>
  <c r="P126" i="3"/>
  <c r="Q121" i="3"/>
  <c r="O114" i="3"/>
  <c r="P107" i="3"/>
  <c r="N105" i="3"/>
  <c r="M77" i="3"/>
  <c r="Q75" i="3"/>
  <c r="O73" i="3"/>
  <c r="N66" i="3"/>
  <c r="P64" i="3"/>
  <c r="O57" i="3"/>
  <c r="M52" i="3"/>
  <c r="N47" i="3"/>
  <c r="N42" i="3"/>
  <c r="M39" i="3"/>
  <c r="N34" i="3"/>
  <c r="M31" i="3"/>
  <c r="N26" i="3"/>
  <c r="N23" i="3"/>
  <c r="N20" i="3"/>
  <c r="M17" i="3"/>
  <c r="M237" i="3"/>
  <c r="O230" i="3"/>
  <c r="P224" i="3"/>
  <c r="P218" i="3"/>
  <c r="N215" i="3"/>
  <c r="M203" i="3"/>
  <c r="P183" i="3"/>
  <c r="O180" i="3"/>
  <c r="O169" i="3"/>
  <c r="Q166" i="3"/>
  <c r="N144" i="3"/>
  <c r="O126" i="3"/>
  <c r="O121" i="3"/>
  <c r="M114" i="3"/>
  <c r="Q82" i="3"/>
  <c r="N73" i="3"/>
  <c r="M66" i="3"/>
  <c r="O64" i="3"/>
  <c r="N57" i="3"/>
  <c r="Q50" i="3"/>
  <c r="M47" i="3"/>
  <c r="N45" i="3"/>
  <c r="M42" i="3"/>
  <c r="N37" i="3"/>
  <c r="M34" i="3"/>
  <c r="N29" i="3"/>
  <c r="M26" i="3"/>
  <c r="M23" i="3"/>
  <c r="M230" i="3"/>
  <c r="O224" i="3"/>
  <c r="N218" i="3"/>
  <c r="P197" i="3"/>
  <c r="Q174" i="3"/>
  <c r="M169" i="3"/>
  <c r="O166" i="3"/>
  <c r="P163" i="3"/>
  <c r="N224" i="3"/>
  <c r="Q212" i="3"/>
  <c r="O197" i="3"/>
  <c r="P191" i="3"/>
  <c r="M183" i="3"/>
  <c r="P174" i="3"/>
  <c r="M163" i="3"/>
  <c r="Q158" i="3"/>
  <c r="P153" i="3"/>
  <c r="P151" i="3"/>
  <c r="M128" i="3"/>
  <c r="Q123" i="3"/>
  <c r="Q111" i="3"/>
  <c r="M109" i="3"/>
  <c r="Q98" i="3"/>
  <c r="P94" i="3"/>
  <c r="P90" i="3"/>
  <c r="P88" i="3"/>
  <c r="P86" i="3"/>
  <c r="P84" i="3"/>
  <c r="M82" i="3"/>
  <c r="O80" i="3"/>
  <c r="P71" i="3"/>
  <c r="M64" i="3"/>
  <c r="O62" i="3"/>
  <c r="Q60" i="3"/>
  <c r="Q53" i="3"/>
  <c r="O50" i="3"/>
  <c r="P40" i="3"/>
  <c r="P32" i="3"/>
  <c r="P24" i="3"/>
  <c r="O21" i="3"/>
  <c r="P18" i="3"/>
  <c r="N256" i="3"/>
  <c r="P245" i="3"/>
  <c r="N241" i="3"/>
  <c r="M190" i="3"/>
  <c r="Q178" i="3"/>
  <c r="P171" i="3"/>
  <c r="Q151" i="3"/>
  <c r="P145" i="3"/>
  <c r="M134" i="3"/>
  <c r="Q131" i="3"/>
  <c r="P122" i="3"/>
  <c r="M104" i="3"/>
  <c r="P101" i="3"/>
  <c r="O98" i="3"/>
  <c r="Q93" i="3"/>
  <c r="M88" i="3"/>
  <c r="N85" i="3"/>
  <c r="Q77" i="3"/>
  <c r="Q70" i="3"/>
  <c r="Q68" i="3"/>
  <c r="N63" i="3"/>
  <c r="Q58" i="3"/>
  <c r="Q49" i="3"/>
  <c r="P38" i="3"/>
  <c r="N32" i="3"/>
  <c r="M30" i="3"/>
  <c r="O28" i="3"/>
  <c r="P248" i="3"/>
  <c r="N245" i="3"/>
  <c r="Q232" i="3"/>
  <c r="Q228" i="3"/>
  <c r="P178" i="3"/>
  <c r="O171" i="3"/>
  <c r="Q164" i="3"/>
  <c r="O151" i="3"/>
  <c r="O145" i="3"/>
  <c r="Q139" i="3"/>
  <c r="P109" i="3"/>
  <c r="O101" i="3"/>
  <c r="N98" i="3"/>
  <c r="N93" i="3"/>
  <c r="M85" i="3"/>
  <c r="P77" i="3"/>
  <c r="P70" i="3"/>
  <c r="M63" i="3"/>
  <c r="P60" i="3"/>
  <c r="P58" i="3"/>
  <c r="P49" i="3"/>
  <c r="Q40" i="3"/>
  <c r="O38" i="3"/>
  <c r="Q36" i="3"/>
  <c r="Q34" i="3"/>
  <c r="N28" i="3"/>
  <c r="N70" i="3"/>
  <c r="N87" i="3"/>
  <c r="O44" i="3"/>
  <c r="M25" i="3"/>
  <c r="P235" i="3"/>
  <c r="N199" i="3"/>
  <c r="M153" i="3"/>
  <c r="O141" i="3"/>
  <c r="O111" i="3"/>
  <c r="N74" i="3"/>
  <c r="Q48" i="3"/>
  <c r="Q31" i="3"/>
  <c r="O27" i="3"/>
  <c r="O247" i="3"/>
  <c r="Q238" i="3"/>
  <c r="O202" i="3"/>
  <c r="M191" i="3"/>
  <c r="M173" i="3"/>
  <c r="O159" i="3"/>
  <c r="N141" i="3"/>
  <c r="P138" i="3"/>
  <c r="N135" i="3"/>
  <c r="O117" i="3"/>
  <c r="N111" i="3"/>
  <c r="M108" i="3"/>
  <c r="P97" i="3"/>
  <c r="O81" i="3"/>
  <c r="M76" i="3"/>
  <c r="M74" i="3"/>
  <c r="O69" i="3"/>
  <c r="M67" i="3"/>
  <c r="P48" i="3"/>
  <c r="Q35" i="3"/>
  <c r="N33" i="3"/>
  <c r="P31" i="3"/>
  <c r="N27" i="3"/>
  <c r="M141" i="3"/>
  <c r="N117" i="3"/>
  <c r="M37" i="3"/>
  <c r="N262" i="3"/>
  <c r="P242" i="3"/>
  <c r="O234" i="3"/>
  <c r="O198" i="3"/>
  <c r="P102" i="3"/>
  <c r="M86" i="3"/>
  <c r="Q39" i="3"/>
  <c r="N162" i="3"/>
  <c r="N132" i="3"/>
  <c r="N123" i="3"/>
  <c r="P89" i="3"/>
  <c r="M50" i="3"/>
  <c r="P39" i="3"/>
  <c r="N18" i="3"/>
  <c r="P257" i="3"/>
  <c r="N214" i="3"/>
  <c r="N248" i="3"/>
  <c r="M245" i="3"/>
  <c r="P232" i="3"/>
  <c r="P228" i="3"/>
  <c r="P220" i="3"/>
  <c r="P207" i="3"/>
  <c r="O178" i="3"/>
  <c r="O174" i="3"/>
  <c r="N171" i="3"/>
  <c r="Q167" i="3"/>
  <c r="Q160" i="3"/>
  <c r="M145" i="3"/>
  <c r="P139" i="3"/>
  <c r="Q106" i="3"/>
  <c r="M98" i="3"/>
  <c r="M93" i="3"/>
  <c r="O90" i="3"/>
  <c r="O70" i="3"/>
  <c r="Q65" i="3"/>
  <c r="O60" i="3"/>
  <c r="P53" i="3"/>
  <c r="Q51" i="3"/>
  <c r="O49" i="3"/>
  <c r="O40" i="3"/>
  <c r="N38" i="3"/>
  <c r="P36" i="3"/>
  <c r="N21" i="3"/>
  <c r="Q19" i="3"/>
  <c r="N251" i="3"/>
  <c r="N86" i="3"/>
  <c r="M69" i="3"/>
  <c r="P35" i="3"/>
  <c r="M238" i="3"/>
  <c r="P214" i="3"/>
  <c r="P210" i="3"/>
  <c r="Q187" i="3"/>
  <c r="O176" i="3"/>
  <c r="Q162" i="3"/>
  <c r="M146" i="3"/>
  <c r="O132" i="3"/>
  <c r="P129" i="3"/>
  <c r="O94" i="3"/>
  <c r="Q89" i="3"/>
  <c r="O78" i="3"/>
  <c r="N71" i="3"/>
  <c r="Q59" i="3"/>
  <c r="Q22" i="3"/>
  <c r="Q16" i="3"/>
  <c r="Q110" i="3"/>
  <c r="P80" i="3"/>
  <c r="M242" i="3"/>
  <c r="O217" i="3"/>
  <c r="P205" i="3"/>
  <c r="M194" i="3"/>
  <c r="O179" i="3"/>
  <c r="O232" i="3"/>
  <c r="N228" i="3"/>
  <c r="N220" i="3"/>
  <c r="O207" i="3"/>
  <c r="P185" i="3"/>
  <c r="N174" i="3"/>
  <c r="M171" i="3"/>
  <c r="P167" i="3"/>
  <c r="N160" i="3"/>
  <c r="P157" i="3"/>
  <c r="Q147" i="3"/>
  <c r="N106" i="3"/>
  <c r="M90" i="3"/>
  <c r="Q79" i="3"/>
  <c r="N72" i="3"/>
  <c r="M65" i="3"/>
  <c r="N60" i="3"/>
  <c r="O53" i="3"/>
  <c r="P51" i="3"/>
  <c r="N49" i="3"/>
  <c r="Q46" i="3"/>
  <c r="N40" i="3"/>
  <c r="M38" i="3"/>
  <c r="O36" i="3"/>
  <c r="M21" i="3"/>
  <c r="P19" i="3"/>
  <c r="P247" i="3"/>
  <c r="P219" i="3"/>
  <c r="P173" i="3"/>
  <c r="Q156" i="3"/>
  <c r="M150" i="3"/>
  <c r="Q138" i="3"/>
  <c r="P117" i="3"/>
  <c r="N108" i="3"/>
  <c r="Q97" i="3"/>
  <c r="P81" i="3"/>
  <c r="N76" i="3"/>
  <c r="P69" i="3"/>
  <c r="N67" i="3"/>
  <c r="M57" i="3"/>
  <c r="M46" i="3"/>
  <c r="N44" i="3"/>
  <c r="O184" i="3"/>
  <c r="Q78" i="3"/>
  <c r="N238" i="3"/>
  <c r="Q214" i="3"/>
  <c r="Q176" i="3"/>
  <c r="N159" i="3"/>
  <c r="O138" i="3"/>
  <c r="Q129" i="3"/>
  <c r="P123" i="3"/>
  <c r="Q102" i="3"/>
  <c r="O97" i="3"/>
  <c r="Q94" i="3"/>
  <c r="P78" i="3"/>
  <c r="Q71" i="3"/>
  <c r="N64" i="3"/>
  <c r="P50" i="3"/>
  <c r="M33" i="3"/>
  <c r="M27" i="3"/>
  <c r="Q18" i="3"/>
  <c r="O123" i="3"/>
  <c r="N50" i="3"/>
  <c r="N242" i="3"/>
  <c r="Q222" i="3"/>
  <c r="O214" i="3"/>
  <c r="N198" i="3"/>
  <c r="Q194" i="3"/>
  <c r="P187" i="3"/>
  <c r="P155" i="3"/>
  <c r="N83" i="3"/>
  <c r="M71" i="3"/>
  <c r="Q56" i="3"/>
  <c r="Q43" i="3"/>
  <c r="N35" i="3"/>
  <c r="P22" i="3"/>
  <c r="P16" i="3"/>
  <c r="P253" i="3"/>
  <c r="Q263" i="3"/>
  <c r="N259" i="3"/>
  <c r="Q251" i="3"/>
  <c r="N232" i="3"/>
  <c r="N223" i="3"/>
  <c r="N207" i="3"/>
  <c r="P181" i="3"/>
  <c r="M174" i="3"/>
  <c r="O167" i="3"/>
  <c r="M157" i="3"/>
  <c r="P147" i="3"/>
  <c r="O136" i="3"/>
  <c r="O127" i="3"/>
  <c r="P115" i="3"/>
  <c r="M106" i="3"/>
  <c r="O79" i="3"/>
  <c r="Q74" i="3"/>
  <c r="M72" i="3"/>
  <c r="M60" i="3"/>
  <c r="M55" i="3"/>
  <c r="N53" i="3"/>
  <c r="N51" i="3"/>
  <c r="P46" i="3"/>
  <c r="Q44" i="3"/>
  <c r="Q42" i="3"/>
  <c r="N36" i="3"/>
  <c r="O19" i="3"/>
  <c r="Q247" i="3"/>
  <c r="P83" i="3"/>
  <c r="M250" i="3"/>
  <c r="M117" i="3"/>
  <c r="O35" i="3"/>
  <c r="O18" i="3"/>
  <c r="N94" i="3"/>
  <c r="N41" i="3"/>
  <c r="Q20" i="3"/>
  <c r="P263" i="3"/>
  <c r="M259" i="3"/>
  <c r="P251" i="3"/>
  <c r="Q239" i="3"/>
  <c r="Q211" i="3"/>
  <c r="M207" i="3"/>
  <c r="Q188" i="3"/>
  <c r="O181" i="3"/>
  <c r="O153" i="3"/>
  <c r="O147" i="3"/>
  <c r="M144" i="3"/>
  <c r="Q141" i="3"/>
  <c r="M136" i="3"/>
  <c r="Q130" i="3"/>
  <c r="N103" i="3"/>
  <c r="O95" i="3"/>
  <c r="Q76" i="3"/>
  <c r="P74" i="3"/>
  <c r="Q67" i="3"/>
  <c r="N62" i="3"/>
  <c r="M53" i="3"/>
  <c r="O46" i="3"/>
  <c r="P44" i="3"/>
  <c r="Q27" i="3"/>
  <c r="N25" i="3"/>
  <c r="Q23" i="3"/>
  <c r="N19" i="3"/>
  <c r="Q235" i="3"/>
  <c r="M211" i="3"/>
  <c r="Q199" i="3"/>
  <c r="P188" i="3"/>
  <c r="Q170" i="3"/>
  <c r="N153" i="3"/>
  <c r="Q150" i="3"/>
  <c r="N147" i="3"/>
  <c r="P141" i="3"/>
  <c r="O130" i="3"/>
  <c r="Q117" i="3"/>
  <c r="P111" i="3"/>
  <c r="O108" i="3"/>
  <c r="M100" i="3"/>
  <c r="N95" i="3"/>
  <c r="P92" i="3"/>
  <c r="Q81" i="3"/>
  <c r="P76" i="3"/>
  <c r="O74" i="3"/>
  <c r="P67" i="3"/>
  <c r="N46" i="3"/>
  <c r="M29" i="3"/>
  <c r="P27" i="3"/>
  <c r="M19" i="3"/>
  <c r="N247" i="3"/>
  <c r="O83" i="3"/>
  <c r="N129" i="3"/>
  <c r="Q24" i="3"/>
  <c r="M217" i="3"/>
  <c r="N197" i="3"/>
  <c r="Q190" i="3"/>
  <c r="Q171" i="3"/>
  <c r="P158" i="3"/>
  <c r="N119" i="3"/>
  <c r="O113" i="3"/>
  <c r="P91" i="3"/>
  <c r="N80" i="3"/>
  <c r="M41" i="3"/>
  <c r="O32" i="3"/>
  <c r="M182" i="3"/>
  <c r="O134" i="3"/>
  <c r="O54" i="3"/>
  <c r="Q30" i="3"/>
  <c r="Q26" i="3"/>
  <c r="M73" i="3"/>
  <c r="M94" i="3"/>
  <c r="O30" i="3"/>
  <c r="O88" i="3"/>
  <c r="N88" i="3"/>
  <c r="M253" i="3"/>
  <c r="M110" i="3"/>
  <c r="P82" i="3"/>
  <c r="N143" i="3"/>
  <c r="N104" i="3"/>
  <c r="O56" i="3"/>
  <c r="O61" i="3"/>
  <c r="M205" i="3"/>
  <c r="P119" i="3"/>
  <c r="M56" i="3"/>
  <c r="Q28" i="3"/>
  <c r="M125" i="3"/>
  <c r="P113" i="3"/>
  <c r="Q91" i="3"/>
  <c r="P28" i="3"/>
  <c r="N257" i="3"/>
  <c r="O190" i="3"/>
  <c r="O158" i="3"/>
  <c r="N113" i="3"/>
  <c r="O96" i="3"/>
  <c r="O91" i="3"/>
  <c r="M80" i="3"/>
  <c r="M45" i="3"/>
  <c r="O22" i="3"/>
  <c r="N190" i="3"/>
  <c r="M113" i="3"/>
  <c r="N91" i="3"/>
  <c r="Q85" i="3"/>
  <c r="N22" i="3"/>
  <c r="Q99" i="3"/>
  <c r="M129" i="3"/>
  <c r="O85" i="3"/>
  <c r="Q54" i="3"/>
  <c r="M22" i="3"/>
  <c r="P201" i="3"/>
  <c r="O241" i="3"/>
  <c r="P43" i="3"/>
  <c r="N30" i="3"/>
  <c r="M155" i="3"/>
  <c r="O110" i="3"/>
  <c r="N253" i="3"/>
  <c r="N213" i="3"/>
  <c r="N43" i="3"/>
  <c r="M132" i="3"/>
  <c r="P56" i="3"/>
  <c r="N24" i="3"/>
  <c r="P137" i="3"/>
  <c r="M140" i="3"/>
  <c r="Q134" i="3"/>
  <c r="P54" i="3"/>
  <c r="N54" i="3"/>
  <c r="Q101" i="3"/>
  <c r="Q63" i="3"/>
  <c r="M35" i="3"/>
  <c r="Q145" i="3"/>
  <c r="N134" i="3"/>
  <c r="N128" i="3"/>
  <c r="P63" i="3"/>
  <c r="P30" i="3"/>
  <c r="O16" i="3"/>
  <c r="M116" i="3"/>
  <c r="N16" i="3"/>
  <c r="M193" i="3"/>
  <c r="O43" i="3"/>
  <c r="P260" i="3"/>
  <c r="N110" i="3"/>
  <c r="Q38" i="3"/>
  <c r="O24" i="3"/>
  <c r="P143" i="3"/>
  <c r="O104" i="3"/>
  <c r="Q61" i="3"/>
  <c r="M43" i="3"/>
  <c r="O205" i="3"/>
  <c r="P61" i="3"/>
  <c r="N205" i="3"/>
  <c r="O125" i="3"/>
  <c r="N56" i="3"/>
  <c r="N225" i="3"/>
  <c r="N125" i="3"/>
  <c r="O119" i="3"/>
  <c r="Q32" i="3"/>
  <c r="M18" i="3"/>
  <c r="F263" i="3"/>
  <c r="F259" i="3"/>
  <c r="F255" i="3"/>
  <c r="F251" i="3"/>
  <c r="F247" i="3"/>
  <c r="F243" i="3"/>
  <c r="F239" i="3"/>
  <c r="F235" i="3"/>
  <c r="F231" i="3"/>
  <c r="F227" i="3"/>
  <c r="F223" i="3"/>
  <c r="F219" i="3"/>
  <c r="F215" i="3"/>
  <c r="F211" i="3"/>
  <c r="F207" i="3"/>
  <c r="F203" i="3"/>
  <c r="F199" i="3"/>
  <c r="F195" i="3"/>
  <c r="F191" i="3"/>
  <c r="F187" i="3"/>
  <c r="F183" i="3"/>
  <c r="F179" i="3"/>
  <c r="F175" i="3"/>
  <c r="F171" i="3"/>
  <c r="F167" i="3"/>
  <c r="F163" i="3"/>
  <c r="F159" i="3"/>
  <c r="F155" i="3"/>
  <c r="H264" i="3"/>
  <c r="D263" i="3"/>
  <c r="H260" i="3"/>
  <c r="D259" i="3"/>
  <c r="H256" i="3"/>
  <c r="D255" i="3"/>
  <c r="H252" i="3"/>
  <c r="D251" i="3"/>
  <c r="H248" i="3"/>
  <c r="D247" i="3"/>
  <c r="H244" i="3"/>
  <c r="F265" i="3"/>
  <c r="E265" i="3"/>
  <c r="D265" i="3"/>
  <c r="F262" i="3"/>
  <c r="E259" i="3"/>
  <c r="D256" i="3"/>
  <c r="D253" i="3"/>
  <c r="D250" i="3"/>
  <c r="H245" i="3"/>
  <c r="D241" i="3"/>
  <c r="F238" i="3"/>
  <c r="H235" i="3"/>
  <c r="D231" i="3"/>
  <c r="F228" i="3"/>
  <c r="H225" i="3"/>
  <c r="E221" i="3"/>
  <c r="G218" i="3"/>
  <c r="D214" i="3"/>
  <c r="E211" i="3"/>
  <c r="G208" i="3"/>
  <c r="D204" i="3"/>
  <c r="F201" i="3"/>
  <c r="H198" i="3"/>
  <c r="E194" i="3"/>
  <c r="G191" i="3"/>
  <c r="H188" i="3"/>
  <c r="E184" i="3"/>
  <c r="G181" i="3"/>
  <c r="D177" i="3"/>
  <c r="F174" i="3"/>
  <c r="H171" i="3"/>
  <c r="D167" i="3"/>
  <c r="F164" i="3"/>
  <c r="H161" i="3"/>
  <c r="E157" i="3"/>
  <c r="G154" i="3"/>
  <c r="F150" i="3"/>
  <c r="F146" i="3"/>
  <c r="F142" i="3"/>
  <c r="F138" i="3"/>
  <c r="F134" i="3"/>
  <c r="F130" i="3"/>
  <c r="F126" i="3"/>
  <c r="F122" i="3"/>
  <c r="F118" i="3"/>
  <c r="F114" i="3"/>
  <c r="F110" i="3"/>
  <c r="F106" i="3"/>
  <c r="F102" i="3"/>
  <c r="F98" i="3"/>
  <c r="F94" i="3"/>
  <c r="F90" i="3"/>
  <c r="F86" i="3"/>
  <c r="F82" i="3"/>
  <c r="H265" i="3"/>
  <c r="E262" i="3"/>
  <c r="G248" i="3"/>
  <c r="G245" i="3"/>
  <c r="H242" i="3"/>
  <c r="E238" i="3"/>
  <c r="G235" i="3"/>
  <c r="H232" i="3"/>
  <c r="E228" i="3"/>
  <c r="G225" i="3"/>
  <c r="D221" i="3"/>
  <c r="F218" i="3"/>
  <c r="H215" i="3"/>
  <c r="D211" i="3"/>
  <c r="F208" i="3"/>
  <c r="H205" i="3"/>
  <c r="E201" i="3"/>
  <c r="G198" i="3"/>
  <c r="D194" i="3"/>
  <c r="E191" i="3"/>
  <c r="G188" i="3"/>
  <c r="D184" i="3"/>
  <c r="F181" i="3"/>
  <c r="H178" i="3"/>
  <c r="E174" i="3"/>
  <c r="G171" i="3"/>
  <c r="H168" i="3"/>
  <c r="E164" i="3"/>
  <c r="G161" i="3"/>
  <c r="D157" i="3"/>
  <c r="F154" i="3"/>
  <c r="E150" i="3"/>
  <c r="E146" i="3"/>
  <c r="E142" i="3"/>
  <c r="E138" i="3"/>
  <c r="E134" i="3"/>
  <c r="E130" i="3"/>
  <c r="E126" i="3"/>
  <c r="E122" i="3"/>
  <c r="E118" i="3"/>
  <c r="E114" i="3"/>
  <c r="E110" i="3"/>
  <c r="E106" i="3"/>
  <c r="G265" i="3"/>
  <c r="D262" i="3"/>
  <c r="H257" i="3"/>
  <c r="H254" i="3"/>
  <c r="H251" i="3"/>
  <c r="F248" i="3"/>
  <c r="F245" i="3"/>
  <c r="G242" i="3"/>
  <c r="D238" i="3"/>
  <c r="E235" i="3"/>
  <c r="G232" i="3"/>
  <c r="D228" i="3"/>
  <c r="F225" i="3"/>
  <c r="H222" i="3"/>
  <c r="E218" i="3"/>
  <c r="G215" i="3"/>
  <c r="H212" i="3"/>
  <c r="E208" i="3"/>
  <c r="G205" i="3"/>
  <c r="G260" i="3"/>
  <c r="G257" i="3"/>
  <c r="G254" i="3"/>
  <c r="G251" i="3"/>
  <c r="E248" i="3"/>
  <c r="E245" i="3"/>
  <c r="F242" i="3"/>
  <c r="H239" i="3"/>
  <c r="D235" i="3"/>
  <c r="F232" i="3"/>
  <c r="H229" i="3"/>
  <c r="E225" i="3"/>
  <c r="G222" i="3"/>
  <c r="D218" i="3"/>
  <c r="E215" i="3"/>
  <c r="G212" i="3"/>
  <c r="D208" i="3"/>
  <c r="F205" i="3"/>
  <c r="H202" i="3"/>
  <c r="E198" i="3"/>
  <c r="G195" i="3"/>
  <c r="H192" i="3"/>
  <c r="E188" i="3"/>
  <c r="G185" i="3"/>
  <c r="D181" i="3"/>
  <c r="F178" i="3"/>
  <c r="H175" i="3"/>
  <c r="D171" i="3"/>
  <c r="F168" i="3"/>
  <c r="H165" i="3"/>
  <c r="G263" i="3"/>
  <c r="E260" i="3"/>
  <c r="E257" i="3"/>
  <c r="E254" i="3"/>
  <c r="D242" i="3"/>
  <c r="E239" i="3"/>
  <c r="G236" i="3"/>
  <c r="D232" i="3"/>
  <c r="F229" i="3"/>
  <c r="H226" i="3"/>
  <c r="E222" i="3"/>
  <c r="G219" i="3"/>
  <c r="H216" i="3"/>
  <c r="E212" i="3"/>
  <c r="G209" i="3"/>
  <c r="D205" i="3"/>
  <c r="F202" i="3"/>
  <c r="H199" i="3"/>
  <c r="D195" i="3"/>
  <c r="F192" i="3"/>
  <c r="H189" i="3"/>
  <c r="E185" i="3"/>
  <c r="G182" i="3"/>
  <c r="D178" i="3"/>
  <c r="E175" i="3"/>
  <c r="E261" i="3"/>
  <c r="G259" i="3"/>
  <c r="E253" i="3"/>
  <c r="E249" i="3"/>
  <c r="H247" i="3"/>
  <c r="D245" i="3"/>
  <c r="E243" i="3"/>
  <c r="H241" i="3"/>
  <c r="D230" i="3"/>
  <c r="D226" i="3"/>
  <c r="F224" i="3"/>
  <c r="F222" i="3"/>
  <c r="G220" i="3"/>
  <c r="F216" i="3"/>
  <c r="D203" i="3"/>
  <c r="G201" i="3"/>
  <c r="G199" i="3"/>
  <c r="G194" i="3"/>
  <c r="E192" i="3"/>
  <c r="D185" i="3"/>
  <c r="G183" i="3"/>
  <c r="E176" i="3"/>
  <c r="H174" i="3"/>
  <c r="F169" i="3"/>
  <c r="D166" i="3"/>
  <c r="G164" i="3"/>
  <c r="G156" i="3"/>
  <c r="E153" i="3"/>
  <c r="D150" i="3"/>
  <c r="E147" i="3"/>
  <c r="E144" i="3"/>
  <c r="F141" i="3"/>
  <c r="G138" i="3"/>
  <c r="F135" i="3"/>
  <c r="F132" i="3"/>
  <c r="G129" i="3"/>
  <c r="H126" i="3"/>
  <c r="G123" i="3"/>
  <c r="G120" i="3"/>
  <c r="H117" i="3"/>
  <c r="H111" i="3"/>
  <c r="H108" i="3"/>
  <c r="E101" i="3"/>
  <c r="G98" i="3"/>
  <c r="H95" i="3"/>
  <c r="E91" i="3"/>
  <c r="G88" i="3"/>
  <c r="D84" i="3"/>
  <c r="F81" i="3"/>
  <c r="H78" i="3"/>
  <c r="D77" i="3"/>
  <c r="H74" i="3"/>
  <c r="D73" i="3"/>
  <c r="H70" i="3"/>
  <c r="D69" i="3"/>
  <c r="H66" i="3"/>
  <c r="D65" i="3"/>
  <c r="H62" i="3"/>
  <c r="D61" i="3"/>
  <c r="H58" i="3"/>
  <c r="D57" i="3"/>
  <c r="H54" i="3"/>
  <c r="D53" i="3"/>
  <c r="H50" i="3"/>
  <c r="D49" i="3"/>
  <c r="H46" i="3"/>
  <c r="D261" i="3"/>
  <c r="D249" i="3"/>
  <c r="G247" i="3"/>
  <c r="D243" i="3"/>
  <c r="G241" i="3"/>
  <c r="G239" i="3"/>
  <c r="H237" i="3"/>
  <c r="E224" i="3"/>
  <c r="D222" i="3"/>
  <c r="F220" i="3"/>
  <c r="E216" i="3"/>
  <c r="D201" i="3"/>
  <c r="E199" i="3"/>
  <c r="F194" i="3"/>
  <c r="D192" i="3"/>
  <c r="H190" i="3"/>
  <c r="E183" i="3"/>
  <c r="D176" i="3"/>
  <c r="G174" i="3"/>
  <c r="H172" i="3"/>
  <c r="E169" i="3"/>
  <c r="D164" i="3"/>
  <c r="E247" i="3"/>
  <c r="F241" i="3"/>
  <c r="D239" i="3"/>
  <c r="G237" i="3"/>
  <c r="H233" i="3"/>
  <c r="D224" i="3"/>
  <c r="E220" i="3"/>
  <c r="H218" i="3"/>
  <c r="D216" i="3"/>
  <c r="H214" i="3"/>
  <c r="D199" i="3"/>
  <c r="H197" i="3"/>
  <c r="G190" i="3"/>
  <c r="D183" i="3"/>
  <c r="H181" i="3"/>
  <c r="H179" i="3"/>
  <c r="D174" i="3"/>
  <c r="G172" i="3"/>
  <c r="D169" i="3"/>
  <c r="H162" i="3"/>
  <c r="G159" i="3"/>
  <c r="E156" i="3"/>
  <c r="H151" i="3"/>
  <c r="H148" i="3"/>
  <c r="D141" i="3"/>
  <c r="D135" i="3"/>
  <c r="D132" i="3"/>
  <c r="E129" i="3"/>
  <c r="D126" i="3"/>
  <c r="E123" i="3"/>
  <c r="E120" i="3"/>
  <c r="F117" i="3"/>
  <c r="G114" i="3"/>
  <c r="F111" i="3"/>
  <c r="F108" i="3"/>
  <c r="G105" i="3"/>
  <c r="H102" i="3"/>
  <c r="D98" i="3"/>
  <c r="F95" i="3"/>
  <c r="H92" i="3"/>
  <c r="E88" i="3"/>
  <c r="G85" i="3"/>
  <c r="E241" i="3"/>
  <c r="F237" i="3"/>
  <c r="G233" i="3"/>
  <c r="D220" i="3"/>
  <c r="G214" i="3"/>
  <c r="F212" i="3"/>
  <c r="H210" i="3"/>
  <c r="H206" i="3"/>
  <c r="G197" i="3"/>
  <c r="F190" i="3"/>
  <c r="F188" i="3"/>
  <c r="E181" i="3"/>
  <c r="G179" i="3"/>
  <c r="F172" i="3"/>
  <c r="H167" i="3"/>
  <c r="G162" i="3"/>
  <c r="E159" i="3"/>
  <c r="D156" i="3"/>
  <c r="G151" i="3"/>
  <c r="G148" i="3"/>
  <c r="H145" i="3"/>
  <c r="H139" i="3"/>
  <c r="H136" i="3"/>
  <c r="D129" i="3"/>
  <c r="D123" i="3"/>
  <c r="D120" i="3"/>
  <c r="E117" i="3"/>
  <c r="D114" i="3"/>
  <c r="E111" i="3"/>
  <c r="E108" i="3"/>
  <c r="F105" i="3"/>
  <c r="G102" i="3"/>
  <c r="H99" i="3"/>
  <c r="E95" i="3"/>
  <c r="H258" i="3"/>
  <c r="F252" i="3"/>
  <c r="D237" i="3"/>
  <c r="E233" i="3"/>
  <c r="H231" i="3"/>
  <c r="G229" i="3"/>
  <c r="E214" i="3"/>
  <c r="F210" i="3"/>
  <c r="H208" i="3"/>
  <c r="F206" i="3"/>
  <c r="H204" i="3"/>
  <c r="E197" i="3"/>
  <c r="D190" i="3"/>
  <c r="G186" i="3"/>
  <c r="D179" i="3"/>
  <c r="H177" i="3"/>
  <c r="D172" i="3"/>
  <c r="H170" i="3"/>
  <c r="E167" i="3"/>
  <c r="G165" i="3"/>
  <c r="E162" i="3"/>
  <c r="E154" i="3"/>
  <c r="E151" i="3"/>
  <c r="E148" i="3"/>
  <c r="F145" i="3"/>
  <c r="G142" i="3"/>
  <c r="F139" i="3"/>
  <c r="F136" i="3"/>
  <c r="G133" i="3"/>
  <c r="H130" i="3"/>
  <c r="G127" i="3"/>
  <c r="G124" i="3"/>
  <c r="H121" i="3"/>
  <c r="H115" i="3"/>
  <c r="H112" i="3"/>
  <c r="E252" i="3"/>
  <c r="E242" i="3"/>
  <c r="E237" i="3"/>
  <c r="E232" i="3"/>
  <c r="E229" i="3"/>
  <c r="D227" i="3"/>
  <c r="E219" i="3"/>
  <c r="D217" i="3"/>
  <c r="H209" i="3"/>
  <c r="E204" i="3"/>
  <c r="E190" i="3"/>
  <c r="H183" i="3"/>
  <c r="H173" i="3"/>
  <c r="F162" i="3"/>
  <c r="G160" i="3"/>
  <c r="D145" i="3"/>
  <c r="F143" i="3"/>
  <c r="D134" i="3"/>
  <c r="G132" i="3"/>
  <c r="G130" i="3"/>
  <c r="G128" i="3"/>
  <c r="D115" i="3"/>
  <c r="G113" i="3"/>
  <c r="G104" i="3"/>
  <c r="F99" i="3"/>
  <c r="G94" i="3"/>
  <c r="D91" i="3"/>
  <c r="G86" i="3"/>
  <c r="E83" i="3"/>
  <c r="E80" i="3"/>
  <c r="F77" i="3"/>
  <c r="G74" i="3"/>
  <c r="D70" i="3"/>
  <c r="F67" i="3"/>
  <c r="H64" i="3"/>
  <c r="E60" i="3"/>
  <c r="G57" i="3"/>
  <c r="E50" i="3"/>
  <c r="G47" i="3"/>
  <c r="F43" i="3"/>
  <c r="F39" i="3"/>
  <c r="F35" i="3"/>
  <c r="F31" i="3"/>
  <c r="F27" i="3"/>
  <c r="F23" i="3"/>
  <c r="F19" i="3"/>
  <c r="H262" i="3"/>
  <c r="F257" i="3"/>
  <c r="D252" i="3"/>
  <c r="H234" i="3"/>
  <c r="D229" i="3"/>
  <c r="H224" i="3"/>
  <c r="D219" i="3"/>
  <c r="F214" i="3"/>
  <c r="F209" i="3"/>
  <c r="G173" i="3"/>
  <c r="E171" i="3"/>
  <c r="D162" i="3"/>
  <c r="F160" i="3"/>
  <c r="E143" i="3"/>
  <c r="H141" i="3"/>
  <c r="E132" i="3"/>
  <c r="D130" i="3"/>
  <c r="F128" i="3"/>
  <c r="F113" i="3"/>
  <c r="G111" i="3"/>
  <c r="H109" i="3"/>
  <c r="F104" i="3"/>
  <c r="E99" i="3"/>
  <c r="E94" i="3"/>
  <c r="H89" i="3"/>
  <c r="E86" i="3"/>
  <c r="D83" i="3"/>
  <c r="D80" i="3"/>
  <c r="E77" i="3"/>
  <c r="F74" i="3"/>
  <c r="H71" i="3"/>
  <c r="E67" i="3"/>
  <c r="G64" i="3"/>
  <c r="D60" i="3"/>
  <c r="F57" i="3"/>
  <c r="G54" i="3"/>
  <c r="D50" i="3"/>
  <c r="F47" i="3"/>
  <c r="E43" i="3"/>
  <c r="E39" i="3"/>
  <c r="E35" i="3"/>
  <c r="E31" i="3"/>
  <c r="E27" i="3"/>
  <c r="E23" i="3"/>
  <c r="E19" i="3"/>
  <c r="G262" i="3"/>
  <c r="D257" i="3"/>
  <c r="G244" i="3"/>
  <c r="G234" i="3"/>
  <c r="G224" i="3"/>
  <c r="E209" i="3"/>
  <c r="G206" i="3"/>
  <c r="G192" i="3"/>
  <c r="H180" i="3"/>
  <c r="G178" i="3"/>
  <c r="F173" i="3"/>
  <c r="H164" i="3"/>
  <c r="E160" i="3"/>
  <c r="H158" i="3"/>
  <c r="H152" i="3"/>
  <c r="D143" i="3"/>
  <c r="G141" i="3"/>
  <c r="G139" i="3"/>
  <c r="E128" i="3"/>
  <c r="H124" i="3"/>
  <c r="E113" i="3"/>
  <c r="D111" i="3"/>
  <c r="G109" i="3"/>
  <c r="E104" i="3"/>
  <c r="D99" i="3"/>
  <c r="D94" i="3"/>
  <c r="G89" i="3"/>
  <c r="D86" i="3"/>
  <c r="E74" i="3"/>
  <c r="G71" i="3"/>
  <c r="D67" i="3"/>
  <c r="F64" i="3"/>
  <c r="H61" i="3"/>
  <c r="E57" i="3"/>
  <c r="F54" i="3"/>
  <c r="H51" i="3"/>
  <c r="E47" i="3"/>
  <c r="H44" i="3"/>
  <c r="D43" i="3"/>
  <c r="H40" i="3"/>
  <c r="D39" i="3"/>
  <c r="H36" i="3"/>
  <c r="D35" i="3"/>
  <c r="H32" i="3"/>
  <c r="D31" i="3"/>
  <c r="H28" i="3"/>
  <c r="D27" i="3"/>
  <c r="F264" i="3"/>
  <c r="F249" i="3"/>
  <c r="H246" i="3"/>
  <c r="D244" i="3"/>
  <c r="F236" i="3"/>
  <c r="D234" i="3"/>
  <c r="E231" i="3"/>
  <c r="F226" i="3"/>
  <c r="G221" i="3"/>
  <c r="H213" i="3"/>
  <c r="H211" i="3"/>
  <c r="H203" i="3"/>
  <c r="G196" i="3"/>
  <c r="H194" i="3"/>
  <c r="F189" i="3"/>
  <c r="G187" i="3"/>
  <c r="H182" i="3"/>
  <c r="E180" i="3"/>
  <c r="G170" i="3"/>
  <c r="E168" i="3"/>
  <c r="F166" i="3"/>
  <c r="E158" i="3"/>
  <c r="F156" i="3"/>
  <c r="E152" i="3"/>
  <c r="H150" i="3"/>
  <c r="D148" i="3"/>
  <c r="H146" i="3"/>
  <c r="F137" i="3"/>
  <c r="H135" i="3"/>
  <c r="D124" i="3"/>
  <c r="G122" i="3"/>
  <c r="F120" i="3"/>
  <c r="G118" i="3"/>
  <c r="H116" i="3"/>
  <c r="D109" i="3"/>
  <c r="F107" i="3"/>
  <c r="H100" i="3"/>
  <c r="F97" i="3"/>
  <c r="E92" i="3"/>
  <c r="D89" i="3"/>
  <c r="H87" i="3"/>
  <c r="G84" i="3"/>
  <c r="E81" i="3"/>
  <c r="E78" i="3"/>
  <c r="G75" i="3"/>
  <c r="D71" i="3"/>
  <c r="F68" i="3"/>
  <c r="H65" i="3"/>
  <c r="E61" i="3"/>
  <c r="F58" i="3"/>
  <c r="G253" i="3"/>
  <c r="F250" i="3"/>
  <c r="E244" i="3"/>
  <c r="D225" i="3"/>
  <c r="H219" i="3"/>
  <c r="G216" i="3"/>
  <c r="G213" i="3"/>
  <c r="G210" i="3"/>
  <c r="G207" i="3"/>
  <c r="G204" i="3"/>
  <c r="H201" i="3"/>
  <c r="D193" i="3"/>
  <c r="D187" i="3"/>
  <c r="G184" i="3"/>
  <c r="E170" i="3"/>
  <c r="H157" i="3"/>
  <c r="G152" i="3"/>
  <c r="G145" i="3"/>
  <c r="G136" i="3"/>
  <c r="D122" i="3"/>
  <c r="G112" i="3"/>
  <c r="H110" i="3"/>
  <c r="H93" i="3"/>
  <c r="G87" i="3"/>
  <c r="H85" i="3"/>
  <c r="G83" i="3"/>
  <c r="H81" i="3"/>
  <c r="H79" i="3"/>
  <c r="D76" i="3"/>
  <c r="F72" i="3"/>
  <c r="G63" i="3"/>
  <c r="F56" i="3"/>
  <c r="E51" i="3"/>
  <c r="E46" i="3"/>
  <c r="F41" i="3"/>
  <c r="E38" i="3"/>
  <c r="F33" i="3"/>
  <c r="E30" i="3"/>
  <c r="F25" i="3"/>
  <c r="G22" i="3"/>
  <c r="H19" i="3"/>
  <c r="G16" i="3"/>
  <c r="G258" i="3"/>
  <c r="F253" i="3"/>
  <c r="E250" i="3"/>
  <c r="H240" i="3"/>
  <c r="G231" i="3"/>
  <c r="H228" i="3"/>
  <c r="F213" i="3"/>
  <c r="E210" i="3"/>
  <c r="E207" i="3"/>
  <c r="F204" i="3"/>
  <c r="F198" i="3"/>
  <c r="F184" i="3"/>
  <c r="G175" i="3"/>
  <c r="D170" i="3"/>
  <c r="G167" i="3"/>
  <c r="G157" i="3"/>
  <c r="F152" i="3"/>
  <c r="H147" i="3"/>
  <c r="E145" i="3"/>
  <c r="H140" i="3"/>
  <c r="E136" i="3"/>
  <c r="H129" i="3"/>
  <c r="H119" i="3"/>
  <c r="G117" i="3"/>
  <c r="F112" i="3"/>
  <c r="G110" i="3"/>
  <c r="H103" i="3"/>
  <c r="H97" i="3"/>
  <c r="G95" i="3"/>
  <c r="G93" i="3"/>
  <c r="H91" i="3"/>
  <c r="F87" i="3"/>
  <c r="F85" i="3"/>
  <c r="F83" i="3"/>
  <c r="G81" i="3"/>
  <c r="G79" i="3"/>
  <c r="E72" i="3"/>
  <c r="F63" i="3"/>
  <c r="E56" i="3"/>
  <c r="D51" i="3"/>
  <c r="D46" i="3"/>
  <c r="G44" i="3"/>
  <c r="E41" i="3"/>
  <c r="D38" i="3"/>
  <c r="G36" i="3"/>
  <c r="E33" i="3"/>
  <c r="D30" i="3"/>
  <c r="G28" i="3"/>
  <c r="E25" i="3"/>
  <c r="F22" i="3"/>
  <c r="G19" i="3"/>
  <c r="F16" i="3"/>
  <c r="E264" i="3"/>
  <c r="G255" i="3"/>
  <c r="G252" i="3"/>
  <c r="H249" i="3"/>
  <c r="H243" i="3"/>
  <c r="E240" i="3"/>
  <c r="E234" i="3"/>
  <c r="E195" i="3"/>
  <c r="D189" i="3"/>
  <c r="E172" i="3"/>
  <c r="H261" i="3"/>
  <c r="F258" i="3"/>
  <c r="G240" i="3"/>
  <c r="G228" i="3"/>
  <c r="E213" i="3"/>
  <c r="D210" i="3"/>
  <c r="D207" i="3"/>
  <c r="D198" i="3"/>
  <c r="G189" i="3"/>
  <c r="E178" i="3"/>
  <c r="D175" i="3"/>
  <c r="H159" i="3"/>
  <c r="F157" i="3"/>
  <c r="H154" i="3"/>
  <c r="D152" i="3"/>
  <c r="G147" i="3"/>
  <c r="G140" i="3"/>
  <c r="D136" i="3"/>
  <c r="H131" i="3"/>
  <c r="F129" i="3"/>
  <c r="F124" i="3"/>
  <c r="G119" i="3"/>
  <c r="D117" i="3"/>
  <c r="E112" i="3"/>
  <c r="D110" i="3"/>
  <c r="G103" i="3"/>
  <c r="G97" i="3"/>
  <c r="D95" i="3"/>
  <c r="F93" i="3"/>
  <c r="G91" i="3"/>
  <c r="F89" i="3"/>
  <c r="E87" i="3"/>
  <c r="E85" i="3"/>
  <c r="D81" i="3"/>
  <c r="F79" i="3"/>
  <c r="D72" i="3"/>
  <c r="G70" i="3"/>
  <c r="E63" i="3"/>
  <c r="G61" i="3"/>
  <c r="D56" i="3"/>
  <c r="E54" i="3"/>
  <c r="H49" i="3"/>
  <c r="F44" i="3"/>
  <c r="D41" i="3"/>
  <c r="F36" i="3"/>
  <c r="D33" i="3"/>
  <c r="F28" i="3"/>
  <c r="D25" i="3"/>
  <c r="E22" i="3"/>
  <c r="D19" i="3"/>
  <c r="E16" i="3"/>
  <c r="G264" i="3"/>
  <c r="G261" i="3"/>
  <c r="E258" i="3"/>
  <c r="H255" i="3"/>
  <c r="F240" i="3"/>
  <c r="F234" i="3"/>
  <c r="D213" i="3"/>
  <c r="H195" i="3"/>
  <c r="E189" i="3"/>
  <c r="H186" i="3"/>
  <c r="D159" i="3"/>
  <c r="D154" i="3"/>
  <c r="H149" i="3"/>
  <c r="F147" i="3"/>
  <c r="F140" i="3"/>
  <c r="H138" i="3"/>
  <c r="G131" i="3"/>
  <c r="E124" i="3"/>
  <c r="F119" i="3"/>
  <c r="D112" i="3"/>
  <c r="F103" i="3"/>
  <c r="H101" i="3"/>
  <c r="G99" i="3"/>
  <c r="E97" i="3"/>
  <c r="E93" i="3"/>
  <c r="F91" i="3"/>
  <c r="E89" i="3"/>
  <c r="D87" i="3"/>
  <c r="D85" i="3"/>
  <c r="E79" i="3"/>
  <c r="F70" i="3"/>
  <c r="H68" i="3"/>
  <c r="D63" i="3"/>
  <c r="F61" i="3"/>
  <c r="H59" i="3"/>
  <c r="D54" i="3"/>
  <c r="G49" i="3"/>
  <c r="E44" i="3"/>
  <c r="E36" i="3"/>
  <c r="E28" i="3"/>
  <c r="D22" i="3"/>
  <c r="D16" i="3"/>
  <c r="F261" i="3"/>
  <c r="G246" i="3"/>
  <c r="H200" i="3"/>
  <c r="F186" i="3"/>
  <c r="D264" i="3"/>
  <c r="E255" i="3"/>
  <c r="G249" i="3"/>
  <c r="F246" i="3"/>
  <c r="G243" i="3"/>
  <c r="D240" i="3"/>
  <c r="E206" i="3"/>
  <c r="G203" i="3"/>
  <c r="G200" i="3"/>
  <c r="E186" i="3"/>
  <c r="G180" i="3"/>
  <c r="G177" i="3"/>
  <c r="E161" i="3"/>
  <c r="F149" i="3"/>
  <c r="D142" i="3"/>
  <c r="D140" i="3"/>
  <c r="F133" i="3"/>
  <c r="E131" i="3"/>
  <c r="G126" i="3"/>
  <c r="G121" i="3"/>
  <c r="D119" i="3"/>
  <c r="H114" i="3"/>
  <c r="G107" i="3"/>
  <c r="E105" i="3"/>
  <c r="D103" i="3"/>
  <c r="F101" i="3"/>
  <c r="G77" i="3"/>
  <c r="F75" i="3"/>
  <c r="E68" i="3"/>
  <c r="G66" i="3"/>
  <c r="F59" i="3"/>
  <c r="G52" i="3"/>
  <c r="E49" i="3"/>
  <c r="H47" i="3"/>
  <c r="H42" i="3"/>
  <c r="G39" i="3"/>
  <c r="H34" i="3"/>
  <c r="G31" i="3"/>
  <c r="H26" i="3"/>
  <c r="H23" i="3"/>
  <c r="G20" i="3"/>
  <c r="G17" i="3"/>
  <c r="H253" i="3"/>
  <c r="F221" i="3"/>
  <c r="G217" i="3"/>
  <c r="F197" i="3"/>
  <c r="F182" i="3"/>
  <c r="D168" i="3"/>
  <c r="D161" i="3"/>
  <c r="F158" i="3"/>
  <c r="E155" i="3"/>
  <c r="G143" i="3"/>
  <c r="G137" i="3"/>
  <c r="E119" i="3"/>
  <c r="F116" i="3"/>
  <c r="D107" i="3"/>
  <c r="G96" i="3"/>
  <c r="G80" i="3"/>
  <c r="H75" i="3"/>
  <c r="F73" i="3"/>
  <c r="D66" i="3"/>
  <c r="D52" i="3"/>
  <c r="F45" i="3"/>
  <c r="G26" i="3"/>
  <c r="G24" i="3"/>
  <c r="H22" i="3"/>
  <c r="D20" i="3"/>
  <c r="F18" i="3"/>
  <c r="F260" i="3"/>
  <c r="F217" i="3"/>
  <c r="E205" i="3"/>
  <c r="D197" i="3"/>
  <c r="H193" i="3"/>
  <c r="D186" i="3"/>
  <c r="E182" i="3"/>
  <c r="D158" i="3"/>
  <c r="D155" i="3"/>
  <c r="F148" i="3"/>
  <c r="E137" i="3"/>
  <c r="H128" i="3"/>
  <c r="H125" i="3"/>
  <c r="E116" i="3"/>
  <c r="H113" i="3"/>
  <c r="F96" i="3"/>
  <c r="H82" i="3"/>
  <c r="F80" i="3"/>
  <c r="E75" i="3"/>
  <c r="E73" i="3"/>
  <c r="H56" i="3"/>
  <c r="D47" i="3"/>
  <c r="E45" i="3"/>
  <c r="H43" i="3"/>
  <c r="F26" i="3"/>
  <c r="F24" i="3"/>
  <c r="E18" i="3"/>
  <c r="H263" i="3"/>
  <c r="G223" i="3"/>
  <c r="D215" i="3"/>
  <c r="H207" i="3"/>
  <c r="E177" i="3"/>
  <c r="G60" i="3"/>
  <c r="E40" i="3"/>
  <c r="G23" i="3"/>
  <c r="F21" i="3"/>
  <c r="E17" i="3"/>
  <c r="E263" i="3"/>
  <c r="G227" i="3"/>
  <c r="G211" i="3"/>
  <c r="D188" i="3"/>
  <c r="F170" i="3"/>
  <c r="D163" i="3"/>
  <c r="D147" i="3"/>
  <c r="G144" i="3"/>
  <c r="E127" i="3"/>
  <c r="G100" i="3"/>
  <c r="G92" i="3"/>
  <c r="D90" i="3"/>
  <c r="F62" i="3"/>
  <c r="F55" i="3"/>
  <c r="G53" i="3"/>
  <c r="E42" i="3"/>
  <c r="D40" i="3"/>
  <c r="H29" i="3"/>
  <c r="H25" i="3"/>
  <c r="D23" i="3"/>
  <c r="E21" i="3"/>
  <c r="D17" i="3"/>
  <c r="H156" i="3"/>
  <c r="F92" i="3"/>
  <c r="E173" i="3"/>
  <c r="H67" i="3"/>
  <c r="D55" i="3"/>
  <c r="H48" i="3"/>
  <c r="F29" i="3"/>
  <c r="E202" i="3"/>
  <c r="D108" i="3"/>
  <c r="D97" i="3"/>
  <c r="G76" i="3"/>
  <c r="G67" i="3"/>
  <c r="D260" i="3"/>
  <c r="G256" i="3"/>
  <c r="H236" i="3"/>
  <c r="E217" i="3"/>
  <c r="F200" i="3"/>
  <c r="G193" i="3"/>
  <c r="D182" i="3"/>
  <c r="D137" i="3"/>
  <c r="H134" i="3"/>
  <c r="F131" i="3"/>
  <c r="D128" i="3"/>
  <c r="G125" i="3"/>
  <c r="H122" i="3"/>
  <c r="D116" i="3"/>
  <c r="D113" i="3"/>
  <c r="H104" i="3"/>
  <c r="E96" i="3"/>
  <c r="H88" i="3"/>
  <c r="G82" i="3"/>
  <c r="D75" i="3"/>
  <c r="G68" i="3"/>
  <c r="G56" i="3"/>
  <c r="D45" i="3"/>
  <c r="G43" i="3"/>
  <c r="G32" i="3"/>
  <c r="H30" i="3"/>
  <c r="E26" i="3"/>
  <c r="E24" i="3"/>
  <c r="D18" i="3"/>
  <c r="D106" i="3"/>
  <c r="F254" i="3"/>
  <c r="F180" i="3"/>
  <c r="H57" i="3"/>
  <c r="D254" i="3"/>
  <c r="H230" i="3"/>
  <c r="G202" i="3"/>
  <c r="H191" i="3"/>
  <c r="H184" i="3"/>
  <c r="E166" i="3"/>
  <c r="G153" i="3"/>
  <c r="D144" i="3"/>
  <c r="G135" i="3"/>
  <c r="H120" i="3"/>
  <c r="G108" i="3"/>
  <c r="E100" i="3"/>
  <c r="D92" i="3"/>
  <c r="D74" i="3"/>
  <c r="D62" i="3"/>
  <c r="F46" i="3"/>
  <c r="H31" i="3"/>
  <c r="D191" i="3"/>
  <c r="H169" i="3"/>
  <c r="D138" i="3"/>
  <c r="H238" i="3"/>
  <c r="F230" i="3"/>
  <c r="G226" i="3"/>
  <c r="G169" i="3"/>
  <c r="F256" i="3"/>
  <c r="E236" i="3"/>
  <c r="D212" i="3"/>
  <c r="E200" i="3"/>
  <c r="F193" i="3"/>
  <c r="F151" i="3"/>
  <c r="H142" i="3"/>
  <c r="G134" i="3"/>
  <c r="D131" i="3"/>
  <c r="F125" i="3"/>
  <c r="H118" i="3"/>
  <c r="F109" i="3"/>
  <c r="D104" i="3"/>
  <c r="G101" i="3"/>
  <c r="D96" i="3"/>
  <c r="F88" i="3"/>
  <c r="E82" i="3"/>
  <c r="H77" i="3"/>
  <c r="D68" i="3"/>
  <c r="H63" i="3"/>
  <c r="G58" i="3"/>
  <c r="G34" i="3"/>
  <c r="F32" i="3"/>
  <c r="G30" i="3"/>
  <c r="D28" i="3"/>
  <c r="D26" i="3"/>
  <c r="D24" i="3"/>
  <c r="G90" i="3"/>
  <c r="G21" i="3"/>
  <c r="H259" i="3"/>
  <c r="H227" i="3"/>
  <c r="D196" i="3"/>
  <c r="E163" i="3"/>
  <c r="H144" i="3"/>
  <c r="E133" i="3"/>
  <c r="F127" i="3"/>
  <c r="D121" i="3"/>
  <c r="F115" i="3"/>
  <c r="G106" i="3"/>
  <c r="E103" i="3"/>
  <c r="E90" i="3"/>
  <c r="E84" i="3"/>
  <c r="G72" i="3"/>
  <c r="G62" i="3"/>
  <c r="G55" i="3"/>
  <c r="H53" i="3"/>
  <c r="F51" i="3"/>
  <c r="F42" i="3"/>
  <c r="F38" i="3"/>
  <c r="E223" i="3"/>
  <c r="H166" i="3"/>
  <c r="D133" i="3"/>
  <c r="E115" i="3"/>
  <c r="E227" i="3"/>
  <c r="D223" i="3"/>
  <c r="G166" i="3"/>
  <c r="H153" i="3"/>
  <c r="G150" i="3"/>
  <c r="F144" i="3"/>
  <c r="D127" i="3"/>
  <c r="F100" i="3"/>
  <c r="E62" i="3"/>
  <c r="F53" i="3"/>
  <c r="G46" i="3"/>
  <c r="D44" i="3"/>
  <c r="D42" i="3"/>
  <c r="G29" i="3"/>
  <c r="G25" i="3"/>
  <c r="D21" i="3"/>
  <c r="D258" i="3"/>
  <c r="D206" i="3"/>
  <c r="D180" i="3"/>
  <c r="G230" i="3"/>
  <c r="D173" i="3"/>
  <c r="F153" i="3"/>
  <c r="E135" i="3"/>
  <c r="H105" i="3"/>
  <c r="D100" i="3"/>
  <c r="H69" i="3"/>
  <c r="G48" i="3"/>
  <c r="H37" i="3"/>
  <c r="H33" i="3"/>
  <c r="E29" i="3"/>
  <c r="H27" i="3"/>
  <c r="D202" i="3"/>
  <c r="E256" i="3"/>
  <c r="D248" i="3"/>
  <c r="D236" i="3"/>
  <c r="D200" i="3"/>
  <c r="H196" i="3"/>
  <c r="E193" i="3"/>
  <c r="D151" i="3"/>
  <c r="E139" i="3"/>
  <c r="E125" i="3"/>
  <c r="D118" i="3"/>
  <c r="E109" i="3"/>
  <c r="D101" i="3"/>
  <c r="H98" i="3"/>
  <c r="D93" i="3"/>
  <c r="D88" i="3"/>
  <c r="D82" i="3"/>
  <c r="E58" i="3"/>
  <c r="F34" i="3"/>
  <c r="E32" i="3"/>
  <c r="F30" i="3"/>
  <c r="F40" i="3"/>
  <c r="E65" i="3"/>
  <c r="E251" i="3"/>
  <c r="F60" i="3"/>
  <c r="E55" i="3"/>
  <c r="H76" i="3"/>
  <c r="E53" i="3"/>
  <c r="E141" i="3"/>
  <c r="E64" i="3"/>
  <c r="H220" i="3"/>
  <c r="F196" i="3"/>
  <c r="H185" i="3"/>
  <c r="H163" i="3"/>
  <c r="H160" i="3"/>
  <c r="D139" i="3"/>
  <c r="D125" i="3"/>
  <c r="F121" i="3"/>
  <c r="E98" i="3"/>
  <c r="H90" i="3"/>
  <c r="H84" i="3"/>
  <c r="E70" i="3"/>
  <c r="G65" i="3"/>
  <c r="D58" i="3"/>
  <c r="F49" i="3"/>
  <c r="G40" i="3"/>
  <c r="H38" i="3"/>
  <c r="E34" i="3"/>
  <c r="D32" i="3"/>
  <c r="H21" i="3"/>
  <c r="H17" i="3"/>
  <c r="F244" i="3"/>
  <c r="H223" i="3"/>
  <c r="E203" i="3"/>
  <c r="E196" i="3"/>
  <c r="F185" i="3"/>
  <c r="F177" i="3"/>
  <c r="G163" i="3"/>
  <c r="D160" i="3"/>
  <c r="H133" i="3"/>
  <c r="H127" i="3"/>
  <c r="E121" i="3"/>
  <c r="G115" i="3"/>
  <c r="H106" i="3"/>
  <c r="F84" i="3"/>
  <c r="D79" i="3"/>
  <c r="H72" i="3"/>
  <c r="F65" i="3"/>
  <c r="H60" i="3"/>
  <c r="H55" i="3"/>
  <c r="G51" i="3"/>
  <c r="G42" i="3"/>
  <c r="G38" i="3"/>
  <c r="D36" i="3"/>
  <c r="D34" i="3"/>
  <c r="F17" i="3"/>
  <c r="G238" i="3"/>
  <c r="E165" i="3"/>
  <c r="H86" i="3"/>
  <c r="E76" i="3"/>
  <c r="E37" i="3"/>
  <c r="H123" i="3"/>
  <c r="F69" i="3"/>
  <c r="H39" i="3"/>
  <c r="D105" i="3"/>
  <c r="G73" i="3"/>
  <c r="F48" i="3"/>
  <c r="E187" i="3"/>
  <c r="E149" i="3"/>
  <c r="D48" i="3"/>
  <c r="D29" i="3"/>
  <c r="E246" i="3"/>
  <c r="H132" i="3"/>
  <c r="F52" i="3"/>
  <c r="H137" i="3"/>
  <c r="E66" i="3"/>
  <c r="G37" i="3"/>
  <c r="F165" i="3"/>
  <c r="E71" i="3"/>
  <c r="F37" i="3"/>
  <c r="D165" i="3"/>
  <c r="D153" i="3"/>
  <c r="D37" i="3"/>
  <c r="H18" i="3"/>
  <c r="H217" i="3"/>
  <c r="E102" i="3"/>
  <c r="H41" i="3"/>
  <c r="G18" i="3"/>
  <c r="H94" i="3"/>
  <c r="F233" i="3"/>
  <c r="D246" i="3"/>
  <c r="H250" i="3"/>
  <c r="E230" i="3"/>
  <c r="G158" i="3"/>
  <c r="G146" i="3"/>
  <c r="H107" i="3"/>
  <c r="D102" i="3"/>
  <c r="H96" i="3"/>
  <c r="H80" i="3"/>
  <c r="D64" i="3"/>
  <c r="G59" i="3"/>
  <c r="G50" i="3"/>
  <c r="H45" i="3"/>
  <c r="G41" i="3"/>
  <c r="G27" i="3"/>
  <c r="D59" i="3"/>
  <c r="H35" i="3"/>
  <c r="H221" i="3"/>
  <c r="G78" i="3"/>
  <c r="H83" i="3"/>
  <c r="H16" i="3"/>
  <c r="H187" i="3"/>
  <c r="G149" i="3"/>
  <c r="F20" i="3"/>
  <c r="H155" i="3"/>
  <c r="D233" i="3"/>
  <c r="E226" i="3"/>
  <c r="G155" i="3"/>
  <c r="H52" i="3"/>
  <c r="G33" i="3"/>
  <c r="G250" i="3"/>
  <c r="D209" i="3"/>
  <c r="H176" i="3"/>
  <c r="D146" i="3"/>
  <c r="E107" i="3"/>
  <c r="G69" i="3"/>
  <c r="E59" i="3"/>
  <c r="F50" i="3"/>
  <c r="G45" i="3"/>
  <c r="G176" i="3"/>
  <c r="F176" i="3"/>
  <c r="E140" i="3"/>
  <c r="F123" i="3"/>
  <c r="E69" i="3"/>
  <c r="G168" i="3"/>
  <c r="H73" i="3"/>
  <c r="G35" i="3"/>
  <c r="G116" i="3"/>
  <c r="F78" i="3"/>
  <c r="H20" i="3"/>
  <c r="F161" i="3"/>
  <c r="D78" i="3"/>
  <c r="E48" i="3"/>
  <c r="E20" i="3"/>
  <c r="D149" i="3"/>
  <c r="E179" i="3"/>
  <c r="F66" i="3"/>
  <c r="H24" i="3"/>
  <c r="H143" i="3"/>
  <c r="F71" i="3"/>
  <c r="E52" i="3"/>
  <c r="F76" i="3"/>
  <c r="P9" i="3" l="1"/>
  <c r="N9" i="3"/>
  <c r="H9" i="3"/>
  <c r="Q9" i="3"/>
  <c r="F9" i="3"/>
  <c r="D9" i="3"/>
  <c r="O9" i="3"/>
  <c r="M9" i="3"/>
  <c r="E9" i="3"/>
  <c r="G9" i="3"/>
  <c r="E10" i="3" l="1"/>
  <c r="E11" i="3"/>
  <c r="G10" i="3"/>
  <c r="G11" i="3"/>
  <c r="M10" i="3"/>
  <c r="M11" i="3"/>
  <c r="L9" i="3"/>
  <c r="Q10" i="3"/>
  <c r="Q11" i="3"/>
  <c r="F10" i="3"/>
  <c r="F11" i="3"/>
  <c r="H10" i="3"/>
  <c r="H11" i="3"/>
  <c r="O10" i="3"/>
  <c r="O11" i="3"/>
  <c r="N10" i="3"/>
  <c r="N11" i="3"/>
  <c r="C9" i="3"/>
  <c r="D10" i="3"/>
  <c r="D11" i="3"/>
  <c r="P10" i="3"/>
  <c r="P11" i="3"/>
  <c r="L10" i="3" l="1"/>
  <c r="L11" i="3"/>
  <c r="C10" i="3"/>
  <c r="C11" i="3"/>
</calcChain>
</file>

<file path=xl/sharedStrings.xml><?xml version="1.0" encoding="utf-8"?>
<sst xmlns="http://schemas.openxmlformats.org/spreadsheetml/2006/main" count="1700" uniqueCount="349">
  <si>
    <t>Nilai Investasi (Vo)</t>
  </si>
  <si>
    <t>KESIMPULAN METODE SIMULASI HISTORIS (HISTORICAL SIMULATION)</t>
  </si>
  <si>
    <t>Holding Period (t)</t>
  </si>
  <si>
    <t>1. Saham Microsoft (MSFT):</t>
  </si>
  <si>
    <t>Tingkat Signifikansi (alfa)</t>
  </si>
  <si>
    <t>Pada tingkat kepercayaan 95% dan holding period 1 hari dengan modal $100.000, estimasi kerugian maksimum (VaR) adalah sebesar $2.810,75 (2,81%). Artinya, terdapat keyakinan 95% bahwa kerugian harian pasar saham MSFT tidak akan melebihi batas $2.810,75.</t>
  </si>
  <si>
    <t>Tingkat Kepercayaan (1-alfa)</t>
  </si>
  <si>
    <t>Nilai Persentil-alfa</t>
  </si>
  <si>
    <t>2. Saham Amazon (AMZN):</t>
  </si>
  <si>
    <t>Faktor Waktu (√t)</t>
  </si>
  <si>
    <t>Pada tingkat kepercayaan 95% dan holding period 1 hari dengan modal $100.000, estimasi kerugian maksimum (VaR) adalah sebesar $3.049,71 (3,05%). Artinya, terdapat keyakinan 95% bahwa kerugian harian pasar saham AMZN tidak akan melebihi batas $3.049,71.</t>
  </si>
  <si>
    <t>Nilai VaR ($)</t>
  </si>
  <si>
    <t>Nilai VaR (%)</t>
  </si>
  <si>
    <t>3. Perbandingan Risiko Pasar (AMZN vs MSFT):</t>
  </si>
  <si>
    <t>Berdasarkan metode Historical Simulation, saham Amazon memiliki potensi risiko kerugian yang lebih tinggi dibandingkan saham Microsoft ($3.049,71 vs $2.810,75 atau 3,05% vs 2,81%). Selisih potensi kerugian pada tingkat kepercayaan 95% adalah sebesar $238,96 per $100.000 investasi.</t>
  </si>
  <si>
    <t>MICROSOFT (MSFT)</t>
  </si>
  <si>
    <t>AMAZON (AMZN)</t>
  </si>
  <si>
    <t>Tanggal</t>
  </si>
  <si>
    <t>Penutupan</t>
  </si>
  <si>
    <t>Return</t>
  </si>
  <si>
    <t>Sorted Return</t>
  </si>
  <si>
    <t>Closing</t>
  </si>
  <si>
    <t>4. Karakteristik Metode Simulasi Historis:</t>
  </si>
  <si>
    <t>2025-09-22</t>
  </si>
  <si>
    <t>-</t>
  </si>
  <si>
    <t>Metode Simulasi Historis bersifat non-parametrik dan tidak mengasumsikan distribusi return berdistribusi normal. Kuantil 5% diambil langsung dari observasi return aktual di masa lalu, sehingga secara alami menangkap sifat ketidaksimetrisan (skewness) dan ekor gemuk (fat tails) empiris.</t>
  </si>
  <si>
    <t>2025-09-23</t>
  </si>
  <si>
    <t>2025-09-24</t>
  </si>
  <si>
    <t>2025-09-25</t>
  </si>
  <si>
    <t>2025-09-26</t>
  </si>
  <si>
    <t>2025-09-29</t>
  </si>
  <si>
    <t>2025-09-30</t>
  </si>
  <si>
    <t>2025-10-01</t>
  </si>
  <si>
    <t>2025-10-02</t>
  </si>
  <si>
    <t>2025-10-03</t>
  </si>
  <si>
    <t>2025-10-06</t>
  </si>
  <si>
    <t>2025-10-07</t>
  </si>
  <si>
    <t>2025-10-08</t>
  </si>
  <si>
    <t>2025-10-09</t>
  </si>
  <si>
    <t>2025-10-10</t>
  </si>
  <si>
    <t>2025-10-13</t>
  </si>
  <si>
    <t>2025-10-14</t>
  </si>
  <si>
    <t>2025-10-15</t>
  </si>
  <si>
    <t>2025-10-16</t>
  </si>
  <si>
    <t>2025-10-17</t>
  </si>
  <si>
    <t>2025-10-20</t>
  </si>
  <si>
    <t>2025-10-21</t>
  </si>
  <si>
    <t>2025-10-22</t>
  </si>
  <si>
    <t>2025-10-23</t>
  </si>
  <si>
    <t>2025-10-24</t>
  </si>
  <si>
    <t>2025-10-27</t>
  </si>
  <si>
    <t>2025-10-28</t>
  </si>
  <si>
    <t>2025-10-29</t>
  </si>
  <si>
    <t>2025-10-30</t>
  </si>
  <si>
    <t>2025-10-31</t>
  </si>
  <si>
    <t>2025-11-03</t>
  </si>
  <si>
    <t>2025-11-04</t>
  </si>
  <si>
    <t>2025-11-05</t>
  </si>
  <si>
    <t>2025-11-06</t>
  </si>
  <si>
    <t>2025-11-07</t>
  </si>
  <si>
    <t>2025-11-10</t>
  </si>
  <si>
    <t>2025-11-11</t>
  </si>
  <si>
    <t>2025-11-12</t>
  </si>
  <si>
    <t>2025-11-13</t>
  </si>
  <si>
    <t>2025-11-14</t>
  </si>
  <si>
    <t>2025-11-17</t>
  </si>
  <si>
    <t>2025-11-18</t>
  </si>
  <si>
    <t>2025-11-19</t>
  </si>
  <si>
    <t>2025-11-20</t>
  </si>
  <si>
    <t>2025-11-21</t>
  </si>
  <si>
    <t>2025-11-24</t>
  </si>
  <si>
    <t>2025-11-25</t>
  </si>
  <si>
    <t>2025-11-26</t>
  </si>
  <si>
    <t>2025-11-28</t>
  </si>
  <si>
    <t>2025-12-01</t>
  </si>
  <si>
    <t>2025-12-02</t>
  </si>
  <si>
    <t>2025-12-03</t>
  </si>
  <si>
    <t>2025-12-04</t>
  </si>
  <si>
    <t>2025-12-05</t>
  </si>
  <si>
    <t>2025-12-08</t>
  </si>
  <si>
    <t>2025-12-09</t>
  </si>
  <si>
    <t>2025-12-10</t>
  </si>
  <si>
    <t>2025-12-11</t>
  </si>
  <si>
    <t>2025-12-12</t>
  </si>
  <si>
    <t>2025-12-15</t>
  </si>
  <si>
    <t>2025-12-16</t>
  </si>
  <si>
    <t>2025-12-17</t>
  </si>
  <si>
    <t>2025-12-18</t>
  </si>
  <si>
    <t>2025-12-19</t>
  </si>
  <si>
    <t>2025-12-22</t>
  </si>
  <si>
    <t>2025-12-23</t>
  </si>
  <si>
    <t>2025-12-24</t>
  </si>
  <si>
    <t>2025-12-26</t>
  </si>
  <si>
    <t>2025-12-29</t>
  </si>
  <si>
    <t>2025-12-30</t>
  </si>
  <si>
    <t>2025-12-31</t>
  </si>
  <si>
    <t>2026-01-02</t>
  </si>
  <si>
    <t>2026-01-05</t>
  </si>
  <si>
    <t>2026-01-06</t>
  </si>
  <si>
    <t>2026-01-07</t>
  </si>
  <si>
    <t>2026-01-08</t>
  </si>
  <si>
    <t>2026-01-09</t>
  </si>
  <si>
    <t>2026-01-12</t>
  </si>
  <si>
    <t>2026-01-13</t>
  </si>
  <si>
    <t>2026-01-14</t>
  </si>
  <si>
    <t>2026-01-15</t>
  </si>
  <si>
    <t>2026-01-16</t>
  </si>
  <si>
    <t>2026-01-20</t>
  </si>
  <si>
    <t>2026-01-21</t>
  </si>
  <si>
    <t>2026-01-22</t>
  </si>
  <si>
    <t>2026-01-23</t>
  </si>
  <si>
    <t>2026-01-26</t>
  </si>
  <si>
    <t>2026-01-27</t>
  </si>
  <si>
    <t>2026-01-28</t>
  </si>
  <si>
    <t>2026-01-29</t>
  </si>
  <si>
    <t>2026-01-30</t>
  </si>
  <si>
    <t>2026-02-02</t>
  </si>
  <si>
    <t>2026-02-03</t>
  </si>
  <si>
    <t>2026-02-04</t>
  </si>
  <si>
    <t>2026-02-05</t>
  </si>
  <si>
    <t>2026-02-06</t>
  </si>
  <si>
    <t>2026-02-09</t>
  </si>
  <si>
    <t>2026-02-10</t>
  </si>
  <si>
    <t>2026-02-11</t>
  </si>
  <si>
    <t>2026-02-12</t>
  </si>
  <si>
    <t>2026-02-13</t>
  </si>
  <si>
    <t>2026-02-17</t>
  </si>
  <si>
    <t>2026-02-18</t>
  </si>
  <si>
    <t>2026-02-19</t>
  </si>
  <si>
    <t>2026-02-20</t>
  </si>
  <si>
    <t>2026-02-23</t>
  </si>
  <si>
    <t>2026-02-24</t>
  </si>
  <si>
    <t>2026-02-25</t>
  </si>
  <si>
    <t>2026-02-26</t>
  </si>
  <si>
    <t>2026-02-27</t>
  </si>
  <si>
    <t>2026-03-02</t>
  </si>
  <si>
    <t>2026-03-03</t>
  </si>
  <si>
    <t>2026-03-04</t>
  </si>
  <si>
    <t>2026-03-05</t>
  </si>
  <si>
    <t>2026-03-06</t>
  </si>
  <si>
    <t>2026-03-09</t>
  </si>
  <si>
    <t>2026-03-10</t>
  </si>
  <si>
    <t>2026-03-11</t>
  </si>
  <si>
    <t>2026-03-12</t>
  </si>
  <si>
    <t>2026-03-13</t>
  </si>
  <si>
    <t>2026-03-16</t>
  </si>
  <si>
    <t>2026-03-17</t>
  </si>
  <si>
    <t>2026-03-18</t>
  </si>
  <si>
    <t>2026-03-19</t>
  </si>
  <si>
    <t>2026-03-20</t>
  </si>
  <si>
    <t>2026-03-23</t>
  </si>
  <si>
    <t>2026-03-24</t>
  </si>
  <si>
    <t>2026-03-25</t>
  </si>
  <si>
    <t>2026-03-26</t>
  </si>
  <si>
    <t>2026-03-27</t>
  </si>
  <si>
    <t>2026-03-30</t>
  </si>
  <si>
    <t>2026-03-31</t>
  </si>
  <si>
    <t>2026-04-01</t>
  </si>
  <si>
    <t>2026-04-02</t>
  </si>
  <si>
    <t>2026-04-06</t>
  </si>
  <si>
    <t>2026-04-07</t>
  </si>
  <si>
    <t>2026-04-08</t>
  </si>
  <si>
    <t>2026-04-09</t>
  </si>
  <si>
    <t>2026-04-10</t>
  </si>
  <si>
    <t>2026-04-13</t>
  </si>
  <si>
    <t>2026-04-14</t>
  </si>
  <si>
    <t>2026-04-15</t>
  </si>
  <si>
    <t>2026-04-16</t>
  </si>
  <si>
    <t>2026-04-17</t>
  </si>
  <si>
    <t>2026-04-20</t>
  </si>
  <si>
    <t>2026-04-21</t>
  </si>
  <si>
    <t>2026-04-22</t>
  </si>
  <si>
    <t>2026-04-23</t>
  </si>
  <si>
    <t>2026-04-24</t>
  </si>
  <si>
    <t>2026-04-27</t>
  </si>
  <si>
    <t>2026-04-28</t>
  </si>
  <si>
    <t>2026-04-29</t>
  </si>
  <si>
    <t>2026-04-30</t>
  </si>
  <si>
    <t>2026-05-01</t>
  </si>
  <si>
    <t>2026-05-04</t>
  </si>
  <si>
    <t>2026-05-05</t>
  </si>
  <si>
    <t>2026-05-06</t>
  </si>
  <si>
    <t>2026-05-07</t>
  </si>
  <si>
    <t>2026-05-08</t>
  </si>
  <si>
    <t>2026-05-11</t>
  </si>
  <si>
    <t>2026-05-12</t>
  </si>
  <si>
    <t>2026-05-13</t>
  </si>
  <si>
    <t>2026-05-14</t>
  </si>
  <si>
    <t>2026-05-15</t>
  </si>
  <si>
    <t>2026-05-18</t>
  </si>
  <si>
    <t>2026-05-19</t>
  </si>
  <si>
    <t>2026-05-20</t>
  </si>
  <si>
    <t>2026-05-21</t>
  </si>
  <si>
    <t>2026-05-22</t>
  </si>
  <si>
    <t>2026-05-26</t>
  </si>
  <si>
    <t>2026-05-27</t>
  </si>
  <si>
    <t>2026-05-28</t>
  </si>
  <si>
    <t>2026-05-29</t>
  </si>
  <si>
    <t>2026-06-01</t>
  </si>
  <si>
    <t>2026-06-02</t>
  </si>
  <si>
    <t>2026-06-03</t>
  </si>
  <si>
    <t>2026-06-04</t>
  </si>
  <si>
    <t>2026-06-05</t>
  </si>
  <si>
    <t>2026-06-08</t>
  </si>
  <si>
    <t>2026-06-09</t>
  </si>
  <si>
    <t>2026-06-10</t>
  </si>
  <si>
    <t>2026-06-11</t>
  </si>
  <si>
    <t>2026-06-12</t>
  </si>
  <si>
    <t>2026-06-15</t>
  </si>
  <si>
    <t>2026-06-16</t>
  </si>
  <si>
    <t>2026-06-17</t>
  </si>
  <si>
    <t>2026-06-18</t>
  </si>
  <si>
    <t>2026-06-22</t>
  </si>
  <si>
    <t>2026-06-23</t>
  </si>
  <si>
    <t>2026-06-24</t>
  </si>
  <si>
    <t>2026-06-25</t>
  </si>
  <si>
    <t>2026-06-26</t>
  </si>
  <si>
    <t>2026-06-29</t>
  </si>
  <si>
    <t>2026-06-30</t>
  </si>
  <si>
    <t>2026-07-01</t>
  </si>
  <si>
    <t>2026-07-02</t>
  </si>
  <si>
    <t>2026-07-06</t>
  </si>
  <si>
    <t>2026-07-07</t>
  </si>
  <si>
    <t>2026-07-08</t>
  </si>
  <si>
    <t>2026-07-09</t>
  </si>
  <si>
    <t>2026-07-10</t>
  </si>
  <si>
    <t>2026-07-13</t>
  </si>
  <si>
    <t>2026-07-14</t>
  </si>
  <si>
    <t>2026-07-15</t>
  </si>
  <si>
    <t>2026-07-16</t>
  </si>
  <si>
    <t>2026-07-17</t>
  </si>
  <si>
    <t>2026-07-20</t>
  </si>
  <si>
    <t>2026-07-21</t>
  </si>
  <si>
    <t>2026-07-22</t>
  </si>
  <si>
    <t>2026-07-23</t>
  </si>
  <si>
    <t>2026-07-24</t>
  </si>
  <si>
    <t>2026-07-27</t>
  </si>
  <si>
    <t>2026-07-28</t>
  </si>
  <si>
    <t>2026-07-29</t>
  </si>
  <si>
    <t>2026-07-30</t>
  </si>
  <si>
    <t>2026-07-31</t>
  </si>
  <si>
    <t>2026-08-03</t>
  </si>
  <si>
    <t>2026-08-04</t>
  </si>
  <si>
    <t>2026-08-05</t>
  </si>
  <si>
    <t>2026-08-06</t>
  </si>
  <si>
    <t>2026-08-07</t>
  </si>
  <si>
    <t>2026-08-10</t>
  </si>
  <si>
    <t>2026-08-11</t>
  </si>
  <si>
    <t>2026-08-12</t>
  </si>
  <si>
    <t>2026-08-13</t>
  </si>
  <si>
    <t>2026-08-14</t>
  </si>
  <si>
    <t>2026-08-17</t>
  </si>
  <si>
    <t>2026-08-18</t>
  </si>
  <si>
    <t>2026-08-19</t>
  </si>
  <si>
    <t>2026-08-20</t>
  </si>
  <si>
    <t>2026-08-21</t>
  </si>
  <si>
    <t>2026-08-24</t>
  </si>
  <si>
    <t>2026-08-25</t>
  </si>
  <si>
    <t>2026-08-26</t>
  </si>
  <si>
    <t>2026-08-27</t>
  </si>
  <si>
    <t>2026-08-28</t>
  </si>
  <si>
    <t>2026-08-31</t>
  </si>
  <si>
    <t>2026-09-01</t>
  </si>
  <si>
    <t>2026-09-02</t>
  </si>
  <si>
    <t>2026-09-03</t>
  </si>
  <si>
    <t>2026-09-04</t>
  </si>
  <si>
    <t>2026-09-08</t>
  </si>
  <si>
    <t>2026-09-09</t>
  </si>
  <si>
    <t>2026-09-10</t>
  </si>
  <si>
    <t>2026-09-11</t>
  </si>
  <si>
    <t>2026-09-14</t>
  </si>
  <si>
    <t>2026-09-15</t>
  </si>
  <si>
    <t>2026-09-16</t>
  </si>
  <si>
    <t>2026-09-17</t>
  </si>
  <si>
    <t>2026-09-18</t>
  </si>
  <si>
    <t>2026-09-21</t>
  </si>
  <si>
    <t>Nilai Investasi (S0)</t>
  </si>
  <si>
    <t>KESIMPULAN METODE VARIANCE-COVARIANCE (PARAMETRIC NORMAL)</t>
  </si>
  <si>
    <t>Sd Return (σ)</t>
  </si>
  <si>
    <t>Horizon Waktu (t)</t>
  </si>
  <si>
    <t>Dengan modal $100.000 dan horizon waktu 1 hari pada tingkat kepercayaan 95% (Z = -1,6449), estimasi kerugian maksimum (VaR) adalah sebesar $3.380,81 (3,38%). Artinya, terdapat keyakinan 95% bahwa kerugian harian saham MSFT tidak akan melebihi batas $3.380,81.</t>
  </si>
  <si>
    <t>Alpha (α)</t>
  </si>
  <si>
    <t>Dengan modal $100.000 dan horizon waktu 1 hari pada tingkat kepercayaan 95% (Z = -1,6449), estimasi kerugian maksimum (VaR) adalah sebesar $3.576,79 (3,58%). Artinya, terdapat keyakinan 95% bahwa kerugian harian saham AMZN tidak akan melebihi batas $3.576,79.</t>
  </si>
  <si>
    <t>Mean Return (μ)</t>
  </si>
  <si>
    <t>Berdasarkan pendekatan Distribusi Normal, saham Amazon memiliki tingkat volatilitas harian (2,17% vs 2,06%) dan potensi risiko kerugian (VaR $3.576,79 vs $3.380,81) yang lebih tinggi dibandingkan saham Microsoft. Selisih risiko harian adalah $195,98 per $100.000 modal.</t>
  </si>
  <si>
    <t>4. Evaluasi Asumsi Normalitas Parametrik:</t>
  </si>
  <si>
    <t>Metode Variance-Covariance mengasumsikan return terdistribusi normal. Karena return riil saham teknologi memiliki excess kurtosis signifikan (leptokurtik), nilai VaR parametrik normal ini mengasumsikan ekor tipis (thin tails). Dibandingkan Simulasi Historis, VaR normal di sini berada pada angka 3,38% dan 3,58% karena mengacu murni pada faktor deviasi standar populasi.</t>
  </si>
  <si>
    <t>TABEL UJI NORMALITAS RETURN HARIAN (PYTHON SCIPY)</t>
  </si>
  <si>
    <t>Parameter / Uji Statistik</t>
  </si>
  <si>
    <t>Microsoft (MSFT)</t>
  </si>
  <si>
    <t>Amazon (AMZN)</t>
  </si>
  <si>
    <t>Keterangan / Evaluasi</t>
  </si>
  <si>
    <t>Ukuran Sampel (N)</t>
  </si>
  <si>
    <t>250</t>
  </si>
  <si>
    <t>1 tahun hari bursa aktif (Sept 2025 - Sept 2026)</t>
  </si>
  <si>
    <t>0.0106%</t>
  </si>
  <si>
    <t>0.0739%</t>
  </si>
  <si>
    <t>Rata-rata return harian</t>
  </si>
  <si>
    <t>Standar Deviasi (σ)</t>
  </si>
  <si>
    <t>2.0554%</t>
  </si>
  <si>
    <t>2.1745%</t>
  </si>
  <si>
    <t>Volatilitas harian (AMZN &gt; MSFT)</t>
  </si>
  <si>
    <t>Kemencengan (Skewness)</t>
  </si>
  <si>
    <t>1.3479</t>
  </si>
  <si>
    <t>1.5930</t>
  </si>
  <si>
    <t>Asimetris ke kanan (right-skewed &gt; 0)</t>
  </si>
  <si>
    <t>Simulasi 1</t>
  </si>
  <si>
    <t>Simulasi 2</t>
  </si>
  <si>
    <t>Simulasi 3</t>
  </si>
  <si>
    <t>Simulasi 4</t>
  </si>
  <si>
    <t>Simulasi 5</t>
  </si>
  <si>
    <t>Excess Kurtosis</t>
  </si>
  <si>
    <t>13.9949</t>
  </si>
  <si>
    <t>9.9494</t>
  </si>
  <si>
    <t>Leptokurtik ekstrem / ekor tebal (fat tails)</t>
  </si>
  <si>
    <t>Nilai Persentil-alfa (Rata-rata)</t>
  </si>
  <si>
    <t>Jarque-Bera (Statistik)</t>
  </si>
  <si>
    <t>2115.89</t>
  </si>
  <si>
    <t>1136.90</t>
  </si>
  <si>
    <t>Distribusi Chi-Square (df=2)</t>
  </si>
  <si>
    <t>Jarque-Bera (p-value)</t>
  </si>
  <si>
    <t>0.0000</t>
  </si>
  <si>
    <t>1.34e-247</t>
  </si>
  <si>
    <t>Tolak H0 normalitas (p-value &lt; 0.05)</t>
  </si>
  <si>
    <t>Shapiro-Wilk (Statistik W)</t>
  </si>
  <si>
    <t>0.8780</t>
  </si>
  <si>
    <t>0.9055</t>
  </si>
  <si>
    <t>Uji keselarasan kuantil empiris</t>
  </si>
  <si>
    <t>Shapiro-Wilk (p-value)</t>
  </si>
  <si>
    <t>2.90e-13</t>
  </si>
  <si>
    <t>1.91e-11</t>
  </si>
  <si>
    <t>Kolmogorov-Smirnov (Statistik D)</t>
  </si>
  <si>
    <t>0.0805</t>
  </si>
  <si>
    <t>0.0724</t>
  </si>
  <si>
    <t>Jarak absolut maksimum fungsi kumulatif</t>
  </si>
  <si>
    <t>Kolmogorov-Smirnov (p-value)</t>
  </si>
  <si>
    <t>0.0739</t>
  </si>
  <si>
    <t>0.1383</t>
  </si>
  <si>
    <t>Tidak tolak H0 pada taraf 5% (p-value &gt; 0.05)</t>
  </si>
  <si>
    <t>Kesimpulan Uji Distribusi</t>
  </si>
  <si>
    <t>Non-Normal (Fat Tails)</t>
  </si>
  <si>
    <t>Data empiris memiliki ekor gemuk finansial</t>
  </si>
  <si>
    <t>KESIMPULAN DAN ANALISIS RISIKO</t>
  </si>
  <si>
    <t>Pada tingkat kepercayaan 95% dan holding period 1 hari dengan modal $100.000, estimasi rata-rata VaR saham Microsoft dari 5 iterasi simulasi berada di kisaran 3,0% - 3,4% (sekitar $3.000 - $3.400). Artinya, ada keyakinan 95% bahwa potensi kerugian harian saham MSFT tidak akan melampaui batas rata-rata simulasi tersebut.</t>
  </si>
  <si>
    <t>Pada tingkat kepercayaan 95% dan holding period 1 hari dengan modal $100.000, estimasi rata-rata VaR saham Amazon dari 5 iterasi simulasi berada di kisaran 3,3% - 3,6% (sekitar $3.300 - $3.600). Artinya, potensi kerugian maksimum saham AMZN pada tingkat kepercayaan 95% berada di batas rata-rata simulasi tersebut.</t>
  </si>
  <si>
    <t>3. Perbandingan Risiko (AMZN vs MSFT):</t>
  </si>
  <si>
    <t>Saham Amazon menunjukkan potensi risiko kerugian yang lebih tinggi dibandingkan saham Microsoft, sejalan dengan tingkat volatilitas hariannya yang lebih besar (2,17% vs 2,06%). Investor saham Amazon membutuhkan alokasi cadangan modal risiko yang lebih tinggi untuk menutup potensi kerugian.</t>
  </si>
  <si>
    <t>4. Evaluasi Asumsi Normalitas terhadap Simulasi Monte Carlo:</t>
  </si>
  <si>
    <t>Uji Kolmogorov-Smirnov tidak menolak asumsi normalitas pada taraf 5% (p = 0,0739 untuk MSFT dan p = 0,1383 untuk AMZN), sehingga secara formal prosedur simulasi Monte Carlo Normal di sheet ini dapat dijustifikasi. Namun, uji Jarque-Bera dan Shapiro-Wilk mendeteksi excess kurtosis signifikan (MSFT = 13,99; AMZN = 9,95). Sebagai mitigasi risiko kerugian ekstrem di pasar riil, pendekatan Student-t VaR atau Historical Bootstrap direkomendasikan.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</si>
</sst>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0000%"/>
    <numFmt numFmtId="166" formatCode="0.0000"/>
  </numFmts>
  <fonts count="4">
    <font>
      <sz val="11"/>
      <color theme="1"/>
      <name val="Calibri"/>
      <family val="2"/>
      <scheme val="minor"/>
    </font>
    <font>
      <b/>
      <sz val="11"/>
      <name val="Calibri"/>
    </font>
    <font>
      <b/>
      <sz val="11"/>
      <color rgb="FF1F497D"/>
      <name val="Calibri"/>
    </font>
    <font>
      <sz val="11"/>
      <name val="Calibri"/>
    </font>
  </fonts>
  <fills count="5">
    <fill>
      <patternFill patternType="none"/>
    </fill>
    <fill>
      <patternFill patternType="gray125"/>
    </fill>
    <fill>
      <patternFill patternType="solid">
        <fgColor rgb="FFFFF2CC"/>
        <bgColor rgb="FFFFF2CC"/>
      </patternFill>
    </fill>
    <fill>
      <patternFill patternType="solid">
        <fgColor rgb="FFD9E1F2"/>
        <bgColor rgb="FFD9E1F2"/>
      </patternFill>
    </fill>
    <fill>
      <patternFill patternType="solid">
        <fgColor rgb="FFF2F2F2"/>
        <bgColor rgb="FFF2F2F2"/>
      </patternFill>
    </fill>
  </fills>
  <borders count="3">
    <border>
      <left/>
      <right/>
      <top/>
      <bottom/>
      <diagonal/>
    </border>
    <border>
      <left style="thin">
        <color rgb="FFD9D9D9"/>
      </left>
      <right style="thin">
        <color rgb="FFD9D9D9"/>
      </right>
      <top style="thin">
        <color rgb="FFD9D9D9"/>
      </top>
      <bottom style="medium">
        <color rgb="FF0000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0">
    <xf numFmtId="0" fontId="0" fillId="0" borderId="0" xfId="0"/>
    <xf numFmtId="164" fontId="0" fillId="0" borderId="0" xfId="0" applyNumberFormat="1"/>
    <xf numFmtId="0" fontId="2" fillId="0" borderId="0" xfId="0" applyFont="1"/>
    <xf numFmtId="10" fontId="0" fillId="0" borderId="0" xfId="0" applyNumberFormat="1"/>
    <xf numFmtId="165" fontId="0" fillId="0" borderId="0" xfId="0" applyNumberFormat="1"/>
    <xf numFmtId="2" fontId="0" fillId="0" borderId="0" xfId="0" applyNumberFormat="1"/>
    <xf numFmtId="164" fontId="1" fillId="2" borderId="0" xfId="0" applyNumberFormat="1" applyFont="1" applyFill="1"/>
    <xf numFmtId="10" fontId="1" fillId="0" borderId="0" xfId="0" applyNumberFormat="1" applyFont="1"/>
    <xf numFmtId="0" fontId="1" fillId="4" borderId="1" xfId="0" applyFont="1" applyFill="1" applyBorder="1" applyAlignment="1">
      <alignment horizontal="center"/>
    </xf>
    <xf numFmtId="0" fontId="0" fillId="0" borderId="0" xfId="0" applyAlignment="1">
      <alignment horizontal="center"/>
    </xf>
    <xf numFmtId="166" fontId="0" fillId="0" borderId="0" xfId="0" applyNumberFormat="1"/>
    <xf numFmtId="0" fontId="1" fillId="4" borderId="1" xfId="0" applyFont="1" applyFill="1" applyBorder="1" applyAlignment="1">
      <alignment horizontal="left"/>
    </xf>
    <xf numFmtId="0" fontId="3" fillId="0" borderId="2" xfId="0" applyFont="1" applyBorder="1"/>
    <xf numFmtId="0" fontId="3" fillId="0" borderId="2" xfId="0" applyFont="1" applyBorder="1" applyAlignment="1">
      <alignment horizontal="center"/>
    </xf>
    <xf numFmtId="0" fontId="1" fillId="0" borderId="0" xfId="0" applyFont="1" applyAlignment="1">
      <alignment horizontal="center"/>
    </xf>
    <xf numFmtId="165" fontId="1" fillId="0" borderId="0" xfId="0" applyNumberFormat="1" applyFont="1"/>
    <xf numFmtId="0" fontId="1" fillId="2" borderId="2" xfId="0" applyFont="1" applyFill="1" applyBorder="1" applyAlignment="1">
      <alignment horizontal="center"/>
    </xf>
    <xf numFmtId="0" fontId="3" fillId="0" borderId="0" xfId="0" applyFont="1" applyAlignment="1">
      <alignment vertical="top" wrapText="1"/>
    </xf>
    <xf numFmtId="0" fontId="0" fillId="0" borderId="0" xfId="0"/>
    <xf numFmtId="0" fontId="1" fillId="3" borderId="0" xfId="0" applyFon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18</xdr:col>
      <xdr:colOff>0</xdr:colOff>
      <xdr:row>27</xdr:row>
      <xdr:rowOff>0</xdr:rowOff>
    </xdr:from>
    <xdr:ext cx="7143750" cy="5095875"/>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P263"/>
  <sheetViews>
    <sheetView tabSelected="1" workbookViewId="0"/>
  </sheetViews>
  <sheetFormatPr defaultRowHeight="15"/>
  <cols>
    <col min="1" max="1" width="25" customWidth="1"/>
    <col min="2" max="2" width="14" customWidth="1"/>
    <col min="3" max="3" width="15" customWidth="1"/>
    <col min="4" max="4" width="16" customWidth="1"/>
    <col min="5" max="7" width="3" customWidth="1"/>
    <col min="8" max="8" width="25" customWidth="1"/>
    <col min="9" max="9" width="14" customWidth="1"/>
    <col min="10" max="10" width="15" customWidth="1"/>
    <col min="11" max="11" width="16" customWidth="1"/>
    <col min="12" max="12" width="3" customWidth="1"/>
    <col min="13" max="13" width="30" customWidth="1"/>
    <col min="14" max="15" width="18" customWidth="1"/>
    <col min="16" max="16" width="32" customWidth="1"/>
  </cols>
  <sheetData>
    <row r="2" spans="1:16">
      <c r="A2" t="s">
        <v>0</v>
      </c>
      <c r="C2" s="1">
        <v>100000</v>
      </c>
      <c r="H2" t="s">
        <v>0</v>
      </c>
      <c r="J2" s="1">
        <v>100000</v>
      </c>
      <c r="M2" s="19" t="s">
        <v>1</v>
      </c>
      <c r="N2" s="18"/>
      <c r="O2" s="18"/>
      <c r="P2" s="18"/>
    </row>
    <row r="3" spans="1:16">
      <c r="A3" t="s">
        <v>2</v>
      </c>
      <c r="C3">
        <v>1</v>
      </c>
      <c r="H3" t="s">
        <v>2</v>
      </c>
      <c r="J3">
        <v>1</v>
      </c>
      <c r="M3" s="2" t="s">
        <v>3</v>
      </c>
    </row>
    <row r="4" spans="1:16" ht="24" customHeight="1">
      <c r="A4" t="s">
        <v>4</v>
      </c>
      <c r="C4" s="3">
        <v>0.05</v>
      </c>
      <c r="H4" t="s">
        <v>4</v>
      </c>
      <c r="J4" s="3">
        <v>0.05</v>
      </c>
      <c r="M4" s="17" t="s">
        <v>5</v>
      </c>
      <c r="N4" s="18"/>
      <c r="O4" s="18"/>
      <c r="P4" s="18"/>
    </row>
    <row r="5" spans="1:16" ht="24" customHeight="1">
      <c r="A5" t="s">
        <v>6</v>
      </c>
      <c r="C5" s="3">
        <f>1-C4</f>
        <v>0.95</v>
      </c>
      <c r="H5" t="s">
        <v>6</v>
      </c>
      <c r="J5" s="3">
        <f>1-J4</f>
        <v>0.95</v>
      </c>
      <c r="M5" s="18"/>
      <c r="N5" s="18"/>
      <c r="O5" s="18"/>
      <c r="P5" s="18"/>
    </row>
    <row r="6" spans="1:16">
      <c r="A6" t="s">
        <v>7</v>
      </c>
      <c r="C6" s="4">
        <f>ABS(PERCENTILE($C$14:$C$263, C4))</f>
        <v>2.8107532131759042E-2</v>
      </c>
      <c r="H6" t="s">
        <v>7</v>
      </c>
      <c r="J6" s="4">
        <f>ABS(PERCENTILE($J$14:$J$263, J4))</f>
        <v>3.0497148360235406E-2</v>
      </c>
      <c r="M6" s="2" t="s">
        <v>8</v>
      </c>
    </row>
    <row r="7" spans="1:16" ht="24" customHeight="1">
      <c r="A7" t="s">
        <v>9</v>
      </c>
      <c r="C7" s="5">
        <f>SQRT(C3)</f>
        <v>1</v>
      </c>
      <c r="H7" t="s">
        <v>9</v>
      </c>
      <c r="J7" s="5">
        <f>SQRT(J3)</f>
        <v>1</v>
      </c>
      <c r="M7" s="17" t="s">
        <v>10</v>
      </c>
      <c r="N7" s="18"/>
      <c r="O7" s="18"/>
      <c r="P7" s="18"/>
    </row>
    <row r="8" spans="1:16" ht="24" customHeight="1">
      <c r="A8" t="s">
        <v>11</v>
      </c>
      <c r="C8" s="6">
        <f>C2*C6*C7</f>
        <v>2810.7532131759044</v>
      </c>
      <c r="H8" t="s">
        <v>11</v>
      </c>
      <c r="J8" s="6">
        <f>J2*J6*J7</f>
        <v>3049.7148360235406</v>
      </c>
      <c r="M8" s="18"/>
      <c r="N8" s="18"/>
      <c r="O8" s="18"/>
      <c r="P8" s="18"/>
    </row>
    <row r="9" spans="1:16">
      <c r="A9" t="s">
        <v>12</v>
      </c>
      <c r="C9" s="7">
        <f>C7*C6</f>
        <v>2.8107532131759042E-2</v>
      </c>
      <c r="H9" t="s">
        <v>12</v>
      </c>
      <c r="J9" s="7">
        <f>J7*J6</f>
        <v>3.0497148360235406E-2</v>
      </c>
      <c r="M9" s="2" t="s">
        <v>13</v>
      </c>
    </row>
    <row r="10" spans="1:16" ht="24" customHeight="1">
      <c r="M10" s="17" t="s">
        <v>14</v>
      </c>
      <c r="N10" s="18"/>
      <c r="O10" s="18"/>
      <c r="P10" s="18"/>
    </row>
    <row r="11" spans="1:16" ht="24" customHeight="1">
      <c r="A11" s="19" t="s">
        <v>15</v>
      </c>
      <c r="B11" s="18"/>
      <c r="C11" s="18"/>
      <c r="D11" s="18"/>
      <c r="H11" s="19" t="s">
        <v>16</v>
      </c>
      <c r="I11" s="18"/>
      <c r="J11" s="18"/>
      <c r="K11" s="18"/>
      <c r="M11" s="18"/>
      <c r="N11" s="18"/>
      <c r="O11" s="18"/>
      <c r="P11" s="18"/>
    </row>
    <row r="12" spans="1:16">
      <c r="A12" s="8" t="s">
        <v>17</v>
      </c>
      <c r="B12" s="8" t="s">
        <v>18</v>
      </c>
      <c r="C12" s="8" t="s">
        <v>19</v>
      </c>
      <c r="D12" s="8" t="s">
        <v>20</v>
      </c>
      <c r="H12" s="8" t="s">
        <v>17</v>
      </c>
      <c r="I12" s="8" t="s">
        <v>21</v>
      </c>
      <c r="J12" s="8" t="s">
        <v>19</v>
      </c>
      <c r="K12" s="8" t="s">
        <v>20</v>
      </c>
      <c r="M12" s="2" t="s">
        <v>22</v>
      </c>
    </row>
    <row r="13" spans="1:16" ht="24" customHeight="1">
      <c r="A13" t="s">
        <v>23</v>
      </c>
      <c r="B13" s="1">
        <v>514.45000000000005</v>
      </c>
      <c r="C13" s="9" t="s">
        <v>24</v>
      </c>
      <c r="D13" s="9" t="s">
        <v>24</v>
      </c>
      <c r="H13" t="s">
        <v>23</v>
      </c>
      <c r="I13" s="1">
        <v>227.63</v>
      </c>
      <c r="J13" s="9" t="s">
        <v>24</v>
      </c>
      <c r="K13" s="9" t="s">
        <v>24</v>
      </c>
      <c r="M13" s="17" t="s">
        <v>25</v>
      </c>
      <c r="N13" s="18"/>
      <c r="O13" s="18"/>
      <c r="P13" s="18"/>
    </row>
    <row r="14" spans="1:16" ht="24" customHeight="1">
      <c r="A14" t="s">
        <v>26</v>
      </c>
      <c r="B14" s="1">
        <v>509.23</v>
      </c>
      <c r="C14" s="4">
        <f t="shared" ref="C14:C77" si="0">(B14-B13)/B13</f>
        <v>-1.0146758674312424E-2</v>
      </c>
      <c r="D14" s="4">
        <v>-9.9931482673421501E-2</v>
      </c>
      <c r="H14" t="s">
        <v>26</v>
      </c>
      <c r="I14" s="1">
        <v>220.71</v>
      </c>
      <c r="J14" s="4">
        <f t="shared" ref="J14:J77" si="1">(I14-I13)/I13</f>
        <v>-3.0400210868514639E-2</v>
      </c>
      <c r="K14" s="4">
        <v>-5.5548071309892699E-2</v>
      </c>
      <c r="M14" s="18"/>
      <c r="N14" s="18"/>
      <c r="O14" s="18"/>
      <c r="P14" s="18"/>
    </row>
    <row r="15" spans="1:16">
      <c r="A15" t="s">
        <v>27</v>
      </c>
      <c r="B15" s="1">
        <v>510.15</v>
      </c>
      <c r="C15" s="4">
        <f t="shared" si="0"/>
        <v>1.8066492547571019E-3</v>
      </c>
      <c r="D15" s="4">
        <v>-4.9542480504116422E-2</v>
      </c>
      <c r="H15" t="s">
        <v>27</v>
      </c>
      <c r="I15" s="1">
        <v>220.21</v>
      </c>
      <c r="J15" s="4">
        <f t="shared" si="1"/>
        <v>-2.2654161569480311E-3</v>
      </c>
      <c r="K15" s="4">
        <v>-4.9925353473259E-2</v>
      </c>
    </row>
    <row r="16" spans="1:16">
      <c r="A16" t="s">
        <v>28</v>
      </c>
      <c r="B16" s="1">
        <v>507.03</v>
      </c>
      <c r="C16" s="4">
        <f t="shared" si="0"/>
        <v>-6.1158482799176803E-3</v>
      </c>
      <c r="D16" s="4">
        <v>-4.1713714930947582E-2</v>
      </c>
      <c r="H16" t="s">
        <v>28</v>
      </c>
      <c r="I16" s="1">
        <v>218.15</v>
      </c>
      <c r="J16" s="4">
        <f t="shared" si="1"/>
        <v>-9.3547068707143279E-3</v>
      </c>
      <c r="K16" s="4">
        <v>-4.7465117230655898E-2</v>
      </c>
    </row>
    <row r="17" spans="1:11">
      <c r="A17" t="s">
        <v>29</v>
      </c>
      <c r="B17" s="1">
        <v>511.46</v>
      </c>
      <c r="C17" s="4">
        <f t="shared" si="0"/>
        <v>8.7371555923712735E-3</v>
      </c>
      <c r="D17" s="4">
        <v>-3.9660907326988848E-2</v>
      </c>
      <c r="H17" t="s">
        <v>29</v>
      </c>
      <c r="I17" s="1">
        <v>219.78</v>
      </c>
      <c r="J17" s="4">
        <f t="shared" si="1"/>
        <v>7.4719229887691748E-3</v>
      </c>
      <c r="K17" s="4">
        <v>-4.5701449867265667E-2</v>
      </c>
    </row>
    <row r="18" spans="1:11">
      <c r="A18" t="s">
        <v>30</v>
      </c>
      <c r="B18" s="1">
        <v>514.6</v>
      </c>
      <c r="C18" s="4">
        <f t="shared" si="0"/>
        <v>6.1392875298166881E-3</v>
      </c>
      <c r="D18" s="4">
        <v>-3.9296989115582173E-2</v>
      </c>
      <c r="H18" t="s">
        <v>30</v>
      </c>
      <c r="I18" s="1">
        <v>222.17</v>
      </c>
      <c r="J18" s="4">
        <f t="shared" si="1"/>
        <v>1.0874510874510813E-2</v>
      </c>
      <c r="K18" s="4">
        <v>-4.4316571477648441E-2</v>
      </c>
    </row>
    <row r="19" spans="1:11">
      <c r="A19" t="s">
        <v>31</v>
      </c>
      <c r="B19" s="1">
        <v>517.95000000000005</v>
      </c>
      <c r="C19" s="4">
        <f t="shared" si="0"/>
        <v>6.5099106101827097E-3</v>
      </c>
      <c r="D19" s="4">
        <v>-3.7884366350963511E-2</v>
      </c>
      <c r="H19" t="s">
        <v>31</v>
      </c>
      <c r="I19" s="1">
        <v>219.57</v>
      </c>
      <c r="J19" s="4">
        <f t="shared" si="1"/>
        <v>-1.1702750146284352E-2</v>
      </c>
      <c r="K19" s="4">
        <v>-4.4207905918709003E-2</v>
      </c>
    </row>
    <row r="20" spans="1:11">
      <c r="A20" t="s">
        <v>32</v>
      </c>
      <c r="B20" s="1">
        <v>519.71</v>
      </c>
      <c r="C20" s="4">
        <f t="shared" si="0"/>
        <v>3.3980113910608953E-3</v>
      </c>
      <c r="D20" s="4">
        <v>-3.4559185683795762E-2</v>
      </c>
      <c r="H20" t="s">
        <v>32</v>
      </c>
      <c r="I20" s="1">
        <v>220.63</v>
      </c>
      <c r="J20" s="4">
        <f t="shared" si="1"/>
        <v>4.8276176162499532E-3</v>
      </c>
      <c r="K20" s="4">
        <v>-3.9510455815746311E-2</v>
      </c>
    </row>
    <row r="21" spans="1:11">
      <c r="A21" t="s">
        <v>33</v>
      </c>
      <c r="B21" s="1">
        <v>515.74</v>
      </c>
      <c r="C21" s="4">
        <f t="shared" si="0"/>
        <v>-7.6388755267361164E-3</v>
      </c>
      <c r="D21" s="4">
        <v>-3.2122447952068048E-2</v>
      </c>
      <c r="H21" t="s">
        <v>33</v>
      </c>
      <c r="I21" s="1">
        <v>222.41</v>
      </c>
      <c r="J21" s="4">
        <f t="shared" si="1"/>
        <v>8.0678058287630937E-3</v>
      </c>
      <c r="K21" s="4">
        <v>-3.4658587052911603E-2</v>
      </c>
    </row>
    <row r="22" spans="1:11">
      <c r="A22" t="s">
        <v>34</v>
      </c>
      <c r="B22" s="1">
        <v>517.35</v>
      </c>
      <c r="C22" s="4">
        <f t="shared" si="0"/>
        <v>3.1217280024818969E-3</v>
      </c>
      <c r="D22" s="4">
        <v>-3.1787032156035851E-2</v>
      </c>
      <c r="H22" t="s">
        <v>34</v>
      </c>
      <c r="I22" s="1">
        <v>219.51</v>
      </c>
      <c r="J22" s="4">
        <f t="shared" si="1"/>
        <v>-1.3038982060159191E-2</v>
      </c>
      <c r="K22" s="4">
        <v>-3.4552845528455292E-2</v>
      </c>
    </row>
    <row r="23" spans="1:11">
      <c r="A23" t="s">
        <v>35</v>
      </c>
      <c r="B23" s="1">
        <v>528.57000000000005</v>
      </c>
      <c r="C23" s="4">
        <f t="shared" si="0"/>
        <v>2.1687445636416405E-2</v>
      </c>
      <c r="D23" s="4">
        <v>-3.1655752192336517E-2</v>
      </c>
      <c r="H23" t="s">
        <v>35</v>
      </c>
      <c r="I23" s="1">
        <v>220.9</v>
      </c>
      <c r="J23" s="4">
        <f t="shared" si="1"/>
        <v>6.3322855450777408E-3</v>
      </c>
      <c r="K23" s="4">
        <v>-3.3957845433255293E-2</v>
      </c>
    </row>
    <row r="24" spans="1:11">
      <c r="A24" t="s">
        <v>36</v>
      </c>
      <c r="B24" s="1">
        <v>523.98</v>
      </c>
      <c r="C24" s="4">
        <f t="shared" si="0"/>
        <v>-8.6838072535331771E-3</v>
      </c>
      <c r="D24" s="4">
        <v>-3.0379491320145249E-2</v>
      </c>
      <c r="H24" t="s">
        <v>36</v>
      </c>
      <c r="I24" s="1">
        <v>221.78</v>
      </c>
      <c r="J24" s="4">
        <f t="shared" si="1"/>
        <v>3.983703033046607E-3</v>
      </c>
      <c r="K24" s="4">
        <v>-3.2305688232739903E-2</v>
      </c>
    </row>
    <row r="25" spans="1:11">
      <c r="A25" t="s">
        <v>37</v>
      </c>
      <c r="B25" s="1">
        <v>524.85</v>
      </c>
      <c r="C25" s="4">
        <f t="shared" si="0"/>
        <v>1.6603687163632287E-3</v>
      </c>
      <c r="D25" s="4">
        <v>-2.915704921059914E-2</v>
      </c>
      <c r="H25" t="s">
        <v>37</v>
      </c>
      <c r="I25" s="1">
        <v>225.22</v>
      </c>
      <c r="J25" s="4">
        <f t="shared" si="1"/>
        <v>1.551086662458291E-2</v>
      </c>
      <c r="K25" s="4">
        <v>-3.098988346779365E-2</v>
      </c>
    </row>
    <row r="26" spans="1:11">
      <c r="A26" t="s">
        <v>38</v>
      </c>
      <c r="B26" s="1">
        <v>522.4</v>
      </c>
      <c r="C26" s="4">
        <f t="shared" si="0"/>
        <v>-4.6680003810613416E-3</v>
      </c>
      <c r="D26" s="4">
        <v>-2.872192172331536E-2</v>
      </c>
      <c r="H26" t="s">
        <v>38</v>
      </c>
      <c r="I26" s="1">
        <v>227.74</v>
      </c>
      <c r="J26" s="4">
        <f t="shared" si="1"/>
        <v>1.1189059586182444E-2</v>
      </c>
      <c r="K26" s="4">
        <v>-3.0576460853461489E-2</v>
      </c>
    </row>
    <row r="27" spans="1:11">
      <c r="A27" t="s">
        <v>39</v>
      </c>
      <c r="B27" s="1">
        <v>510.96</v>
      </c>
      <c r="C27" s="4">
        <f t="shared" si="0"/>
        <v>-2.1898928024502294E-2</v>
      </c>
      <c r="D27" s="4">
        <v>-2.7356611519856879E-2</v>
      </c>
      <c r="H27" t="s">
        <v>39</v>
      </c>
      <c r="I27" s="1">
        <v>216.37</v>
      </c>
      <c r="J27" s="4">
        <f t="shared" si="1"/>
        <v>-4.9925353473259E-2</v>
      </c>
      <c r="K27" s="4">
        <v>-3.0400210868514639E-2</v>
      </c>
    </row>
    <row r="28" spans="1:11">
      <c r="A28" t="s">
        <v>40</v>
      </c>
      <c r="B28" s="1">
        <v>514.04999999999995</v>
      </c>
      <c r="C28" s="4">
        <f t="shared" si="0"/>
        <v>6.0474401127289324E-3</v>
      </c>
      <c r="D28" s="4">
        <v>-2.6995605824745288E-2</v>
      </c>
      <c r="H28" t="s">
        <v>40</v>
      </c>
      <c r="I28" s="1">
        <v>220.07</v>
      </c>
      <c r="J28" s="4">
        <f t="shared" si="1"/>
        <v>1.7100337385034841E-2</v>
      </c>
      <c r="K28" s="4">
        <v>-2.8617106314948029E-2</v>
      </c>
    </row>
    <row r="29" spans="1:11">
      <c r="A29" t="s">
        <v>41</v>
      </c>
      <c r="B29" s="1">
        <v>513.57000000000005</v>
      </c>
      <c r="C29" s="4">
        <f t="shared" si="0"/>
        <v>-9.3376130726564453E-4</v>
      </c>
      <c r="D29" s="4">
        <v>-2.6788511749347231E-2</v>
      </c>
      <c r="H29" t="s">
        <v>41</v>
      </c>
      <c r="I29" s="1">
        <v>216.39</v>
      </c>
      <c r="J29" s="4">
        <f t="shared" si="1"/>
        <v>-1.6721952106148075E-2</v>
      </c>
      <c r="K29" s="4">
        <v>-2.7108927108927011E-2</v>
      </c>
    </row>
    <row r="30" spans="1:11">
      <c r="A30" t="s">
        <v>42</v>
      </c>
      <c r="B30" s="1">
        <v>513.42999999999995</v>
      </c>
      <c r="C30" s="4">
        <f t="shared" si="0"/>
        <v>-2.7260159277235825E-4</v>
      </c>
      <c r="D30" s="4">
        <v>-2.6585679243079072E-2</v>
      </c>
      <c r="H30" t="s">
        <v>42</v>
      </c>
      <c r="I30" s="1">
        <v>215.57</v>
      </c>
      <c r="J30" s="4">
        <f t="shared" si="1"/>
        <v>-3.789454226165688E-3</v>
      </c>
      <c r="K30" s="4">
        <v>-2.617155385036992E-2</v>
      </c>
    </row>
    <row r="31" spans="1:11">
      <c r="A31" t="s">
        <v>43</v>
      </c>
      <c r="B31" s="1">
        <v>511.61</v>
      </c>
      <c r="C31" s="4">
        <f t="shared" si="0"/>
        <v>-3.5447870206258623E-3</v>
      </c>
      <c r="D31" s="4">
        <v>-2.5138672568789919E-2</v>
      </c>
      <c r="H31" t="s">
        <v>43</v>
      </c>
      <c r="I31" s="1">
        <v>214.47</v>
      </c>
      <c r="J31" s="4">
        <f t="shared" si="1"/>
        <v>-5.1027508465927279E-3</v>
      </c>
      <c r="K31" s="4">
        <v>-2.5349113395306929E-2</v>
      </c>
    </row>
    <row r="32" spans="1:11">
      <c r="A32" t="s">
        <v>44</v>
      </c>
      <c r="B32" s="1">
        <v>513.58000000000004</v>
      </c>
      <c r="C32" s="4">
        <f t="shared" si="0"/>
        <v>3.8505893160806614E-3</v>
      </c>
      <c r="D32" s="4">
        <v>-2.504081632653057E-2</v>
      </c>
      <c r="H32" t="s">
        <v>44</v>
      </c>
      <c r="I32" s="1">
        <v>213.04</v>
      </c>
      <c r="J32" s="4">
        <f t="shared" si="1"/>
        <v>-6.6675991980230656E-3</v>
      </c>
      <c r="K32" s="4">
        <v>-2.5339154841727631E-2</v>
      </c>
    </row>
    <row r="33" spans="1:11">
      <c r="A33" t="s">
        <v>45</v>
      </c>
      <c r="B33" s="1">
        <v>516.79</v>
      </c>
      <c r="C33" s="4">
        <f t="shared" si="0"/>
        <v>6.2502433895399402E-3</v>
      </c>
      <c r="D33" s="4">
        <v>-2.398708224446007E-2</v>
      </c>
      <c r="H33" t="s">
        <v>45</v>
      </c>
      <c r="I33" s="1">
        <v>216.48</v>
      </c>
      <c r="J33" s="4">
        <f t="shared" si="1"/>
        <v>1.6147202403304535E-2</v>
      </c>
      <c r="K33" s="4">
        <v>-2.4997185001689091E-2</v>
      </c>
    </row>
    <row r="34" spans="1:11">
      <c r="A34" t="s">
        <v>46</v>
      </c>
      <c r="B34" s="1">
        <v>517.66</v>
      </c>
      <c r="C34" s="4">
        <f t="shared" si="0"/>
        <v>1.6834691073743776E-3</v>
      </c>
      <c r="D34" s="4">
        <v>-2.2903282583824621E-2</v>
      </c>
      <c r="H34" t="s">
        <v>46</v>
      </c>
      <c r="I34" s="1">
        <v>222.03</v>
      </c>
      <c r="J34" s="4">
        <f t="shared" si="1"/>
        <v>2.56374722838138E-2</v>
      </c>
      <c r="K34" s="4">
        <v>-2.4922538057389251E-2</v>
      </c>
    </row>
    <row r="35" spans="1:11">
      <c r="A35" t="s">
        <v>47</v>
      </c>
      <c r="B35" s="1">
        <v>520.54</v>
      </c>
      <c r="C35" s="4">
        <f t="shared" si="0"/>
        <v>5.5634972762044496E-3</v>
      </c>
      <c r="D35" s="4">
        <v>-2.267743488260154E-2</v>
      </c>
      <c r="H35" t="s">
        <v>47</v>
      </c>
      <c r="I35" s="1">
        <v>217.95</v>
      </c>
      <c r="J35" s="4">
        <f t="shared" si="1"/>
        <v>-1.8375895149304204E-2</v>
      </c>
      <c r="K35" s="4">
        <v>-2.476765799256498E-2</v>
      </c>
    </row>
    <row r="36" spans="1:11">
      <c r="A36" t="s">
        <v>48</v>
      </c>
      <c r="B36" s="1">
        <v>520.55999999999995</v>
      </c>
      <c r="C36" s="4">
        <f t="shared" si="0"/>
        <v>3.8421639067087664E-5</v>
      </c>
      <c r="D36" s="4">
        <v>-2.258788035171989E-2</v>
      </c>
      <c r="H36" t="s">
        <v>48</v>
      </c>
      <c r="I36" s="1">
        <v>221.09</v>
      </c>
      <c r="J36" s="4">
        <f t="shared" si="1"/>
        <v>1.4406974076623147E-2</v>
      </c>
      <c r="K36" s="4">
        <v>-2.4525968672712239E-2</v>
      </c>
    </row>
    <row r="37" spans="1:11">
      <c r="A37" t="s">
        <v>49</v>
      </c>
      <c r="B37" s="1">
        <v>523.61</v>
      </c>
      <c r="C37" s="4">
        <f t="shared" si="0"/>
        <v>5.8590748424774634E-3</v>
      </c>
      <c r="D37" s="4">
        <v>-2.2441973663985221E-2</v>
      </c>
      <c r="H37" t="s">
        <v>49</v>
      </c>
      <c r="I37" s="1">
        <v>224.21</v>
      </c>
      <c r="J37" s="4">
        <f t="shared" si="1"/>
        <v>1.4111900131168323E-2</v>
      </c>
      <c r="K37" s="4">
        <v>-2.3593998826586179E-2</v>
      </c>
    </row>
    <row r="38" spans="1:11">
      <c r="A38" t="s">
        <v>50</v>
      </c>
      <c r="B38" s="1">
        <v>531.52</v>
      </c>
      <c r="C38" s="4">
        <f t="shared" si="0"/>
        <v>1.5106663356314753E-2</v>
      </c>
      <c r="D38" s="4">
        <v>-2.235387832321024E-2</v>
      </c>
      <c r="H38" t="s">
        <v>50</v>
      </c>
      <c r="I38" s="1">
        <v>226.97</v>
      </c>
      <c r="J38" s="4">
        <f t="shared" si="1"/>
        <v>1.2309888051380362E-2</v>
      </c>
      <c r="K38" s="4">
        <v>-2.323780015491855E-2</v>
      </c>
    </row>
    <row r="39" spans="1:11">
      <c r="A39" t="s">
        <v>51</v>
      </c>
      <c r="B39" s="1">
        <v>542.07000000000005</v>
      </c>
      <c r="C39" s="4">
        <f t="shared" si="0"/>
        <v>1.9848735701384838E-2</v>
      </c>
      <c r="D39" s="4">
        <v>-2.2083453951449498E-2</v>
      </c>
      <c r="H39" t="s">
        <v>51</v>
      </c>
      <c r="I39" s="1">
        <v>229.25</v>
      </c>
      <c r="J39" s="4">
        <f t="shared" si="1"/>
        <v>1.0045380446755082E-2</v>
      </c>
      <c r="K39" s="4">
        <v>-2.303555280567323E-2</v>
      </c>
    </row>
    <row r="40" spans="1:11">
      <c r="A40" t="s">
        <v>52</v>
      </c>
      <c r="B40" s="1">
        <v>541.54999999999995</v>
      </c>
      <c r="C40" s="4">
        <f t="shared" si="0"/>
        <v>-9.5928570110888898E-4</v>
      </c>
      <c r="D40" s="4">
        <v>-2.1898928024502291E-2</v>
      </c>
      <c r="H40" t="s">
        <v>52</v>
      </c>
      <c r="I40" s="1">
        <v>230.3</v>
      </c>
      <c r="J40" s="4">
        <f t="shared" si="1"/>
        <v>4.5801526717557748E-3</v>
      </c>
      <c r="K40" s="4">
        <v>-2.1952175617405031E-2</v>
      </c>
    </row>
    <row r="41" spans="1:11">
      <c r="A41" t="s">
        <v>53</v>
      </c>
      <c r="B41" s="1">
        <v>525.76</v>
      </c>
      <c r="C41" s="4">
        <f t="shared" si="0"/>
        <v>-2.915704921059914E-2</v>
      </c>
      <c r="D41" s="4">
        <v>-2.153555786773774E-2</v>
      </c>
      <c r="H41" t="s">
        <v>53</v>
      </c>
      <c r="I41" s="1">
        <v>222.86</v>
      </c>
      <c r="J41" s="4">
        <f t="shared" si="1"/>
        <v>-3.2305688232739896E-2</v>
      </c>
      <c r="K41" s="4">
        <v>-2.155431838699956E-2</v>
      </c>
    </row>
    <row r="42" spans="1:11">
      <c r="A42" t="s">
        <v>54</v>
      </c>
      <c r="B42" s="1">
        <v>517.80999999999995</v>
      </c>
      <c r="C42" s="4">
        <f t="shared" si="0"/>
        <v>-1.5120967741935571E-2</v>
      </c>
      <c r="D42" s="4">
        <v>-2.0426566298125962E-2</v>
      </c>
      <c r="H42" t="s">
        <v>54</v>
      </c>
      <c r="I42" s="1">
        <v>244.22</v>
      </c>
      <c r="J42" s="4">
        <f t="shared" si="1"/>
        <v>9.5844925065063202E-2</v>
      </c>
      <c r="K42" s="4">
        <v>-2.092847639253477E-2</v>
      </c>
    </row>
    <row r="43" spans="1:11">
      <c r="A43" t="s">
        <v>55</v>
      </c>
      <c r="B43" s="1">
        <v>517.03</v>
      </c>
      <c r="C43" s="4">
        <f t="shared" si="0"/>
        <v>-1.5063440258009169E-3</v>
      </c>
      <c r="D43" s="4">
        <v>-2.0231213872832329E-2</v>
      </c>
      <c r="H43" t="s">
        <v>55</v>
      </c>
      <c r="I43" s="1">
        <v>254</v>
      </c>
      <c r="J43" s="4">
        <f t="shared" si="1"/>
        <v>4.0045860289902549E-2</v>
      </c>
      <c r="K43" s="4">
        <v>-2.084119912406569E-2</v>
      </c>
    </row>
    <row r="44" spans="1:11">
      <c r="A44" t="s">
        <v>56</v>
      </c>
      <c r="B44" s="1">
        <v>514.33000000000004</v>
      </c>
      <c r="C44" s="4">
        <f t="shared" si="0"/>
        <v>-5.2221341121403628E-3</v>
      </c>
      <c r="D44" s="4">
        <v>-1.9835949207350739E-2</v>
      </c>
      <c r="H44" t="s">
        <v>56</v>
      </c>
      <c r="I44" s="1">
        <v>249.32</v>
      </c>
      <c r="J44" s="4">
        <f t="shared" si="1"/>
        <v>-1.8425196850393729E-2</v>
      </c>
      <c r="K44" s="4">
        <v>-2.0194052220556931E-2</v>
      </c>
    </row>
    <row r="45" spans="1:11">
      <c r="A45" t="s">
        <v>57</v>
      </c>
      <c r="B45" s="1">
        <v>507.16</v>
      </c>
      <c r="C45" s="4">
        <f t="shared" si="0"/>
        <v>-1.3940466237629567E-2</v>
      </c>
      <c r="D45" s="4">
        <v>-1.9078140256878911E-2</v>
      </c>
      <c r="H45" t="s">
        <v>57</v>
      </c>
      <c r="I45" s="1">
        <v>250.2</v>
      </c>
      <c r="J45" s="4">
        <f t="shared" si="1"/>
        <v>3.5296005133964204E-3</v>
      </c>
      <c r="K45" s="4">
        <v>-1.988547223093827E-2</v>
      </c>
    </row>
    <row r="46" spans="1:11">
      <c r="A46" t="s">
        <v>58</v>
      </c>
      <c r="B46" s="1">
        <v>497.1</v>
      </c>
      <c r="C46" s="4">
        <f t="shared" si="0"/>
        <v>-1.9835949207350739E-2</v>
      </c>
      <c r="D46" s="4">
        <v>-1.862979258328102E-2</v>
      </c>
      <c r="H46" t="s">
        <v>58</v>
      </c>
      <c r="I46" s="1">
        <v>243.04</v>
      </c>
      <c r="J46" s="4">
        <f t="shared" si="1"/>
        <v>-2.8617106314948029E-2</v>
      </c>
      <c r="K46" s="4">
        <v>-1.969675499504046E-2</v>
      </c>
    </row>
    <row r="47" spans="1:11">
      <c r="A47" t="s">
        <v>59</v>
      </c>
      <c r="B47" s="1">
        <v>496.82</v>
      </c>
      <c r="C47" s="4">
        <f t="shared" si="0"/>
        <v>-5.6326694830020028E-4</v>
      </c>
      <c r="D47" s="4">
        <v>-1.8379517762582839E-2</v>
      </c>
      <c r="H47" t="s">
        <v>59</v>
      </c>
      <c r="I47" s="1">
        <v>244.41</v>
      </c>
      <c r="J47" s="4">
        <f t="shared" si="1"/>
        <v>5.6369321922317504E-3</v>
      </c>
      <c r="K47" s="4">
        <v>-1.967081493376157E-2</v>
      </c>
    </row>
    <row r="48" spans="1:11">
      <c r="A48" t="s">
        <v>60</v>
      </c>
      <c r="B48" s="1">
        <v>506</v>
      </c>
      <c r="C48" s="4">
        <f t="shared" si="0"/>
        <v>1.8477517008171986E-2</v>
      </c>
      <c r="D48" s="4">
        <v>-1.8150087260034971E-2</v>
      </c>
      <c r="H48" t="s">
        <v>60</v>
      </c>
      <c r="I48" s="1">
        <v>248.4</v>
      </c>
      <c r="J48" s="4">
        <f t="shared" si="1"/>
        <v>1.6325027617527962E-2</v>
      </c>
      <c r="K48" s="4">
        <v>-1.8715882505848689E-2</v>
      </c>
    </row>
    <row r="49" spans="1:11">
      <c r="A49" t="s">
        <v>61</v>
      </c>
      <c r="B49" s="1">
        <v>508.68</v>
      </c>
      <c r="C49" s="4">
        <f t="shared" si="0"/>
        <v>5.2964426877470487E-3</v>
      </c>
      <c r="D49" s="4">
        <v>-1.7839546723599931E-2</v>
      </c>
      <c r="H49" t="s">
        <v>61</v>
      </c>
      <c r="I49" s="1">
        <v>249.1</v>
      </c>
      <c r="J49" s="4">
        <f t="shared" si="1"/>
        <v>2.8180354267310329E-3</v>
      </c>
      <c r="K49" s="4">
        <v>-1.86703622435231E-2</v>
      </c>
    </row>
    <row r="50" spans="1:11">
      <c r="A50" t="s">
        <v>62</v>
      </c>
      <c r="B50" s="1">
        <v>511.14</v>
      </c>
      <c r="C50" s="4">
        <f t="shared" si="0"/>
        <v>4.8360462373200821E-3</v>
      </c>
      <c r="D50" s="4">
        <v>-1.7666599557076799E-2</v>
      </c>
      <c r="H50" t="s">
        <v>62</v>
      </c>
      <c r="I50" s="1">
        <v>244.2</v>
      </c>
      <c r="J50" s="4">
        <f t="shared" si="1"/>
        <v>-1.9670814933761566E-2</v>
      </c>
      <c r="K50" s="4">
        <v>-1.8425196850393729E-2</v>
      </c>
    </row>
    <row r="51" spans="1:11">
      <c r="A51" t="s">
        <v>63</v>
      </c>
      <c r="B51" s="1">
        <v>503.29</v>
      </c>
      <c r="C51" s="4">
        <f t="shared" si="0"/>
        <v>-1.535782760104857E-2</v>
      </c>
      <c r="D51" s="4">
        <v>-1.6402524682930731E-2</v>
      </c>
      <c r="H51" t="s">
        <v>63</v>
      </c>
      <c r="I51" s="1">
        <v>237.58</v>
      </c>
      <c r="J51" s="4">
        <f t="shared" si="1"/>
        <v>-2.7108927108927011E-2</v>
      </c>
      <c r="K51" s="4">
        <v>-1.8375895149304201E-2</v>
      </c>
    </row>
    <row r="52" spans="1:11">
      <c r="A52" t="s">
        <v>64</v>
      </c>
      <c r="B52" s="1">
        <v>510.18</v>
      </c>
      <c r="C52" s="4">
        <f t="shared" si="0"/>
        <v>1.3689920324266299E-2</v>
      </c>
      <c r="D52" s="4">
        <v>-1.6082177136349941E-2</v>
      </c>
      <c r="H52" t="s">
        <v>64</v>
      </c>
      <c r="I52" s="1">
        <v>234.69</v>
      </c>
      <c r="J52" s="4">
        <f t="shared" si="1"/>
        <v>-1.2164323596262374E-2</v>
      </c>
      <c r="K52" s="4">
        <v>-1.832739559995596E-2</v>
      </c>
    </row>
    <row r="53" spans="1:11">
      <c r="A53" t="s">
        <v>65</v>
      </c>
      <c r="B53" s="1">
        <v>507.49</v>
      </c>
      <c r="C53" s="4">
        <f t="shared" si="0"/>
        <v>-5.2726488690266133E-3</v>
      </c>
      <c r="D53" s="4">
        <v>-1.570198576618723E-2</v>
      </c>
      <c r="H53" t="s">
        <v>65</v>
      </c>
      <c r="I53" s="1">
        <v>232.87</v>
      </c>
      <c r="J53" s="4">
        <f t="shared" si="1"/>
        <v>-7.7549107333077386E-3</v>
      </c>
      <c r="K53" s="4">
        <v>-1.8236160443558899E-2</v>
      </c>
    </row>
    <row r="54" spans="1:11">
      <c r="A54" t="s">
        <v>66</v>
      </c>
      <c r="B54" s="1">
        <v>493.79</v>
      </c>
      <c r="C54" s="4">
        <f t="shared" si="0"/>
        <v>-2.6995605824745292E-2</v>
      </c>
      <c r="D54" s="4">
        <v>-1.549911762449168E-2</v>
      </c>
      <c r="H54" t="s">
        <v>66</v>
      </c>
      <c r="I54" s="1">
        <v>222.55</v>
      </c>
      <c r="J54" s="4">
        <f t="shared" si="1"/>
        <v>-4.4316571477648441E-2</v>
      </c>
      <c r="K54" s="4">
        <v>-1.8142846206843789E-2</v>
      </c>
    </row>
    <row r="55" spans="1:11">
      <c r="A55" t="s">
        <v>67</v>
      </c>
      <c r="B55" s="1">
        <v>487.12</v>
      </c>
      <c r="C55" s="4">
        <f t="shared" si="0"/>
        <v>-1.3507766459426104E-2</v>
      </c>
      <c r="D55" s="4">
        <v>-1.535782760104857E-2</v>
      </c>
      <c r="H55" t="s">
        <v>67</v>
      </c>
      <c r="I55" s="1">
        <v>222.69</v>
      </c>
      <c r="J55" s="4">
        <f t="shared" si="1"/>
        <v>6.2907211862496678E-4</v>
      </c>
      <c r="K55" s="4">
        <v>-1.7863022719789279E-2</v>
      </c>
    </row>
    <row r="56" spans="1:11">
      <c r="A56" t="s">
        <v>68</v>
      </c>
      <c r="B56" s="1">
        <v>478.43</v>
      </c>
      <c r="C56" s="4">
        <f t="shared" si="0"/>
        <v>-1.7839546723599928E-2</v>
      </c>
      <c r="D56" s="4">
        <v>-1.5120967741935569E-2</v>
      </c>
      <c r="H56" t="s">
        <v>68</v>
      </c>
      <c r="I56" s="1">
        <v>217.14</v>
      </c>
      <c r="J56" s="4">
        <f t="shared" si="1"/>
        <v>-2.4922538057389247E-2</v>
      </c>
      <c r="K56" s="4">
        <v>-1.7784177141300619E-2</v>
      </c>
    </row>
    <row r="57" spans="1:11">
      <c r="A57" t="s">
        <v>69</v>
      </c>
      <c r="B57" s="1">
        <v>472.12</v>
      </c>
      <c r="C57" s="4">
        <f t="shared" si="0"/>
        <v>-1.3188972263445023E-2</v>
      </c>
      <c r="D57" s="4">
        <v>-1.4997149302198779E-2</v>
      </c>
      <c r="H57" t="s">
        <v>69</v>
      </c>
      <c r="I57" s="1">
        <v>220.69</v>
      </c>
      <c r="J57" s="4">
        <f t="shared" si="1"/>
        <v>1.6348899327622787E-2</v>
      </c>
      <c r="K57" s="4">
        <v>-1.7760986624978301E-2</v>
      </c>
    </row>
    <row r="58" spans="1:11">
      <c r="A58" t="s">
        <v>70</v>
      </c>
      <c r="B58" s="1">
        <v>474</v>
      </c>
      <c r="C58" s="4">
        <f t="shared" si="0"/>
        <v>3.9820384647970761E-3</v>
      </c>
      <c r="D58" s="4">
        <v>-1.483390034020414E-2</v>
      </c>
      <c r="H58" t="s">
        <v>70</v>
      </c>
      <c r="I58" s="1">
        <v>226.28</v>
      </c>
      <c r="J58" s="4">
        <f t="shared" si="1"/>
        <v>2.5329647922425137E-2</v>
      </c>
      <c r="K58" s="4">
        <v>-1.7194146060125579E-2</v>
      </c>
    </row>
    <row r="59" spans="1:11">
      <c r="A59" t="s">
        <v>71</v>
      </c>
      <c r="B59" s="1">
        <v>476.99</v>
      </c>
      <c r="C59" s="4">
        <f t="shared" si="0"/>
        <v>6.3080168776371501E-3</v>
      </c>
      <c r="D59" s="4">
        <v>-1.444963875903103E-2</v>
      </c>
      <c r="H59" t="s">
        <v>71</v>
      </c>
      <c r="I59" s="1">
        <v>229.67</v>
      </c>
      <c r="J59" s="4">
        <f t="shared" si="1"/>
        <v>1.4981438925225325E-2</v>
      </c>
      <c r="K59" s="4">
        <v>-1.6721952106148071E-2</v>
      </c>
    </row>
    <row r="60" spans="1:11">
      <c r="A60" t="s">
        <v>72</v>
      </c>
      <c r="B60" s="1">
        <v>485.5</v>
      </c>
      <c r="C60" s="4">
        <f t="shared" si="0"/>
        <v>1.7841044885636995E-2</v>
      </c>
      <c r="D60" s="4">
        <v>-1.414463532558379E-2</v>
      </c>
      <c r="H60" t="s">
        <v>72</v>
      </c>
      <c r="I60" s="1">
        <v>229.16</v>
      </c>
      <c r="J60" s="4">
        <f t="shared" si="1"/>
        <v>-2.2205773501109893E-3</v>
      </c>
      <c r="K60" s="4">
        <v>-1.6238743054224881E-2</v>
      </c>
    </row>
    <row r="61" spans="1:11">
      <c r="A61" t="s">
        <v>73</v>
      </c>
      <c r="B61" s="1">
        <v>492.01</v>
      </c>
      <c r="C61" s="4">
        <f t="shared" si="0"/>
        <v>1.3408856848609662E-2</v>
      </c>
      <c r="D61" s="4">
        <v>-1.3940466237629571E-2</v>
      </c>
      <c r="H61" t="s">
        <v>73</v>
      </c>
      <c r="I61" s="1">
        <v>233.22</v>
      </c>
      <c r="J61" s="4">
        <f t="shared" si="1"/>
        <v>1.7716879036481073E-2</v>
      </c>
      <c r="K61" s="4">
        <v>-1.6136876077633869E-2</v>
      </c>
    </row>
    <row r="62" spans="1:11">
      <c r="A62" t="s">
        <v>74</v>
      </c>
      <c r="B62" s="1">
        <v>486.74</v>
      </c>
      <c r="C62" s="4">
        <f t="shared" si="0"/>
        <v>-1.0711164407227459E-2</v>
      </c>
      <c r="D62" s="4">
        <v>-1.371902156420983E-2</v>
      </c>
      <c r="H62" t="s">
        <v>74</v>
      </c>
      <c r="I62" s="1">
        <v>233.88</v>
      </c>
      <c r="J62" s="4">
        <f t="shared" si="1"/>
        <v>2.8299459737586683E-3</v>
      </c>
      <c r="K62" s="4">
        <v>-1.5701708118635149E-2</v>
      </c>
    </row>
    <row r="63" spans="1:11">
      <c r="A63" t="s">
        <v>75</v>
      </c>
      <c r="B63" s="1">
        <v>490</v>
      </c>
      <c r="C63" s="4">
        <f t="shared" si="0"/>
        <v>6.6976209064387371E-3</v>
      </c>
      <c r="D63" s="4">
        <v>-1.366429495472184E-2</v>
      </c>
      <c r="H63" t="s">
        <v>75</v>
      </c>
      <c r="I63" s="1">
        <v>234.42</v>
      </c>
      <c r="J63" s="4">
        <f t="shared" si="1"/>
        <v>2.3088763468445015E-3</v>
      </c>
      <c r="K63" s="4">
        <v>-1.544490548639919E-2</v>
      </c>
    </row>
    <row r="64" spans="1:11">
      <c r="A64" t="s">
        <v>76</v>
      </c>
      <c r="B64" s="1">
        <v>477.73</v>
      </c>
      <c r="C64" s="4">
        <f t="shared" si="0"/>
        <v>-2.5040816326530574E-2</v>
      </c>
      <c r="D64" s="4">
        <v>-1.364265057211113E-2</v>
      </c>
      <c r="H64" t="s">
        <v>76</v>
      </c>
      <c r="I64" s="1">
        <v>232.38</v>
      </c>
      <c r="J64" s="4">
        <f t="shared" si="1"/>
        <v>-8.7023291528026282E-3</v>
      </c>
      <c r="K64" s="4">
        <v>-1.46719962379497E-2</v>
      </c>
    </row>
    <row r="65" spans="1:11">
      <c r="A65" t="s">
        <v>77</v>
      </c>
      <c r="B65" s="1">
        <v>480.84</v>
      </c>
      <c r="C65" s="4">
        <f t="shared" si="0"/>
        <v>6.5099533209133963E-3</v>
      </c>
      <c r="D65" s="4">
        <v>-1.3507766459426101E-2</v>
      </c>
      <c r="H65" t="s">
        <v>77</v>
      </c>
      <c r="I65" s="1">
        <v>229.11</v>
      </c>
      <c r="J65" s="4">
        <f t="shared" si="1"/>
        <v>-1.4071778982700671E-2</v>
      </c>
      <c r="K65" s="4">
        <v>-1.4071778982700669E-2</v>
      </c>
    </row>
    <row r="66" spans="1:11">
      <c r="A66" t="s">
        <v>78</v>
      </c>
      <c r="B66" s="1">
        <v>483.16</v>
      </c>
      <c r="C66" s="4">
        <f t="shared" si="0"/>
        <v>4.8248897762250441E-3</v>
      </c>
      <c r="D66" s="4">
        <v>-1.3427763386172921E-2</v>
      </c>
      <c r="H66" t="s">
        <v>78</v>
      </c>
      <c r="I66" s="1">
        <v>229.53</v>
      </c>
      <c r="J66" s="4">
        <f t="shared" si="1"/>
        <v>1.8331805682859214E-3</v>
      </c>
      <c r="K66" s="4">
        <v>-1.391573250869731E-2</v>
      </c>
    </row>
    <row r="67" spans="1:11">
      <c r="A67" t="s">
        <v>79</v>
      </c>
      <c r="B67" s="1">
        <v>491.02</v>
      </c>
      <c r="C67" s="4">
        <f t="shared" si="0"/>
        <v>1.6267902972100248E-2</v>
      </c>
      <c r="D67" s="4">
        <v>-1.3188972263445019E-2</v>
      </c>
      <c r="H67" t="s">
        <v>79</v>
      </c>
      <c r="I67" s="1">
        <v>226.89</v>
      </c>
      <c r="J67" s="4">
        <f t="shared" si="1"/>
        <v>-1.150176447523206E-2</v>
      </c>
      <c r="K67" s="4">
        <v>-1.3891414233244821E-2</v>
      </c>
    </row>
    <row r="68" spans="1:11">
      <c r="A68" t="s">
        <v>80</v>
      </c>
      <c r="B68" s="1">
        <v>492.02</v>
      </c>
      <c r="C68" s="4">
        <f t="shared" si="0"/>
        <v>2.0365769215103255E-3</v>
      </c>
      <c r="D68" s="4">
        <v>-1.235979420055597E-2</v>
      </c>
      <c r="H68" t="s">
        <v>80</v>
      </c>
      <c r="I68" s="1">
        <v>227.92</v>
      </c>
      <c r="J68" s="4">
        <f t="shared" si="1"/>
        <v>4.5396447617788412E-3</v>
      </c>
      <c r="K68" s="4">
        <v>-1.380032359379451E-2</v>
      </c>
    </row>
    <row r="69" spans="1:11">
      <c r="A69" t="s">
        <v>81</v>
      </c>
      <c r="B69" s="1">
        <v>478.56</v>
      </c>
      <c r="C69" s="4">
        <f t="shared" si="0"/>
        <v>-2.7356611519856876E-2</v>
      </c>
      <c r="D69" s="4">
        <v>-1.215118883025325E-2</v>
      </c>
      <c r="H69" t="s">
        <v>81</v>
      </c>
      <c r="I69" s="1">
        <v>231.78</v>
      </c>
      <c r="J69" s="4">
        <f t="shared" si="1"/>
        <v>1.6935766935766997E-2</v>
      </c>
      <c r="K69" s="4">
        <v>-1.3532345606571799E-2</v>
      </c>
    </row>
    <row r="70" spans="1:11">
      <c r="A70" t="s">
        <v>82</v>
      </c>
      <c r="B70" s="1">
        <v>483.47</v>
      </c>
      <c r="C70" s="4">
        <f t="shared" si="0"/>
        <v>1.0259946506185275E-2</v>
      </c>
      <c r="D70" s="4">
        <v>-1.18499491106481E-2</v>
      </c>
      <c r="H70" t="s">
        <v>82</v>
      </c>
      <c r="I70" s="1">
        <v>230.28</v>
      </c>
      <c r="J70" s="4">
        <f t="shared" si="1"/>
        <v>-6.4716541548019675E-3</v>
      </c>
      <c r="K70" s="4">
        <v>-1.3038982060159189E-2</v>
      </c>
    </row>
    <row r="71" spans="1:11">
      <c r="A71" t="s">
        <v>83</v>
      </c>
      <c r="B71" s="1">
        <v>478.53</v>
      </c>
      <c r="C71" s="4">
        <f t="shared" si="0"/>
        <v>-1.0217800484001187E-2</v>
      </c>
      <c r="D71" s="4">
        <v>-1.1831905344757259E-2</v>
      </c>
      <c r="H71" t="s">
        <v>83</v>
      </c>
      <c r="I71" s="1">
        <v>226.19</v>
      </c>
      <c r="J71" s="4">
        <f t="shared" si="1"/>
        <v>-1.7760986624978301E-2</v>
      </c>
      <c r="K71" s="4">
        <v>-1.2913026965438661E-2</v>
      </c>
    </row>
    <row r="72" spans="1:11">
      <c r="A72" t="s">
        <v>84</v>
      </c>
      <c r="B72" s="1">
        <v>474.82</v>
      </c>
      <c r="C72" s="4">
        <f t="shared" si="0"/>
        <v>-7.752909953398909E-3</v>
      </c>
      <c r="D72" s="4">
        <v>-1.1797195484891641E-2</v>
      </c>
      <c r="H72" t="s">
        <v>84</v>
      </c>
      <c r="I72" s="1">
        <v>222.54</v>
      </c>
      <c r="J72" s="4">
        <f t="shared" si="1"/>
        <v>-1.6136876077633873E-2</v>
      </c>
      <c r="K72" s="4">
        <v>-1.261780512500966E-2</v>
      </c>
    </row>
    <row r="73" spans="1:11">
      <c r="A73" t="s">
        <v>85</v>
      </c>
      <c r="B73" s="1">
        <v>476.39</v>
      </c>
      <c r="C73" s="4">
        <f t="shared" si="0"/>
        <v>3.306516153489729E-3</v>
      </c>
      <c r="D73" s="4">
        <v>-1.1612229809072399E-2</v>
      </c>
      <c r="H73" t="s">
        <v>85</v>
      </c>
      <c r="I73" s="1">
        <v>222.56</v>
      </c>
      <c r="J73" s="4">
        <f t="shared" si="1"/>
        <v>8.9871483778243154E-5</v>
      </c>
      <c r="K73" s="4">
        <v>-1.226277372262779E-2</v>
      </c>
    </row>
    <row r="74" spans="1:11">
      <c r="A74" t="s">
        <v>86</v>
      </c>
      <c r="B74" s="1">
        <v>476.12</v>
      </c>
      <c r="C74" s="4">
        <f t="shared" si="0"/>
        <v>-5.6676252650135776E-4</v>
      </c>
      <c r="D74" s="4">
        <v>-1.1506904142485491E-2</v>
      </c>
      <c r="H74" t="s">
        <v>86</v>
      </c>
      <c r="I74" s="1">
        <v>221.27</v>
      </c>
      <c r="J74" s="4">
        <f t="shared" si="1"/>
        <v>-5.7961897915168583E-3</v>
      </c>
      <c r="K74" s="4">
        <v>-1.22562212744813E-2</v>
      </c>
    </row>
    <row r="75" spans="1:11">
      <c r="A75" t="s">
        <v>87</v>
      </c>
      <c r="B75" s="1">
        <v>483.98</v>
      </c>
      <c r="C75" s="4">
        <f t="shared" si="0"/>
        <v>1.6508443249600969E-2</v>
      </c>
      <c r="D75" s="4">
        <v>-1.1285391135747889E-2</v>
      </c>
      <c r="H75" t="s">
        <v>87</v>
      </c>
      <c r="I75" s="1">
        <v>226.76</v>
      </c>
      <c r="J75" s="4">
        <f t="shared" si="1"/>
        <v>2.4811316491164553E-2</v>
      </c>
      <c r="K75" s="4">
        <v>-1.2164323596262371E-2</v>
      </c>
    </row>
    <row r="76" spans="1:11">
      <c r="A76" t="s">
        <v>88</v>
      </c>
      <c r="B76" s="1">
        <v>485.92</v>
      </c>
      <c r="C76" s="4">
        <f t="shared" si="0"/>
        <v>4.0084301004173675E-3</v>
      </c>
      <c r="D76" s="4">
        <v>-1.1163934813973901E-2</v>
      </c>
      <c r="H76" t="s">
        <v>88</v>
      </c>
      <c r="I76" s="1">
        <v>227.35</v>
      </c>
      <c r="J76" s="4">
        <f t="shared" si="1"/>
        <v>2.6018698183101229E-3</v>
      </c>
      <c r="K76" s="4">
        <v>-1.1784824714673471E-2</v>
      </c>
    </row>
    <row r="77" spans="1:11">
      <c r="A77" t="s">
        <v>89</v>
      </c>
      <c r="B77" s="1">
        <v>484.92</v>
      </c>
      <c r="C77" s="4">
        <f t="shared" si="0"/>
        <v>-2.057951926243003E-3</v>
      </c>
      <c r="D77" s="4">
        <v>-1.11589982527665E-2</v>
      </c>
      <c r="H77" t="s">
        <v>89</v>
      </c>
      <c r="I77" s="1">
        <v>228.43</v>
      </c>
      <c r="J77" s="4">
        <f t="shared" si="1"/>
        <v>4.7503848691445461E-3</v>
      </c>
      <c r="K77" s="4">
        <v>-1.1702750146284351E-2</v>
      </c>
    </row>
    <row r="78" spans="1:11">
      <c r="A78" t="s">
        <v>90</v>
      </c>
      <c r="B78" s="1">
        <v>486.85</v>
      </c>
      <c r="C78" s="4">
        <f t="shared" ref="C78:C141" si="2">(B78-B77)/B77</f>
        <v>3.9800379444032141E-3</v>
      </c>
      <c r="D78" s="4">
        <v>-1.111332602412035E-2</v>
      </c>
      <c r="H78" t="s">
        <v>90</v>
      </c>
      <c r="I78" s="1">
        <v>232.14</v>
      </c>
      <c r="J78" s="4">
        <f t="shared" ref="J78:J141" si="3">(I78-I77)/I77</f>
        <v>1.6241299303944225E-2</v>
      </c>
      <c r="K78" s="4">
        <v>-1.1526083376992889E-2</v>
      </c>
    </row>
    <row r="79" spans="1:11">
      <c r="A79" t="s">
        <v>91</v>
      </c>
      <c r="B79" s="1">
        <v>488.02</v>
      </c>
      <c r="C79" s="4">
        <f t="shared" si="2"/>
        <v>2.4032042723630665E-3</v>
      </c>
      <c r="D79" s="4">
        <v>-1.108652036320767E-2</v>
      </c>
      <c r="H79" t="s">
        <v>91</v>
      </c>
      <c r="I79" s="1">
        <v>232.38</v>
      </c>
      <c r="J79" s="4">
        <f t="shared" si="3"/>
        <v>1.0338588782631563E-3</v>
      </c>
      <c r="K79" s="4">
        <v>-1.150176447523206E-2</v>
      </c>
    </row>
    <row r="80" spans="1:11">
      <c r="A80" t="s">
        <v>92</v>
      </c>
      <c r="B80" s="1">
        <v>487.71</v>
      </c>
      <c r="C80" s="4">
        <f t="shared" si="2"/>
        <v>-6.3521986803819982E-4</v>
      </c>
      <c r="D80" s="4">
        <v>-1.0856110874373539E-2</v>
      </c>
      <c r="H80" t="s">
        <v>92</v>
      </c>
      <c r="I80" s="1">
        <v>232.52</v>
      </c>
      <c r="J80" s="4">
        <f t="shared" si="3"/>
        <v>6.0246148549795498E-4</v>
      </c>
      <c r="K80" s="4">
        <v>-1.0906887497475331E-2</v>
      </c>
    </row>
    <row r="81" spans="1:11">
      <c r="A81" t="s">
        <v>93</v>
      </c>
      <c r="B81" s="1">
        <v>487.1</v>
      </c>
      <c r="C81" s="4">
        <f t="shared" si="2"/>
        <v>-1.250743269565842E-3</v>
      </c>
      <c r="D81" s="4">
        <v>-1.0711164407227461E-2</v>
      </c>
      <c r="H81" t="s">
        <v>93</v>
      </c>
      <c r="I81" s="1">
        <v>232.07</v>
      </c>
      <c r="J81" s="4">
        <f t="shared" si="3"/>
        <v>-1.9353173920523699E-3</v>
      </c>
      <c r="K81" s="4">
        <v>-1.0871623925148699E-2</v>
      </c>
    </row>
    <row r="82" spans="1:11">
      <c r="A82" t="s">
        <v>94</v>
      </c>
      <c r="B82" s="1">
        <v>487.48</v>
      </c>
      <c r="C82" s="4">
        <f t="shared" si="2"/>
        <v>7.8012728392526267E-4</v>
      </c>
      <c r="D82" s="4">
        <v>-1.0217800484001191E-2</v>
      </c>
      <c r="H82" t="s">
        <v>94</v>
      </c>
      <c r="I82" s="1">
        <v>232.53</v>
      </c>
      <c r="J82" s="4">
        <f t="shared" si="3"/>
        <v>1.9821605550049896E-3</v>
      </c>
      <c r="K82" s="4">
        <v>-1.077259097471576E-2</v>
      </c>
    </row>
    <row r="83" spans="1:11">
      <c r="A83" t="s">
        <v>95</v>
      </c>
      <c r="B83" s="1">
        <v>483.62</v>
      </c>
      <c r="C83" s="4">
        <f t="shared" si="2"/>
        <v>-7.9182735701977796E-3</v>
      </c>
      <c r="D83" s="4">
        <v>-1.0146758674312421E-2</v>
      </c>
      <c r="H83" t="s">
        <v>95</v>
      </c>
      <c r="I83" s="1">
        <v>230.82</v>
      </c>
      <c r="J83" s="4">
        <f t="shared" si="3"/>
        <v>-7.3538898206683351E-3</v>
      </c>
      <c r="K83" s="4">
        <v>-1.064468366081074E-2</v>
      </c>
    </row>
    <row r="84" spans="1:11">
      <c r="A84" t="s">
        <v>96</v>
      </c>
      <c r="B84" s="1">
        <v>472.94</v>
      </c>
      <c r="C84" s="4">
        <f t="shared" si="2"/>
        <v>-2.2083453951449498E-2</v>
      </c>
      <c r="D84" s="4">
        <v>-9.6033189070142636E-3</v>
      </c>
      <c r="H84" t="s">
        <v>96</v>
      </c>
      <c r="I84" s="1">
        <v>226.5</v>
      </c>
      <c r="J84" s="4">
        <f t="shared" si="3"/>
        <v>-1.8715882505848686E-2</v>
      </c>
      <c r="K84" s="4">
        <v>-1.0052537955570181E-2</v>
      </c>
    </row>
    <row r="85" spans="1:11">
      <c r="A85" t="s">
        <v>97</v>
      </c>
      <c r="B85" s="1">
        <v>472.85</v>
      </c>
      <c r="C85" s="4">
        <f t="shared" si="2"/>
        <v>-1.9029898084318305E-4</v>
      </c>
      <c r="D85" s="4">
        <v>-8.915268312938214E-3</v>
      </c>
      <c r="H85" t="s">
        <v>97</v>
      </c>
      <c r="I85" s="1">
        <v>233.06</v>
      </c>
      <c r="J85" s="4">
        <f t="shared" si="3"/>
        <v>2.8962472406181026E-2</v>
      </c>
      <c r="K85" s="4">
        <v>-9.9025843329843804E-3</v>
      </c>
    </row>
    <row r="86" spans="1:11">
      <c r="A86" t="s">
        <v>98</v>
      </c>
      <c r="B86" s="1">
        <v>478.51</v>
      </c>
      <c r="C86" s="4">
        <f t="shared" si="2"/>
        <v>1.1969969334884145E-2</v>
      </c>
      <c r="D86" s="4">
        <v>-8.6838072535331771E-3</v>
      </c>
      <c r="H86" t="s">
        <v>98</v>
      </c>
      <c r="I86" s="1">
        <v>240.93</v>
      </c>
      <c r="J86" s="4">
        <f t="shared" si="3"/>
        <v>3.3768128378958227E-2</v>
      </c>
      <c r="K86" s="4">
        <v>-9.7603904156166148E-3</v>
      </c>
    </row>
    <row r="87" spans="1:11">
      <c r="A87" t="s">
        <v>99</v>
      </c>
      <c r="B87" s="1">
        <v>483.47</v>
      </c>
      <c r="C87" s="4">
        <f t="shared" si="2"/>
        <v>1.0365509602725202E-2</v>
      </c>
      <c r="D87" s="4">
        <v>-8.3828988862719826E-3</v>
      </c>
      <c r="H87" t="s">
        <v>99</v>
      </c>
      <c r="I87" s="1">
        <v>241.56</v>
      </c>
      <c r="J87" s="4">
        <f t="shared" si="3"/>
        <v>2.6148673888681168E-3</v>
      </c>
      <c r="K87" s="4">
        <v>-9.5942759573948502E-3</v>
      </c>
    </row>
    <row r="88" spans="1:11">
      <c r="A88" t="s">
        <v>100</v>
      </c>
      <c r="B88" s="1">
        <v>478.11</v>
      </c>
      <c r="C88" s="4">
        <f t="shared" si="2"/>
        <v>-1.1086520363207673E-2</v>
      </c>
      <c r="D88" s="4">
        <v>-8.076340648510821E-3</v>
      </c>
      <c r="H88" t="s">
        <v>100</v>
      </c>
      <c r="I88" s="1">
        <v>246.29</v>
      </c>
      <c r="J88" s="4">
        <f t="shared" si="3"/>
        <v>1.9581056466302326E-2</v>
      </c>
      <c r="K88" s="4">
        <v>-9.3547068707143279E-3</v>
      </c>
    </row>
    <row r="89" spans="1:11">
      <c r="A89" t="s">
        <v>101</v>
      </c>
      <c r="B89" s="1">
        <v>479.28</v>
      </c>
      <c r="C89" s="4">
        <f t="shared" si="2"/>
        <v>2.4471355964107823E-3</v>
      </c>
      <c r="D89" s="4">
        <v>-7.9758915118031681E-3</v>
      </c>
      <c r="H89" t="s">
        <v>101</v>
      </c>
      <c r="I89" s="1">
        <v>247.38</v>
      </c>
      <c r="J89" s="4">
        <f t="shared" si="3"/>
        <v>4.4256770473831801E-3</v>
      </c>
      <c r="K89" s="4">
        <v>-9.3539018594652364E-3</v>
      </c>
    </row>
    <row r="90" spans="1:11">
      <c r="A90" t="s">
        <v>102</v>
      </c>
      <c r="B90" s="1">
        <v>477.18</v>
      </c>
      <c r="C90" s="4">
        <f t="shared" si="2"/>
        <v>-4.3815723585377362E-3</v>
      </c>
      <c r="D90" s="4">
        <v>-7.9182735701977796E-3</v>
      </c>
      <c r="H90" t="s">
        <v>102</v>
      </c>
      <c r="I90" s="1">
        <v>246.47</v>
      </c>
      <c r="J90" s="4">
        <f t="shared" si="3"/>
        <v>-3.6785512167515425E-3</v>
      </c>
      <c r="K90" s="4">
        <v>-9.0996168582375518E-3</v>
      </c>
    </row>
    <row r="91" spans="1:11">
      <c r="A91" t="s">
        <v>103</v>
      </c>
      <c r="B91" s="1">
        <v>470.67</v>
      </c>
      <c r="C91" s="4">
        <f t="shared" si="2"/>
        <v>-1.3642650572111134E-2</v>
      </c>
      <c r="D91" s="4">
        <v>-7.752909953398909E-3</v>
      </c>
      <c r="H91" t="s">
        <v>103</v>
      </c>
      <c r="I91" s="1">
        <v>242.6</v>
      </c>
      <c r="J91" s="4">
        <f t="shared" si="3"/>
        <v>-1.5701708118635145E-2</v>
      </c>
      <c r="K91" s="4">
        <v>-8.8770104519639847E-3</v>
      </c>
    </row>
    <row r="92" spans="1:11">
      <c r="A92" t="s">
        <v>104</v>
      </c>
      <c r="B92" s="1">
        <v>459.38</v>
      </c>
      <c r="C92" s="4">
        <f t="shared" si="2"/>
        <v>-2.3987082244460067E-2</v>
      </c>
      <c r="D92" s="4">
        <v>-7.6388755267361164E-3</v>
      </c>
      <c r="H92" t="s">
        <v>104</v>
      </c>
      <c r="I92" s="1">
        <v>236.65</v>
      </c>
      <c r="J92" s="4">
        <f t="shared" si="3"/>
        <v>-2.4525968672712239E-2</v>
      </c>
      <c r="K92" s="4">
        <v>-8.7023291528026282E-3</v>
      </c>
    </row>
    <row r="93" spans="1:11">
      <c r="A93" t="s">
        <v>105</v>
      </c>
      <c r="B93" s="1">
        <v>456.66</v>
      </c>
      <c r="C93" s="4">
        <f t="shared" si="2"/>
        <v>-5.9210239888544784E-3</v>
      </c>
      <c r="D93" s="4">
        <v>-7.4590001975893636E-3</v>
      </c>
      <c r="H93" t="s">
        <v>105</v>
      </c>
      <c r="I93" s="1">
        <v>238.18</v>
      </c>
      <c r="J93" s="4">
        <f t="shared" si="3"/>
        <v>6.4652440312698125E-3</v>
      </c>
      <c r="K93" s="4">
        <v>-8.4323495592180473E-3</v>
      </c>
    </row>
    <row r="94" spans="1:11">
      <c r="A94" t="s">
        <v>106</v>
      </c>
      <c r="B94" s="1">
        <v>459.86</v>
      </c>
      <c r="C94" s="4">
        <f t="shared" si="2"/>
        <v>7.0074015679060754E-3</v>
      </c>
      <c r="D94" s="4">
        <v>-7.4048442906573921E-3</v>
      </c>
      <c r="H94" t="s">
        <v>106</v>
      </c>
      <c r="I94" s="1">
        <v>239.12</v>
      </c>
      <c r="J94" s="4">
        <f t="shared" si="3"/>
        <v>3.9465950121756561E-3</v>
      </c>
      <c r="K94" s="4">
        <v>-8.0439988027535825E-3</v>
      </c>
    </row>
    <row r="95" spans="1:11">
      <c r="A95" t="s">
        <v>107</v>
      </c>
      <c r="B95" s="1">
        <v>454.52</v>
      </c>
      <c r="C95" s="4">
        <f t="shared" si="2"/>
        <v>-1.1612229809072396E-2</v>
      </c>
      <c r="D95" s="4">
        <v>-7.1437650946993827E-3</v>
      </c>
      <c r="H95" t="s">
        <v>107</v>
      </c>
      <c r="I95" s="1">
        <v>231</v>
      </c>
      <c r="J95" s="4">
        <f t="shared" si="3"/>
        <v>-3.3957845433255286E-2</v>
      </c>
      <c r="K95" s="4">
        <v>-7.9713923862027355E-3</v>
      </c>
    </row>
    <row r="96" spans="1:11">
      <c r="A96" t="s">
        <v>108</v>
      </c>
      <c r="B96" s="1">
        <v>444.11</v>
      </c>
      <c r="C96" s="4">
        <f t="shared" si="2"/>
        <v>-2.2903282583824625E-2</v>
      </c>
      <c r="D96" s="4">
        <v>-7.0701140917329144E-3</v>
      </c>
      <c r="H96" t="s">
        <v>108</v>
      </c>
      <c r="I96" s="1">
        <v>231.31</v>
      </c>
      <c r="J96" s="4">
        <f t="shared" si="3"/>
        <v>1.3419913419913517E-3</v>
      </c>
      <c r="K96" s="4">
        <v>-7.8383800681192869E-3</v>
      </c>
    </row>
    <row r="97" spans="1:11">
      <c r="A97" t="s">
        <v>109</v>
      </c>
      <c r="B97" s="1">
        <v>451.14</v>
      </c>
      <c r="C97" s="4">
        <f t="shared" si="2"/>
        <v>1.582941163225321E-2</v>
      </c>
      <c r="D97" s="4">
        <v>-6.5247465466334066E-3</v>
      </c>
      <c r="H97" t="s">
        <v>109</v>
      </c>
      <c r="I97" s="1">
        <v>234.34</v>
      </c>
      <c r="J97" s="4">
        <f t="shared" si="3"/>
        <v>1.3099303964376816E-2</v>
      </c>
      <c r="K97" s="4">
        <v>-7.7549107333077386E-3</v>
      </c>
    </row>
    <row r="98" spans="1:11">
      <c r="A98" t="s">
        <v>110</v>
      </c>
      <c r="B98" s="1">
        <v>465.95</v>
      </c>
      <c r="C98" s="4">
        <f t="shared" si="2"/>
        <v>3.2827946978764913E-2</v>
      </c>
      <c r="D98" s="4">
        <v>-6.2780489001152667E-3</v>
      </c>
      <c r="H98" t="s">
        <v>110</v>
      </c>
      <c r="I98" s="1">
        <v>239.16</v>
      </c>
      <c r="J98" s="4">
        <f t="shared" si="3"/>
        <v>2.0568404881795652E-2</v>
      </c>
      <c r="K98" s="4">
        <v>-7.6666666666667313E-3</v>
      </c>
    </row>
    <row r="99" spans="1:11">
      <c r="A99" t="s">
        <v>111</v>
      </c>
      <c r="B99" s="1">
        <v>470.28</v>
      </c>
      <c r="C99" s="4">
        <f t="shared" si="2"/>
        <v>9.2928425796758966E-3</v>
      </c>
      <c r="D99" s="4">
        <v>-6.2566461409106246E-3</v>
      </c>
      <c r="H99" t="s">
        <v>111</v>
      </c>
      <c r="I99" s="1">
        <v>238.42</v>
      </c>
      <c r="J99" s="4">
        <f t="shared" si="3"/>
        <v>-3.0941629034956057E-3</v>
      </c>
      <c r="K99" s="4">
        <v>-7.6074553062000496E-3</v>
      </c>
    </row>
    <row r="100" spans="1:11">
      <c r="A100" t="s">
        <v>112</v>
      </c>
      <c r="B100" s="1">
        <v>480.58</v>
      </c>
      <c r="C100" s="4">
        <f t="shared" si="2"/>
        <v>2.1901845708939379E-2</v>
      </c>
      <c r="D100" s="4">
        <v>-6.1158482799176803E-3</v>
      </c>
      <c r="H100" t="s">
        <v>112</v>
      </c>
      <c r="I100" s="1">
        <v>244.68</v>
      </c>
      <c r="J100" s="4">
        <f t="shared" si="3"/>
        <v>2.6256186561530157E-2</v>
      </c>
      <c r="K100" s="4">
        <v>-7.4956275505954151E-3</v>
      </c>
    </row>
    <row r="101" spans="1:11">
      <c r="A101" t="s">
        <v>113</v>
      </c>
      <c r="B101" s="1">
        <v>481.63</v>
      </c>
      <c r="C101" s="4">
        <f t="shared" si="2"/>
        <v>2.1848599608806263E-3</v>
      </c>
      <c r="D101" s="4">
        <v>-6.06828009651915E-3</v>
      </c>
      <c r="H101" t="s">
        <v>113</v>
      </c>
      <c r="I101" s="1">
        <v>243.01</v>
      </c>
      <c r="J101" s="4">
        <f t="shared" si="3"/>
        <v>-6.8252411312735651E-3</v>
      </c>
      <c r="K101" s="4">
        <v>-7.3538898206683351E-3</v>
      </c>
    </row>
    <row r="102" spans="1:11">
      <c r="A102" t="s">
        <v>114</v>
      </c>
      <c r="B102" s="1">
        <v>433.5</v>
      </c>
      <c r="C102" s="4">
        <f t="shared" si="2"/>
        <v>-9.9931482673421501E-2</v>
      </c>
      <c r="D102" s="4">
        <v>-5.9259973019849194E-3</v>
      </c>
      <c r="H102" t="s">
        <v>114</v>
      </c>
      <c r="I102" s="1">
        <v>241.73</v>
      </c>
      <c r="J102" s="4">
        <f t="shared" si="3"/>
        <v>-5.2672729517303863E-3</v>
      </c>
      <c r="K102" s="4">
        <v>-7.1179824729249302E-3</v>
      </c>
    </row>
    <row r="103" spans="1:11">
      <c r="A103" t="s">
        <v>115</v>
      </c>
      <c r="B103" s="1">
        <v>430.29</v>
      </c>
      <c r="C103" s="4">
        <f t="shared" si="2"/>
        <v>-7.4048442906573921E-3</v>
      </c>
      <c r="D103" s="4">
        <v>-5.9210239888544784E-3</v>
      </c>
      <c r="H103" t="s">
        <v>115</v>
      </c>
      <c r="I103" s="1">
        <v>239.3</v>
      </c>
      <c r="J103" s="4">
        <f t="shared" si="3"/>
        <v>-1.0052537955570175E-2</v>
      </c>
      <c r="K103" s="4">
        <v>-6.881476683937778E-3</v>
      </c>
    </row>
    <row r="104" spans="1:11">
      <c r="A104" t="s">
        <v>116</v>
      </c>
      <c r="B104" s="1">
        <v>423.37</v>
      </c>
      <c r="C104" s="4">
        <f t="shared" si="2"/>
        <v>-1.6082177136349941E-2</v>
      </c>
      <c r="D104" s="4">
        <v>-5.8970166456696832E-3</v>
      </c>
      <c r="H104" t="s">
        <v>116</v>
      </c>
      <c r="I104" s="1">
        <v>242.96</v>
      </c>
      <c r="J104" s="4">
        <f t="shared" si="3"/>
        <v>1.5294609277058072E-2</v>
      </c>
      <c r="K104" s="4">
        <v>-6.8252411312735651E-3</v>
      </c>
    </row>
    <row r="105" spans="1:11">
      <c r="A105" t="s">
        <v>117</v>
      </c>
      <c r="B105" s="1">
        <v>411.21</v>
      </c>
      <c r="C105" s="4">
        <f t="shared" si="2"/>
        <v>-2.8721921723315363E-2</v>
      </c>
      <c r="D105" s="4">
        <v>-5.4155988588559774E-3</v>
      </c>
      <c r="H105" t="s">
        <v>117</v>
      </c>
      <c r="I105" s="1">
        <v>238.62</v>
      </c>
      <c r="J105" s="4">
        <f t="shared" si="3"/>
        <v>-1.7863022719789279E-2</v>
      </c>
      <c r="K105" s="4">
        <v>-6.6675991980230656E-3</v>
      </c>
    </row>
    <row r="106" spans="1:11">
      <c r="A106" t="s">
        <v>118</v>
      </c>
      <c r="B106" s="1">
        <v>414.19</v>
      </c>
      <c r="C106" s="4">
        <f t="shared" si="2"/>
        <v>7.2469054740887098E-3</v>
      </c>
      <c r="D106" s="4">
        <v>-5.2726488690266133E-3</v>
      </c>
      <c r="H106" t="s">
        <v>118</v>
      </c>
      <c r="I106" s="1">
        <v>232.99</v>
      </c>
      <c r="J106" s="4">
        <f t="shared" si="3"/>
        <v>-2.3593998826586183E-2</v>
      </c>
      <c r="K106" s="4">
        <v>-6.6335701446545532E-3</v>
      </c>
    </row>
    <row r="107" spans="1:11">
      <c r="A107" t="s">
        <v>119</v>
      </c>
      <c r="B107" s="1">
        <v>393.67</v>
      </c>
      <c r="C107" s="4">
        <f t="shared" si="2"/>
        <v>-4.9542480504116422E-2</v>
      </c>
      <c r="D107" s="4">
        <v>-5.2221341121403628E-3</v>
      </c>
      <c r="H107" t="s">
        <v>119</v>
      </c>
      <c r="I107" s="1">
        <v>222.69</v>
      </c>
      <c r="J107" s="4">
        <f t="shared" si="3"/>
        <v>-4.4207905918709003E-2</v>
      </c>
      <c r="K107" s="4">
        <v>-6.4716541548019684E-3</v>
      </c>
    </row>
    <row r="108" spans="1:11">
      <c r="A108" t="s">
        <v>120</v>
      </c>
      <c r="B108" s="1">
        <v>401.14</v>
      </c>
      <c r="C108" s="4">
        <f t="shared" si="2"/>
        <v>1.897528386719834E-2</v>
      </c>
      <c r="D108" s="4">
        <v>-4.6786681233079068E-3</v>
      </c>
      <c r="H108" t="s">
        <v>120</v>
      </c>
      <c r="I108" s="1">
        <v>210.32</v>
      </c>
      <c r="J108" s="4">
        <f t="shared" si="3"/>
        <v>-5.5548071309892699E-2</v>
      </c>
      <c r="K108" s="4">
        <v>-5.9572163552665796E-3</v>
      </c>
    </row>
    <row r="109" spans="1:11">
      <c r="A109" t="s">
        <v>121</v>
      </c>
      <c r="B109" s="1">
        <v>413.6</v>
      </c>
      <c r="C109" s="4">
        <f t="shared" si="2"/>
        <v>3.1061474796829129E-2</v>
      </c>
      <c r="D109" s="4">
        <v>-4.6680003810613416E-3</v>
      </c>
      <c r="H109" t="s">
        <v>121</v>
      </c>
      <c r="I109" s="1">
        <v>208.72</v>
      </c>
      <c r="J109" s="4">
        <f t="shared" si="3"/>
        <v>-7.6074553062000496E-3</v>
      </c>
      <c r="K109" s="4">
        <v>-5.7961897915168583E-3</v>
      </c>
    </row>
    <row r="110" spans="1:11">
      <c r="A110" t="s">
        <v>122</v>
      </c>
      <c r="B110" s="1">
        <v>413.27</v>
      </c>
      <c r="C110" s="4">
        <f t="shared" si="2"/>
        <v>-7.9787234042563086E-4</v>
      </c>
      <c r="D110" s="4">
        <v>-4.6563417349934433E-3</v>
      </c>
      <c r="H110" t="s">
        <v>122</v>
      </c>
      <c r="I110" s="1">
        <v>206.96</v>
      </c>
      <c r="J110" s="4">
        <f t="shared" si="3"/>
        <v>-8.4323495592180473E-3</v>
      </c>
      <c r="K110" s="4">
        <v>-5.6899004267426017E-3</v>
      </c>
    </row>
    <row r="111" spans="1:11">
      <c r="A111" t="s">
        <v>123</v>
      </c>
      <c r="B111" s="1">
        <v>404.37</v>
      </c>
      <c r="C111" s="4">
        <f t="shared" si="2"/>
        <v>-2.1535557867737743E-2</v>
      </c>
      <c r="D111" s="4">
        <v>-4.5608198744432806E-3</v>
      </c>
      <c r="H111" t="s">
        <v>123</v>
      </c>
      <c r="I111" s="1">
        <v>204.08</v>
      </c>
      <c r="J111" s="4">
        <f t="shared" si="3"/>
        <v>-1.391573250869731E-2</v>
      </c>
      <c r="K111" s="4">
        <v>-5.4381127450980997E-3</v>
      </c>
    </row>
    <row r="112" spans="1:11">
      <c r="A112" t="s">
        <v>124</v>
      </c>
      <c r="B112" s="1">
        <v>401.84</v>
      </c>
      <c r="C112" s="4">
        <f t="shared" si="2"/>
        <v>-6.2566461409106254E-3</v>
      </c>
      <c r="D112" s="4">
        <v>-4.4461131091174961E-3</v>
      </c>
      <c r="H112" t="s">
        <v>124</v>
      </c>
      <c r="I112" s="1">
        <v>199.6</v>
      </c>
      <c r="J112" s="4">
        <f t="shared" si="3"/>
        <v>-2.1952175617405027E-2</v>
      </c>
      <c r="K112" s="4">
        <v>-5.2889884214037909E-3</v>
      </c>
    </row>
    <row r="113" spans="1:11">
      <c r="A113" t="s">
        <v>125</v>
      </c>
      <c r="B113" s="1">
        <v>401.32</v>
      </c>
      <c r="C113" s="4">
        <f t="shared" si="2"/>
        <v>-1.2940473820425588E-3</v>
      </c>
      <c r="D113" s="4">
        <v>-4.3815723585377362E-3</v>
      </c>
      <c r="H113" t="s">
        <v>125</v>
      </c>
      <c r="I113" s="1">
        <v>198.79</v>
      </c>
      <c r="J113" s="4">
        <f t="shared" si="3"/>
        <v>-4.058116232464941E-3</v>
      </c>
      <c r="K113" s="4">
        <v>-5.2672729517303863E-3</v>
      </c>
    </row>
    <row r="114" spans="1:11">
      <c r="A114" t="s">
        <v>126</v>
      </c>
      <c r="B114" s="1">
        <v>396.86</v>
      </c>
      <c r="C114" s="4">
        <f t="shared" si="2"/>
        <v>-1.1113326024120351E-2</v>
      </c>
      <c r="D114" s="4">
        <v>-4.1881757085809566E-3</v>
      </c>
      <c r="H114" t="s">
        <v>126</v>
      </c>
      <c r="I114" s="1">
        <v>201.15</v>
      </c>
      <c r="J114" s="4">
        <f t="shared" si="3"/>
        <v>1.1871824538457738E-2</v>
      </c>
      <c r="K114" s="4">
        <v>-5.1027508465927279E-3</v>
      </c>
    </row>
    <row r="115" spans="1:11">
      <c r="A115" t="s">
        <v>127</v>
      </c>
      <c r="B115" s="1">
        <v>399.6</v>
      </c>
      <c r="C115" s="4">
        <f t="shared" si="2"/>
        <v>6.9041979539384395E-3</v>
      </c>
      <c r="D115" s="4">
        <v>-3.5447870206258619E-3</v>
      </c>
      <c r="H115" t="s">
        <v>127</v>
      </c>
      <c r="I115" s="1">
        <v>204.79</v>
      </c>
      <c r="J115" s="4">
        <f t="shared" si="3"/>
        <v>1.8095948297290512E-2</v>
      </c>
      <c r="K115" s="4">
        <v>-5.1018465638681711E-3</v>
      </c>
    </row>
    <row r="116" spans="1:11">
      <c r="A116" t="s">
        <v>128</v>
      </c>
      <c r="B116" s="1">
        <v>398.46</v>
      </c>
      <c r="C116" s="4">
        <f t="shared" si="2"/>
        <v>-2.8528528528529609E-3</v>
      </c>
      <c r="D116" s="4">
        <v>-3.36601394491489E-3</v>
      </c>
      <c r="H116" t="s">
        <v>128</v>
      </c>
      <c r="I116" s="1">
        <v>204.86</v>
      </c>
      <c r="J116" s="4">
        <f t="shared" si="3"/>
        <v>3.4181356511558963E-4</v>
      </c>
      <c r="K116" s="4">
        <v>-4.2003099257809356E-3</v>
      </c>
    </row>
    <row r="117" spans="1:11">
      <c r="A117" t="s">
        <v>129</v>
      </c>
      <c r="B117" s="1">
        <v>397.23</v>
      </c>
      <c r="C117" s="4">
        <f t="shared" si="2"/>
        <v>-3.0868845053454836E-3</v>
      </c>
      <c r="D117" s="4">
        <v>-3.086884505345484E-3</v>
      </c>
      <c r="H117" t="s">
        <v>129</v>
      </c>
      <c r="I117" s="1">
        <v>210.11</v>
      </c>
      <c r="J117" s="4">
        <f t="shared" si="3"/>
        <v>2.5627257639363465E-2</v>
      </c>
      <c r="K117" s="4">
        <v>-4.058116232464941E-3</v>
      </c>
    </row>
    <row r="118" spans="1:11">
      <c r="A118" t="s">
        <v>130</v>
      </c>
      <c r="B118" s="1">
        <v>384.47</v>
      </c>
      <c r="C118" s="4">
        <f t="shared" si="2"/>
        <v>-3.2122447952068048E-2</v>
      </c>
      <c r="D118" s="4">
        <v>-2.978586379005028E-3</v>
      </c>
      <c r="H118" t="s">
        <v>130</v>
      </c>
      <c r="I118" s="1">
        <v>205.27</v>
      </c>
      <c r="J118" s="4">
        <f t="shared" si="3"/>
        <v>-2.3035552805673234E-2</v>
      </c>
      <c r="K118" s="4">
        <v>-3.8675277861218559E-3</v>
      </c>
    </row>
    <row r="119" spans="1:11">
      <c r="A119" t="s">
        <v>131</v>
      </c>
      <c r="B119" s="1">
        <v>389</v>
      </c>
      <c r="C119" s="4">
        <f t="shared" si="2"/>
        <v>1.1782453767524053E-2</v>
      </c>
      <c r="D119" s="4">
        <v>-2.8528528528529609E-3</v>
      </c>
      <c r="H119" t="s">
        <v>131</v>
      </c>
      <c r="I119" s="1">
        <v>208.56</v>
      </c>
      <c r="J119" s="4">
        <f t="shared" si="3"/>
        <v>1.602767087250934E-2</v>
      </c>
      <c r="K119" s="4">
        <v>-3.853932155530931E-3</v>
      </c>
    </row>
    <row r="120" spans="1:11">
      <c r="A120" t="s">
        <v>132</v>
      </c>
      <c r="B120" s="1">
        <v>400.6</v>
      </c>
      <c r="C120" s="4">
        <f t="shared" si="2"/>
        <v>2.9820051413881807E-2</v>
      </c>
      <c r="D120" s="4">
        <v>-2.1687697160883172E-3</v>
      </c>
      <c r="H120" t="s">
        <v>132</v>
      </c>
      <c r="I120" s="1">
        <v>210.64</v>
      </c>
      <c r="J120" s="4">
        <f t="shared" si="3"/>
        <v>9.9731492136554672E-3</v>
      </c>
      <c r="K120" s="4">
        <v>-3.7992116635797261E-3</v>
      </c>
    </row>
    <row r="121" spans="1:11">
      <c r="A121" t="s">
        <v>133</v>
      </c>
      <c r="B121" s="1">
        <v>401.72</v>
      </c>
      <c r="C121" s="4">
        <f t="shared" si="2"/>
        <v>2.7958062905641648E-3</v>
      </c>
      <c r="D121" s="4">
        <v>-2.1611691925331909E-3</v>
      </c>
      <c r="H121" t="s">
        <v>133</v>
      </c>
      <c r="I121" s="1">
        <v>207.92</v>
      </c>
      <c r="J121" s="4">
        <f t="shared" si="3"/>
        <v>-1.2913026965438659E-2</v>
      </c>
      <c r="K121" s="4">
        <v>-3.789454226165688E-3</v>
      </c>
    </row>
    <row r="122" spans="1:11">
      <c r="A122" t="s">
        <v>134</v>
      </c>
      <c r="B122" s="1">
        <v>392.74</v>
      </c>
      <c r="C122" s="4">
        <f t="shared" si="2"/>
        <v>-2.235387832321024E-2</v>
      </c>
      <c r="D122" s="4">
        <v>-2.057951926243003E-3</v>
      </c>
      <c r="H122" t="s">
        <v>134</v>
      </c>
      <c r="I122" s="1">
        <v>210</v>
      </c>
      <c r="J122" s="4">
        <f t="shared" si="3"/>
        <v>1.0003847633705333E-2</v>
      </c>
      <c r="K122" s="4">
        <v>-3.678551216751542E-3</v>
      </c>
    </row>
    <row r="123" spans="1:11">
      <c r="A123" t="s">
        <v>135</v>
      </c>
      <c r="B123" s="1">
        <v>398.55</v>
      </c>
      <c r="C123" s="4">
        <f t="shared" si="2"/>
        <v>1.4793502062433168E-2</v>
      </c>
      <c r="D123" s="4">
        <v>-1.978573496766705E-3</v>
      </c>
      <c r="H123" t="s">
        <v>135</v>
      </c>
      <c r="I123" s="1">
        <v>208.39</v>
      </c>
      <c r="J123" s="4">
        <f t="shared" si="3"/>
        <v>-7.6666666666667313E-3</v>
      </c>
      <c r="K123" s="4">
        <v>-3.2922814290940218E-3</v>
      </c>
    </row>
    <row r="124" spans="1:11">
      <c r="A124" t="s">
        <v>136</v>
      </c>
      <c r="B124" s="1">
        <v>403.93</v>
      </c>
      <c r="C124" s="4">
        <f t="shared" si="2"/>
        <v>1.3498933634424778E-2</v>
      </c>
      <c r="D124" s="4">
        <v>-1.582278481012591E-3</v>
      </c>
      <c r="H124" t="s">
        <v>136</v>
      </c>
      <c r="I124" s="1">
        <v>208.73</v>
      </c>
      <c r="J124" s="4">
        <f t="shared" si="3"/>
        <v>1.6315562167090716E-3</v>
      </c>
      <c r="K124" s="4">
        <v>-3.1019775106631651E-3</v>
      </c>
    </row>
    <row r="125" spans="1:11">
      <c r="A125" t="s">
        <v>137</v>
      </c>
      <c r="B125" s="1">
        <v>405.2</v>
      </c>
      <c r="C125" s="4">
        <f t="shared" si="2"/>
        <v>3.1441091278191315E-3</v>
      </c>
      <c r="D125" s="4">
        <v>-1.55304450275795E-3</v>
      </c>
      <c r="H125" t="s">
        <v>137</v>
      </c>
      <c r="I125" s="1">
        <v>216.82</v>
      </c>
      <c r="J125" s="4">
        <f t="shared" si="3"/>
        <v>3.8758204378862661E-2</v>
      </c>
      <c r="K125" s="4">
        <v>-3.0941629034956061E-3</v>
      </c>
    </row>
    <row r="126" spans="1:11">
      <c r="A126" t="s">
        <v>138</v>
      </c>
      <c r="B126" s="1">
        <v>410.68</v>
      </c>
      <c r="C126" s="4">
        <f t="shared" si="2"/>
        <v>1.3524185587364309E-2</v>
      </c>
      <c r="D126" s="4">
        <v>-1.5063440258009169E-3</v>
      </c>
      <c r="H126" t="s">
        <v>138</v>
      </c>
      <c r="I126" s="1">
        <v>218.94</v>
      </c>
      <c r="J126" s="4">
        <f t="shared" si="3"/>
        <v>9.7776957845217439E-3</v>
      </c>
      <c r="K126" s="4">
        <v>-2.9878188922088009E-3</v>
      </c>
    </row>
    <row r="127" spans="1:11">
      <c r="A127" t="s">
        <v>139</v>
      </c>
      <c r="B127" s="1">
        <v>408.96</v>
      </c>
      <c r="C127" s="4">
        <f t="shared" si="2"/>
        <v>-4.1881757085809566E-3</v>
      </c>
      <c r="D127" s="4">
        <v>-1.3501687710962961E-3</v>
      </c>
      <c r="H127" t="s">
        <v>139</v>
      </c>
      <c r="I127" s="1">
        <v>213.21</v>
      </c>
      <c r="J127" s="4">
        <f t="shared" si="3"/>
        <v>-2.6171553850369917E-2</v>
      </c>
      <c r="K127" s="4">
        <v>-2.290505207657949E-3</v>
      </c>
    </row>
    <row r="128" spans="1:11">
      <c r="A128" t="s">
        <v>140</v>
      </c>
      <c r="B128" s="1">
        <v>409.41</v>
      </c>
      <c r="C128" s="4">
        <f t="shared" si="2"/>
        <v>1.1003521126761676E-3</v>
      </c>
      <c r="D128" s="4">
        <v>-1.294047382042559E-3</v>
      </c>
      <c r="H128" t="s">
        <v>140</v>
      </c>
      <c r="I128" s="1">
        <v>213.49</v>
      </c>
      <c r="J128" s="4">
        <f t="shared" si="3"/>
        <v>1.3132592279911878E-3</v>
      </c>
      <c r="K128" s="4">
        <v>-2.2654161569480311E-3</v>
      </c>
    </row>
    <row r="129" spans="1:11">
      <c r="A129" t="s">
        <v>141</v>
      </c>
      <c r="B129" s="1">
        <v>405.76</v>
      </c>
      <c r="C129" s="4">
        <f t="shared" si="2"/>
        <v>-8.915268312938214E-3</v>
      </c>
      <c r="D129" s="4">
        <v>-1.250743269565842E-3</v>
      </c>
      <c r="H129" t="s">
        <v>141</v>
      </c>
      <c r="I129" s="1">
        <v>214.33</v>
      </c>
      <c r="J129" s="4">
        <f t="shared" si="3"/>
        <v>3.9346105203990978E-3</v>
      </c>
      <c r="K129" s="4">
        <v>-2.2205773501109889E-3</v>
      </c>
    </row>
    <row r="130" spans="1:11">
      <c r="A130" t="s">
        <v>142</v>
      </c>
      <c r="B130" s="1">
        <v>404.88</v>
      </c>
      <c r="C130" s="4">
        <f t="shared" si="2"/>
        <v>-2.1687697160883168E-3</v>
      </c>
      <c r="D130" s="4">
        <v>-1.240783602567424E-3</v>
      </c>
      <c r="H130" t="s">
        <v>142</v>
      </c>
      <c r="I130" s="1">
        <v>212.65</v>
      </c>
      <c r="J130" s="4">
        <f t="shared" si="3"/>
        <v>-7.8383800681192869E-3</v>
      </c>
      <c r="K130" s="4">
        <v>-2.0881856878965949E-3</v>
      </c>
    </row>
    <row r="131" spans="1:11">
      <c r="A131" t="s">
        <v>143</v>
      </c>
      <c r="B131" s="1">
        <v>401.86</v>
      </c>
      <c r="C131" s="4">
        <f t="shared" si="2"/>
        <v>-7.4590001975893645E-3</v>
      </c>
      <c r="D131" s="4">
        <v>-9.5928570110888898E-4</v>
      </c>
      <c r="H131" t="s">
        <v>143</v>
      </c>
      <c r="I131" s="1">
        <v>209.53</v>
      </c>
      <c r="J131" s="4">
        <f t="shared" si="3"/>
        <v>-1.4671996237949703E-2</v>
      </c>
      <c r="K131" s="4">
        <v>-2.0206022187005518E-3</v>
      </c>
    </row>
    <row r="132" spans="1:11">
      <c r="A132" t="s">
        <v>144</v>
      </c>
      <c r="B132" s="1">
        <v>395.55</v>
      </c>
      <c r="C132" s="4">
        <f t="shared" si="2"/>
        <v>-1.5701985766187233E-2</v>
      </c>
      <c r="D132" s="4">
        <v>-9.3376130726564453E-4</v>
      </c>
      <c r="H132" t="s">
        <v>144</v>
      </c>
      <c r="I132" s="1">
        <v>207.67</v>
      </c>
      <c r="J132" s="4">
        <f t="shared" si="3"/>
        <v>-8.8770104519639847E-3</v>
      </c>
      <c r="K132" s="4">
        <v>-1.9353173920523699E-3</v>
      </c>
    </row>
    <row r="133" spans="1:11">
      <c r="A133" t="s">
        <v>145</v>
      </c>
      <c r="B133" s="1">
        <v>399.95</v>
      </c>
      <c r="C133" s="4">
        <f t="shared" si="2"/>
        <v>1.1123751738086151E-2</v>
      </c>
      <c r="D133" s="4">
        <v>-7.9787234042563086E-4</v>
      </c>
      <c r="H133" t="s">
        <v>145</v>
      </c>
      <c r="I133" s="1">
        <v>211.74</v>
      </c>
      <c r="J133" s="4">
        <f t="shared" si="3"/>
        <v>1.9598401309770416E-2</v>
      </c>
      <c r="K133" s="4">
        <v>-1.5063731170335509E-3</v>
      </c>
    </row>
    <row r="134" spans="1:11">
      <c r="A134" t="s">
        <v>146</v>
      </c>
      <c r="B134" s="1">
        <v>399.41</v>
      </c>
      <c r="C134" s="4">
        <f t="shared" si="2"/>
        <v>-1.3501687710962961E-3</v>
      </c>
      <c r="D134" s="4">
        <v>-6.3521986803819982E-4</v>
      </c>
      <c r="H134" t="s">
        <v>146</v>
      </c>
      <c r="I134" s="1">
        <v>215.2</v>
      </c>
      <c r="J134" s="4">
        <f t="shared" si="3"/>
        <v>1.6340795315008875E-2</v>
      </c>
      <c r="K134" s="4">
        <v>-1.430405281496374E-3</v>
      </c>
    </row>
    <row r="135" spans="1:11">
      <c r="A135" t="s">
        <v>147</v>
      </c>
      <c r="B135" s="1">
        <v>391.79</v>
      </c>
      <c r="C135" s="4">
        <f t="shared" si="2"/>
        <v>-1.9078140256878907E-2</v>
      </c>
      <c r="D135" s="4">
        <v>-5.6676252650135776E-4</v>
      </c>
      <c r="H135" t="s">
        <v>147</v>
      </c>
      <c r="I135" s="1">
        <v>209.87</v>
      </c>
      <c r="J135" s="4">
        <f t="shared" si="3"/>
        <v>-2.4767657992564984E-2</v>
      </c>
      <c r="K135" s="4">
        <v>-1.0964912280701799E-3</v>
      </c>
    </row>
    <row r="136" spans="1:11">
      <c r="A136" t="s">
        <v>148</v>
      </c>
      <c r="B136" s="1">
        <v>389.02</v>
      </c>
      <c r="C136" s="4">
        <f t="shared" si="2"/>
        <v>-7.0701140917329144E-3</v>
      </c>
      <c r="D136" s="4">
        <v>-5.6326694830020028E-4</v>
      </c>
      <c r="H136" t="s">
        <v>148</v>
      </c>
      <c r="I136" s="1">
        <v>208.76</v>
      </c>
      <c r="J136" s="4">
        <f t="shared" si="3"/>
        <v>-5.2889884214037909E-3</v>
      </c>
      <c r="K136" s="4">
        <v>-8.1294203723316114E-5</v>
      </c>
    </row>
    <row r="137" spans="1:11">
      <c r="A137" t="s">
        <v>149</v>
      </c>
      <c r="B137" s="1">
        <v>381.87</v>
      </c>
      <c r="C137" s="4">
        <f t="shared" si="2"/>
        <v>-1.8379517762582842E-2</v>
      </c>
      <c r="D137" s="4">
        <v>-2.7260159277235819E-4</v>
      </c>
      <c r="H137" t="s">
        <v>149</v>
      </c>
      <c r="I137" s="1">
        <v>205.37</v>
      </c>
      <c r="J137" s="4">
        <f t="shared" si="3"/>
        <v>-1.6238743054224881E-2</v>
      </c>
      <c r="K137" s="4">
        <v>8.9871483778243154E-5</v>
      </c>
    </row>
    <row r="138" spans="1:11">
      <c r="A138" t="s">
        <v>150</v>
      </c>
      <c r="B138" s="1">
        <v>383</v>
      </c>
      <c r="C138" s="4">
        <f t="shared" si="2"/>
        <v>2.9591222143661336E-3</v>
      </c>
      <c r="D138" s="4">
        <v>-1.9029898084318311E-4</v>
      </c>
      <c r="H138" t="s">
        <v>150</v>
      </c>
      <c r="I138" s="1">
        <v>210.14</v>
      </c>
      <c r="J138" s="4">
        <f t="shared" si="3"/>
        <v>2.3226371914106158E-2</v>
      </c>
      <c r="K138" s="4">
        <v>2.353679585752482E-4</v>
      </c>
    </row>
    <row r="139" spans="1:11">
      <c r="A139" t="s">
        <v>151</v>
      </c>
      <c r="B139" s="1">
        <v>372.74</v>
      </c>
      <c r="C139" s="4">
        <f t="shared" si="2"/>
        <v>-2.6788511749347235E-2</v>
      </c>
      <c r="D139" s="4">
        <v>3.8421639067087657E-5</v>
      </c>
      <c r="H139" t="s">
        <v>151</v>
      </c>
      <c r="I139" s="1">
        <v>207.24</v>
      </c>
      <c r="J139" s="4">
        <f t="shared" si="3"/>
        <v>-1.3800323593794506E-2</v>
      </c>
      <c r="K139" s="4">
        <v>3.4181356511558958E-4</v>
      </c>
    </row>
    <row r="140" spans="1:11">
      <c r="A140" t="s">
        <v>152</v>
      </c>
      <c r="B140" s="1">
        <v>371.04</v>
      </c>
      <c r="C140" s="4">
        <f t="shared" si="2"/>
        <v>-4.5608198744432815E-3</v>
      </c>
      <c r="D140" s="4">
        <v>2.6007282038969999E-4</v>
      </c>
      <c r="H140" t="s">
        <v>152</v>
      </c>
      <c r="I140" s="1">
        <v>211.71</v>
      </c>
      <c r="J140" s="4">
        <f t="shared" si="3"/>
        <v>2.156919513607411E-2</v>
      </c>
      <c r="K140" s="4">
        <v>6.0246148549795498E-4</v>
      </c>
    </row>
    <row r="141" spans="1:11">
      <c r="A141" t="s">
        <v>153</v>
      </c>
      <c r="B141" s="1">
        <v>365.97</v>
      </c>
      <c r="C141" s="4">
        <f t="shared" si="2"/>
        <v>-1.3664294954721844E-2</v>
      </c>
      <c r="D141" s="4">
        <v>3.1448189108445029E-4</v>
      </c>
      <c r="H141" t="s">
        <v>153</v>
      </c>
      <c r="I141" s="1">
        <v>207.54</v>
      </c>
      <c r="J141" s="4">
        <f t="shared" si="3"/>
        <v>-1.969675499504046E-2</v>
      </c>
      <c r="K141" s="4">
        <v>6.2907211862496678E-4</v>
      </c>
    </row>
    <row r="142" spans="1:11">
      <c r="A142" t="s">
        <v>154</v>
      </c>
      <c r="B142" s="1">
        <v>356.77</v>
      </c>
      <c r="C142" s="4">
        <f t="shared" ref="C142:C205" si="4">(B142-B141)/B141</f>
        <v>-2.5138672568789915E-2</v>
      </c>
      <c r="D142" s="4">
        <v>4.7100937308649772E-4</v>
      </c>
      <c r="H142" t="s">
        <v>154</v>
      </c>
      <c r="I142" s="1">
        <v>199.34</v>
      </c>
      <c r="J142" s="4">
        <f t="shared" ref="J142:J205" si="5">(I142-I141)/I141</f>
        <v>-3.9510455815746311E-2</v>
      </c>
      <c r="K142" s="4">
        <v>6.8343940882489677E-4</v>
      </c>
    </row>
    <row r="143" spans="1:11">
      <c r="A143" t="s">
        <v>155</v>
      </c>
      <c r="B143" s="1">
        <v>358.96</v>
      </c>
      <c r="C143" s="4">
        <f t="shared" si="4"/>
        <v>6.1384084984723994E-3</v>
      </c>
      <c r="D143" s="4">
        <v>7.8012728392526267E-4</v>
      </c>
      <c r="H143" t="s">
        <v>155</v>
      </c>
      <c r="I143" s="1">
        <v>200.95</v>
      </c>
      <c r="J143" s="4">
        <f t="shared" si="5"/>
        <v>8.0766529547506034E-3</v>
      </c>
      <c r="K143" s="4">
        <v>7.2783146658043278E-4</v>
      </c>
    </row>
    <row r="144" spans="1:11">
      <c r="A144" t="s">
        <v>156</v>
      </c>
      <c r="B144" s="1">
        <v>370.17</v>
      </c>
      <c r="C144" s="4">
        <f t="shared" si="4"/>
        <v>3.1229106307109532E-2</v>
      </c>
      <c r="D144" s="4">
        <v>1.024747655889825E-3</v>
      </c>
      <c r="H144" t="s">
        <v>156</v>
      </c>
      <c r="I144" s="1">
        <v>208.27</v>
      </c>
      <c r="J144" s="4">
        <f t="shared" si="5"/>
        <v>3.6426971883553233E-2</v>
      </c>
      <c r="K144" s="4">
        <v>1.0338588782631559E-3</v>
      </c>
    </row>
    <row r="145" spans="1:11">
      <c r="A145" t="s">
        <v>157</v>
      </c>
      <c r="B145" s="1">
        <v>369.37</v>
      </c>
      <c r="C145" s="4">
        <f t="shared" si="4"/>
        <v>-2.1611691925331909E-3</v>
      </c>
      <c r="D145" s="4">
        <v>1.1003521126761681E-3</v>
      </c>
      <c r="H145" t="s">
        <v>157</v>
      </c>
      <c r="I145" s="1">
        <v>210.57</v>
      </c>
      <c r="J145" s="4">
        <f t="shared" si="5"/>
        <v>1.1043357180582815E-2</v>
      </c>
      <c r="K145" s="4">
        <v>1.313259227991188E-3</v>
      </c>
    </row>
    <row r="146" spans="1:11">
      <c r="A146" t="s">
        <v>158</v>
      </c>
      <c r="B146" s="1">
        <v>373.46</v>
      </c>
      <c r="C146" s="4">
        <f t="shared" si="4"/>
        <v>1.1072907924303476E-2</v>
      </c>
      <c r="D146" s="4">
        <v>1.2931830777755989E-3</v>
      </c>
      <c r="H146" t="s">
        <v>158</v>
      </c>
      <c r="I146" s="1">
        <v>209.77</v>
      </c>
      <c r="J146" s="4">
        <f t="shared" si="5"/>
        <v>-3.7992116635797261E-3</v>
      </c>
      <c r="K146" s="4">
        <v>1.341991341991352E-3</v>
      </c>
    </row>
    <row r="147" spans="1:11">
      <c r="A147" t="s">
        <v>159</v>
      </c>
      <c r="B147" s="1">
        <v>372.88</v>
      </c>
      <c r="C147" s="4">
        <f t="shared" si="4"/>
        <v>-1.5530445027579502E-3</v>
      </c>
      <c r="D147" s="4">
        <v>1.606834129970549E-3</v>
      </c>
      <c r="H147" t="s">
        <v>159</v>
      </c>
      <c r="I147" s="1">
        <v>212.79</v>
      </c>
      <c r="J147" s="4">
        <f t="shared" si="5"/>
        <v>1.4396720217380853E-2</v>
      </c>
      <c r="K147" s="4">
        <v>1.6315562167090721E-3</v>
      </c>
    </row>
    <row r="148" spans="1:11">
      <c r="A148" t="s">
        <v>160</v>
      </c>
      <c r="B148" s="1">
        <v>372.29</v>
      </c>
      <c r="C148" s="4">
        <f t="shared" si="4"/>
        <v>-1.5822784810125912E-3</v>
      </c>
      <c r="D148" s="4">
        <v>1.6603687163632289E-3</v>
      </c>
      <c r="H148" t="s">
        <v>160</v>
      </c>
      <c r="I148" s="1">
        <v>213.77</v>
      </c>
      <c r="J148" s="4">
        <f t="shared" si="5"/>
        <v>4.6054795808074542E-3</v>
      </c>
      <c r="K148" s="4">
        <v>1.8331805682859209E-3</v>
      </c>
    </row>
    <row r="149" spans="1:11">
      <c r="A149" t="s">
        <v>161</v>
      </c>
      <c r="B149" s="1">
        <v>374.33</v>
      </c>
      <c r="C149" s="4">
        <f t="shared" si="4"/>
        <v>5.4795992371537341E-3</v>
      </c>
      <c r="D149" s="4">
        <v>1.6614405391492399E-3</v>
      </c>
      <c r="H149" t="s">
        <v>161</v>
      </c>
      <c r="I149" s="1">
        <v>221.25</v>
      </c>
      <c r="J149" s="4">
        <f t="shared" si="5"/>
        <v>3.4990878046498523E-2</v>
      </c>
      <c r="K149" s="4">
        <v>1.9821605550049901E-3</v>
      </c>
    </row>
    <row r="150" spans="1:11">
      <c r="A150" t="s">
        <v>162</v>
      </c>
      <c r="B150" s="1">
        <v>373.07</v>
      </c>
      <c r="C150" s="4">
        <f t="shared" si="4"/>
        <v>-3.3660139449148904E-3</v>
      </c>
      <c r="D150" s="4">
        <v>1.683469107374378E-3</v>
      </c>
      <c r="H150" t="s">
        <v>162</v>
      </c>
      <c r="I150" s="1">
        <v>233.65</v>
      </c>
      <c r="J150" s="4">
        <f t="shared" si="5"/>
        <v>5.6045197740113017E-2</v>
      </c>
      <c r="K150" s="4">
        <v>2.308876346844502E-3</v>
      </c>
    </row>
    <row r="151" spans="1:11">
      <c r="A151" t="s">
        <v>163</v>
      </c>
      <c r="B151" s="1">
        <v>370.87</v>
      </c>
      <c r="C151" s="4">
        <f t="shared" si="4"/>
        <v>-5.8970166456696832E-3</v>
      </c>
      <c r="D151" s="4">
        <v>1.8066492547571019E-3</v>
      </c>
      <c r="H151" t="s">
        <v>163</v>
      </c>
      <c r="I151" s="1">
        <v>238.38</v>
      </c>
      <c r="J151" s="4">
        <f t="shared" si="5"/>
        <v>2.024395463299803E-2</v>
      </c>
      <c r="K151" s="4">
        <v>2.6018698183101229E-3</v>
      </c>
    </row>
    <row r="152" spans="1:11">
      <c r="A152" t="s">
        <v>164</v>
      </c>
      <c r="B152" s="1">
        <v>384.37</v>
      </c>
      <c r="C152" s="4">
        <f t="shared" si="4"/>
        <v>3.6400895192385471E-2</v>
      </c>
      <c r="D152" s="4">
        <v>1.9252783848475619E-3</v>
      </c>
      <c r="H152" t="s">
        <v>164</v>
      </c>
      <c r="I152" s="1">
        <v>239.89</v>
      </c>
      <c r="J152" s="4">
        <f t="shared" si="5"/>
        <v>6.3344240288614436E-3</v>
      </c>
      <c r="K152" s="4">
        <v>2.6148673888681168E-3</v>
      </c>
    </row>
    <row r="153" spans="1:11">
      <c r="A153" t="s">
        <v>165</v>
      </c>
      <c r="B153" s="1">
        <v>393.11</v>
      </c>
      <c r="C153" s="4">
        <f t="shared" si="4"/>
        <v>2.2738507167572936E-2</v>
      </c>
      <c r="D153" s="4">
        <v>2.036576921510326E-3</v>
      </c>
      <c r="H153" t="s">
        <v>165</v>
      </c>
      <c r="I153" s="1">
        <v>249.02</v>
      </c>
      <c r="J153" s="4">
        <f t="shared" si="5"/>
        <v>3.8059110425611838E-2</v>
      </c>
      <c r="K153" s="4">
        <v>2.7258272128417782E-3</v>
      </c>
    </row>
    <row r="154" spans="1:11">
      <c r="A154" t="s">
        <v>166</v>
      </c>
      <c r="B154" s="1">
        <v>411.22</v>
      </c>
      <c r="C154" s="4">
        <f t="shared" si="4"/>
        <v>4.6068530436773454E-2</v>
      </c>
      <c r="D154" s="4">
        <v>2.1848599608806259E-3</v>
      </c>
      <c r="H154" t="s">
        <v>166</v>
      </c>
      <c r="I154" s="1">
        <v>248.5</v>
      </c>
      <c r="J154" s="4">
        <f t="shared" si="5"/>
        <v>-2.0881856878965954E-3</v>
      </c>
      <c r="K154" s="4">
        <v>2.8180354267310329E-3</v>
      </c>
    </row>
    <row r="155" spans="1:11">
      <c r="A155" t="s">
        <v>167</v>
      </c>
      <c r="B155" s="1">
        <v>420.26</v>
      </c>
      <c r="C155" s="4">
        <f t="shared" si="4"/>
        <v>2.1983366567773849E-2</v>
      </c>
      <c r="D155" s="4">
        <v>2.4032042723630661E-3</v>
      </c>
      <c r="H155" t="s">
        <v>167</v>
      </c>
      <c r="I155" s="1">
        <v>249.7</v>
      </c>
      <c r="J155" s="4">
        <f t="shared" si="5"/>
        <v>4.828973843058304E-3</v>
      </c>
      <c r="K155" s="4">
        <v>2.8299459737586678E-3</v>
      </c>
    </row>
    <row r="156" spans="1:11">
      <c r="A156" t="s">
        <v>168</v>
      </c>
      <c r="B156" s="1">
        <v>422.79</v>
      </c>
      <c r="C156" s="4">
        <f t="shared" si="4"/>
        <v>6.0200828058821435E-3</v>
      </c>
      <c r="D156" s="4">
        <v>2.4471355964107819E-3</v>
      </c>
      <c r="H156" t="s">
        <v>168</v>
      </c>
      <c r="I156" s="1">
        <v>250.56</v>
      </c>
      <c r="J156" s="4">
        <f t="shared" si="5"/>
        <v>3.4441329595515167E-3</v>
      </c>
      <c r="K156" s="4">
        <v>3.4441329595515172E-3</v>
      </c>
    </row>
    <row r="157" spans="1:11">
      <c r="A157" t="s">
        <v>169</v>
      </c>
      <c r="B157" s="1">
        <v>418.07</v>
      </c>
      <c r="C157" s="4">
        <f t="shared" si="4"/>
        <v>-1.1163934813973904E-2</v>
      </c>
      <c r="D157" s="4">
        <v>2.6608232900298401E-3</v>
      </c>
      <c r="H157" t="s">
        <v>169</v>
      </c>
      <c r="I157" s="1">
        <v>248.28</v>
      </c>
      <c r="J157" s="4">
        <f t="shared" si="5"/>
        <v>-9.0996168582375518E-3</v>
      </c>
      <c r="K157" s="4">
        <v>3.5296005133964199E-3</v>
      </c>
    </row>
    <row r="158" spans="1:11">
      <c r="A158" t="s">
        <v>170</v>
      </c>
      <c r="B158" s="1">
        <v>424.16</v>
      </c>
      <c r="C158" s="4">
        <f t="shared" si="4"/>
        <v>1.4566938550960442E-2</v>
      </c>
      <c r="D158" s="4">
        <v>2.664723639013163E-3</v>
      </c>
      <c r="H158" t="s">
        <v>170</v>
      </c>
      <c r="I158" s="1">
        <v>249.91</v>
      </c>
      <c r="J158" s="4">
        <f t="shared" si="5"/>
        <v>6.5651683583051214E-3</v>
      </c>
      <c r="K158" s="4">
        <v>3.9346105203990978E-3</v>
      </c>
    </row>
    <row r="159" spans="1:11">
      <c r="A159" t="s">
        <v>171</v>
      </c>
      <c r="B159" s="1">
        <v>432.92</v>
      </c>
      <c r="C159" s="4">
        <f t="shared" si="4"/>
        <v>2.0652583930592206E-2</v>
      </c>
      <c r="D159" s="4">
        <v>2.7958062905641648E-3</v>
      </c>
      <c r="H159" t="s">
        <v>171</v>
      </c>
      <c r="I159" s="1">
        <v>255.36</v>
      </c>
      <c r="J159" s="4">
        <f t="shared" si="5"/>
        <v>2.1807850826297534E-2</v>
      </c>
      <c r="K159" s="4">
        <v>3.9465950121756561E-3</v>
      </c>
    </row>
    <row r="160" spans="1:11">
      <c r="A160" t="s">
        <v>172</v>
      </c>
      <c r="B160" s="1">
        <v>415.75</v>
      </c>
      <c r="C160" s="4">
        <f t="shared" si="4"/>
        <v>-3.9660907326988855E-2</v>
      </c>
      <c r="D160" s="4">
        <v>2.959122214366134E-3</v>
      </c>
      <c r="H160" t="s">
        <v>172</v>
      </c>
      <c r="I160" s="1">
        <v>255.08</v>
      </c>
      <c r="J160" s="4">
        <f t="shared" si="5"/>
        <v>-1.0964912280701799E-3</v>
      </c>
      <c r="K160" s="4">
        <v>3.983703033046607E-3</v>
      </c>
    </row>
    <row r="161" spans="1:11">
      <c r="A161" t="s">
        <v>173</v>
      </c>
      <c r="B161" s="1">
        <v>424.62</v>
      </c>
      <c r="C161" s="4">
        <f t="shared" si="4"/>
        <v>2.133493686109442E-2</v>
      </c>
      <c r="D161" s="4">
        <v>3.1217280024818969E-3</v>
      </c>
      <c r="H161" t="s">
        <v>173</v>
      </c>
      <c r="I161" s="1">
        <v>263.99</v>
      </c>
      <c r="J161" s="4">
        <f t="shared" si="5"/>
        <v>3.4930217970832664E-2</v>
      </c>
      <c r="K161" s="4">
        <v>4.0132395531650763E-3</v>
      </c>
    </row>
    <row r="162" spans="1:11">
      <c r="A162" t="s">
        <v>174</v>
      </c>
      <c r="B162" s="1">
        <v>424.82</v>
      </c>
      <c r="C162" s="4">
        <f t="shared" si="4"/>
        <v>4.7100937308649767E-4</v>
      </c>
      <c r="D162" s="4">
        <v>3.144109127819132E-3</v>
      </c>
      <c r="H162" t="s">
        <v>174</v>
      </c>
      <c r="I162" s="1">
        <v>261.12</v>
      </c>
      <c r="J162" s="4">
        <f t="shared" si="5"/>
        <v>-1.0871623925148696E-2</v>
      </c>
      <c r="K162" s="4">
        <v>4.4256770473831801E-3</v>
      </c>
    </row>
    <row r="163" spans="1:11">
      <c r="A163" t="s">
        <v>175</v>
      </c>
      <c r="B163" s="1">
        <v>429.25</v>
      </c>
      <c r="C163" s="4">
        <f t="shared" si="4"/>
        <v>1.0427945953580356E-2</v>
      </c>
      <c r="D163" s="4">
        <v>3.306516153489729E-3</v>
      </c>
      <c r="H163" t="s">
        <v>175</v>
      </c>
      <c r="I163" s="1">
        <v>259.7</v>
      </c>
      <c r="J163" s="4">
        <f t="shared" si="5"/>
        <v>-5.4381127450980997E-3</v>
      </c>
      <c r="K163" s="4">
        <v>4.5396447617788412E-3</v>
      </c>
    </row>
    <row r="164" spans="1:11">
      <c r="A164" t="s">
        <v>176</v>
      </c>
      <c r="B164" s="1">
        <v>424.46</v>
      </c>
      <c r="C164" s="4">
        <f t="shared" si="4"/>
        <v>-1.11589982527665E-2</v>
      </c>
      <c r="D164" s="4">
        <v>3.3980113910608949E-3</v>
      </c>
      <c r="H164" t="s">
        <v>176</v>
      </c>
      <c r="I164" s="1">
        <v>263.04000000000002</v>
      </c>
      <c r="J164" s="4">
        <f t="shared" si="5"/>
        <v>1.2860993453985491E-2</v>
      </c>
      <c r="K164" s="4">
        <v>4.5801526717557748E-3</v>
      </c>
    </row>
    <row r="165" spans="1:11">
      <c r="A165" t="s">
        <v>177</v>
      </c>
      <c r="B165" s="1">
        <v>407.78</v>
      </c>
      <c r="C165" s="4">
        <f t="shared" si="4"/>
        <v>-3.9296989115582166E-2</v>
      </c>
      <c r="D165" s="4">
        <v>3.839590443686018E-3</v>
      </c>
      <c r="H165" t="s">
        <v>177</v>
      </c>
      <c r="I165" s="1">
        <v>265.06</v>
      </c>
      <c r="J165" s="4">
        <f t="shared" si="5"/>
        <v>7.6794403892943338E-3</v>
      </c>
      <c r="K165" s="4">
        <v>4.6054795808074542E-3</v>
      </c>
    </row>
    <row r="166" spans="1:11">
      <c r="A166" t="s">
        <v>178</v>
      </c>
      <c r="B166" s="1">
        <v>414.44</v>
      </c>
      <c r="C166" s="4">
        <f t="shared" si="4"/>
        <v>1.6332336063563747E-2</v>
      </c>
      <c r="D166" s="4">
        <v>3.850589316080661E-3</v>
      </c>
      <c r="H166" t="s">
        <v>178</v>
      </c>
      <c r="I166" s="1">
        <v>268.26</v>
      </c>
      <c r="J166" s="4">
        <f t="shared" si="5"/>
        <v>1.207273824794382E-2</v>
      </c>
      <c r="K166" s="4">
        <v>4.7503848691445461E-3</v>
      </c>
    </row>
    <row r="167" spans="1:11">
      <c r="A167" t="s">
        <v>179</v>
      </c>
      <c r="B167" s="1">
        <v>413.62</v>
      </c>
      <c r="C167" s="4">
        <f t="shared" si="4"/>
        <v>-1.978573496766705E-3</v>
      </c>
      <c r="D167" s="4">
        <v>3.9800379444032141E-3</v>
      </c>
      <c r="H167" t="s">
        <v>179</v>
      </c>
      <c r="I167" s="1">
        <v>272.05</v>
      </c>
      <c r="J167" s="4">
        <f t="shared" si="5"/>
        <v>1.4128084693953704E-2</v>
      </c>
      <c r="K167" s="4">
        <v>4.8276176162499532E-3</v>
      </c>
    </row>
    <row r="168" spans="1:11">
      <c r="A168" t="s">
        <v>180</v>
      </c>
      <c r="B168" s="1">
        <v>411.38</v>
      </c>
      <c r="C168" s="4">
        <f t="shared" si="4"/>
        <v>-5.4155988588559766E-3</v>
      </c>
      <c r="D168" s="4">
        <v>3.9820384647970761E-3</v>
      </c>
      <c r="H168" t="s">
        <v>180</v>
      </c>
      <c r="I168" s="1">
        <v>273.55</v>
      </c>
      <c r="J168" s="4">
        <f t="shared" si="5"/>
        <v>5.5136923359676527E-3</v>
      </c>
      <c r="K168" s="4">
        <v>4.828973843058304E-3</v>
      </c>
    </row>
    <row r="169" spans="1:11">
      <c r="A169" t="s">
        <v>181</v>
      </c>
      <c r="B169" s="1">
        <v>413.96</v>
      </c>
      <c r="C169" s="4">
        <f t="shared" si="4"/>
        <v>6.2715737274538965E-3</v>
      </c>
      <c r="D169" s="4">
        <v>4.0084301004173666E-3</v>
      </c>
      <c r="H169" t="s">
        <v>181</v>
      </c>
      <c r="I169" s="1">
        <v>274.99</v>
      </c>
      <c r="J169" s="4">
        <f t="shared" si="5"/>
        <v>5.2641199049533825E-3</v>
      </c>
      <c r="K169" s="4">
        <v>5.2641199049533816E-3</v>
      </c>
    </row>
    <row r="170" spans="1:11">
      <c r="A170" t="s">
        <v>182</v>
      </c>
      <c r="B170" s="1">
        <v>420.77</v>
      </c>
      <c r="C170" s="4">
        <f t="shared" si="4"/>
        <v>1.6450864817856806E-2</v>
      </c>
      <c r="D170" s="4">
        <v>4.3437597422841777E-3</v>
      </c>
      <c r="H170" t="s">
        <v>182</v>
      </c>
      <c r="I170" s="1">
        <v>271.17</v>
      </c>
      <c r="J170" s="4">
        <f t="shared" si="5"/>
        <v>-1.3891414233244821E-2</v>
      </c>
      <c r="K170" s="4">
        <v>5.5136923359676527E-3</v>
      </c>
    </row>
    <row r="171" spans="1:11">
      <c r="A171" t="s">
        <v>183</v>
      </c>
      <c r="B171" s="1">
        <v>415.12</v>
      </c>
      <c r="C171" s="4">
        <f t="shared" si="4"/>
        <v>-1.3427763386172915E-2</v>
      </c>
      <c r="D171" s="4">
        <v>4.8248897762250441E-3</v>
      </c>
      <c r="H171" t="s">
        <v>183</v>
      </c>
      <c r="I171" s="1">
        <v>272.68</v>
      </c>
      <c r="J171" s="4">
        <f t="shared" si="5"/>
        <v>5.5684625880443664E-3</v>
      </c>
      <c r="K171" s="4">
        <v>5.5684625880443664E-3</v>
      </c>
    </row>
    <row r="172" spans="1:11">
      <c r="A172" t="s">
        <v>184</v>
      </c>
      <c r="B172" s="1">
        <v>412.66</v>
      </c>
      <c r="C172" s="4">
        <f t="shared" si="4"/>
        <v>-5.9259973019849185E-3</v>
      </c>
      <c r="D172" s="4">
        <v>4.8360462373200821E-3</v>
      </c>
      <c r="H172" t="s">
        <v>184</v>
      </c>
      <c r="I172" s="1">
        <v>268.99</v>
      </c>
      <c r="J172" s="4">
        <f t="shared" si="5"/>
        <v>-1.3532345606571797E-2</v>
      </c>
      <c r="K172" s="4">
        <v>5.6369321922317504E-3</v>
      </c>
    </row>
    <row r="173" spans="1:11">
      <c r="A173" t="s">
        <v>185</v>
      </c>
      <c r="B173" s="1">
        <v>407.77</v>
      </c>
      <c r="C173" s="4">
        <f t="shared" si="4"/>
        <v>-1.1849949110648095E-2</v>
      </c>
      <c r="D173" s="4">
        <v>5.2964426877470487E-3</v>
      </c>
      <c r="H173" t="s">
        <v>185</v>
      </c>
      <c r="I173" s="1">
        <v>265.82</v>
      </c>
      <c r="J173" s="4">
        <f t="shared" si="5"/>
        <v>-1.1784824714673467E-2</v>
      </c>
      <c r="K173" s="4">
        <v>5.6703466643757104E-3</v>
      </c>
    </row>
    <row r="174" spans="1:11">
      <c r="A174" t="s">
        <v>186</v>
      </c>
      <c r="B174" s="1">
        <v>405.21</v>
      </c>
      <c r="C174" s="4">
        <f t="shared" si="4"/>
        <v>-6.2780489001152667E-3</v>
      </c>
      <c r="D174" s="4">
        <v>5.4300046542896151E-3</v>
      </c>
      <c r="H174" t="s">
        <v>186</v>
      </c>
      <c r="I174" s="1">
        <v>270.13</v>
      </c>
      <c r="J174" s="4">
        <f t="shared" si="5"/>
        <v>1.6213979384545944E-2</v>
      </c>
      <c r="K174" s="4">
        <v>6.1400255490996376E-3</v>
      </c>
    </row>
    <row r="175" spans="1:11">
      <c r="A175" t="s">
        <v>187</v>
      </c>
      <c r="B175" s="1">
        <v>409.43</v>
      </c>
      <c r="C175" s="4">
        <f t="shared" si="4"/>
        <v>1.0414353051504226E-2</v>
      </c>
      <c r="D175" s="4">
        <v>5.4795992371537341E-3</v>
      </c>
      <c r="H175" t="s">
        <v>187</v>
      </c>
      <c r="I175" s="1">
        <v>267.22000000000003</v>
      </c>
      <c r="J175" s="4">
        <f t="shared" si="5"/>
        <v>-1.077259097471576E-2</v>
      </c>
      <c r="K175" s="4">
        <v>6.3322855450777408E-3</v>
      </c>
    </row>
    <row r="176" spans="1:11">
      <c r="A176" t="s">
        <v>188</v>
      </c>
      <c r="B176" s="1">
        <v>421.92</v>
      </c>
      <c r="C176" s="4">
        <f t="shared" si="4"/>
        <v>3.0505825171580025E-2</v>
      </c>
      <c r="D176" s="4">
        <v>5.5634972762044496E-3</v>
      </c>
      <c r="H176" t="s">
        <v>188</v>
      </c>
      <c r="I176" s="1">
        <v>264.14</v>
      </c>
      <c r="J176" s="4">
        <f t="shared" si="5"/>
        <v>-1.1526083376992891E-2</v>
      </c>
      <c r="K176" s="4">
        <v>6.3344240288614436E-3</v>
      </c>
    </row>
    <row r="177" spans="1:11">
      <c r="A177" t="s">
        <v>189</v>
      </c>
      <c r="B177" s="1">
        <v>423.54</v>
      </c>
      <c r="C177" s="4">
        <f t="shared" si="4"/>
        <v>3.8395904436860175E-3</v>
      </c>
      <c r="D177" s="4">
        <v>5.564437431223152E-3</v>
      </c>
      <c r="H177" t="s">
        <v>189</v>
      </c>
      <c r="I177" s="1">
        <v>264.86</v>
      </c>
      <c r="J177" s="4">
        <f t="shared" si="5"/>
        <v>2.7258272128417782E-3</v>
      </c>
      <c r="K177" s="4">
        <v>6.4652440312698116E-3</v>
      </c>
    </row>
    <row r="178" spans="1:11">
      <c r="A178" t="s">
        <v>190</v>
      </c>
      <c r="B178" s="1">
        <v>417.42</v>
      </c>
      <c r="C178" s="4">
        <f t="shared" si="4"/>
        <v>-1.4449638759031035E-2</v>
      </c>
      <c r="D178" s="4">
        <v>5.8590748424774634E-3</v>
      </c>
      <c r="H178" t="s">
        <v>190</v>
      </c>
      <c r="I178" s="1">
        <v>259.33999999999997</v>
      </c>
      <c r="J178" s="4">
        <f t="shared" si="5"/>
        <v>-2.084119912406569E-2</v>
      </c>
      <c r="K178" s="4">
        <v>6.5651683583051214E-3</v>
      </c>
    </row>
    <row r="179" spans="1:11">
      <c r="A179" t="s">
        <v>191</v>
      </c>
      <c r="B179" s="1">
        <v>421.06</v>
      </c>
      <c r="C179" s="4">
        <f t="shared" si="4"/>
        <v>8.7202338172583643E-3</v>
      </c>
      <c r="D179" s="4">
        <v>6.0200828058821444E-3</v>
      </c>
      <c r="H179" t="s">
        <v>191</v>
      </c>
      <c r="I179" s="1">
        <v>265.01</v>
      </c>
      <c r="J179" s="4">
        <f t="shared" si="5"/>
        <v>2.1863191177604751E-2</v>
      </c>
      <c r="K179" s="4">
        <v>7.4541284403669443E-3</v>
      </c>
    </row>
    <row r="180" spans="1:11">
      <c r="A180" t="s">
        <v>192</v>
      </c>
      <c r="B180" s="1">
        <v>419.09</v>
      </c>
      <c r="C180" s="4">
        <f t="shared" si="4"/>
        <v>-4.6786681233079068E-3</v>
      </c>
      <c r="D180" s="4">
        <v>6.0474401127289324E-3</v>
      </c>
      <c r="H180" t="s">
        <v>192</v>
      </c>
      <c r="I180" s="1">
        <v>268.45999999999998</v>
      </c>
      <c r="J180" s="4">
        <f t="shared" si="5"/>
        <v>1.3018376665031466E-2</v>
      </c>
      <c r="K180" s="4">
        <v>7.4719229887691748E-3</v>
      </c>
    </row>
    <row r="181" spans="1:11">
      <c r="A181" t="s">
        <v>193</v>
      </c>
      <c r="B181" s="1">
        <v>418.57</v>
      </c>
      <c r="C181" s="4">
        <f t="shared" si="4"/>
        <v>-1.2407836025674242E-3</v>
      </c>
      <c r="D181" s="4">
        <v>6.1384084984723994E-3</v>
      </c>
      <c r="H181" t="s">
        <v>193</v>
      </c>
      <c r="I181" s="1">
        <v>266.32</v>
      </c>
      <c r="J181" s="4">
        <f t="shared" si="5"/>
        <v>-7.9713923862027355E-3</v>
      </c>
      <c r="K181" s="4">
        <v>7.6794403892943338E-3</v>
      </c>
    </row>
    <row r="182" spans="1:11">
      <c r="A182" t="s">
        <v>194</v>
      </c>
      <c r="B182" s="1">
        <v>416.03</v>
      </c>
      <c r="C182" s="4">
        <f t="shared" si="4"/>
        <v>-6.06828009651915E-3</v>
      </c>
      <c r="D182" s="4">
        <v>6.1392875298166881E-3</v>
      </c>
      <c r="H182" t="s">
        <v>194</v>
      </c>
      <c r="I182" s="1">
        <v>265.29000000000002</v>
      </c>
      <c r="J182" s="4">
        <f t="shared" si="5"/>
        <v>-3.8675277861218564E-3</v>
      </c>
      <c r="K182" s="4">
        <v>7.9087732205259404E-3</v>
      </c>
    </row>
    <row r="183" spans="1:11">
      <c r="A183" t="s">
        <v>195</v>
      </c>
      <c r="B183" s="1">
        <v>412.67</v>
      </c>
      <c r="C183" s="4">
        <f t="shared" si="4"/>
        <v>-8.076340648510821E-3</v>
      </c>
      <c r="D183" s="4">
        <v>6.2502433895399402E-3</v>
      </c>
      <c r="H183" t="s">
        <v>195</v>
      </c>
      <c r="I183" s="1">
        <v>271.85000000000002</v>
      </c>
      <c r="J183" s="4">
        <f t="shared" si="5"/>
        <v>2.4727656526819713E-2</v>
      </c>
      <c r="K183" s="4">
        <v>8.0296731067090524E-3</v>
      </c>
    </row>
    <row r="184" spans="1:11">
      <c r="A184" t="s">
        <v>196</v>
      </c>
      <c r="B184" s="1">
        <v>426.99</v>
      </c>
      <c r="C184" s="4">
        <f t="shared" si="4"/>
        <v>3.4700850558557671E-2</v>
      </c>
      <c r="D184" s="4">
        <v>6.2715737274538974E-3</v>
      </c>
      <c r="H184" t="s">
        <v>196</v>
      </c>
      <c r="I184" s="1">
        <v>274</v>
      </c>
      <c r="J184" s="4">
        <f t="shared" si="5"/>
        <v>7.9087732205259404E-3</v>
      </c>
      <c r="K184" s="4">
        <v>8.0678058287630937E-3</v>
      </c>
    </row>
    <row r="185" spans="1:11">
      <c r="A185" t="s">
        <v>197</v>
      </c>
      <c r="B185" s="1">
        <v>450.24</v>
      </c>
      <c r="C185" s="4">
        <f t="shared" si="4"/>
        <v>5.4450923909225041E-2</v>
      </c>
      <c r="D185" s="4">
        <v>6.3080168776371501E-3</v>
      </c>
      <c r="H185" t="s">
        <v>197</v>
      </c>
      <c r="I185" s="1">
        <v>270.64</v>
      </c>
      <c r="J185" s="4">
        <f t="shared" si="5"/>
        <v>-1.2262773722627787E-2</v>
      </c>
      <c r="K185" s="4">
        <v>8.0766529547506034E-3</v>
      </c>
    </row>
    <row r="186" spans="1:11">
      <c r="A186" t="s">
        <v>198</v>
      </c>
      <c r="B186" s="1">
        <v>460.52</v>
      </c>
      <c r="C186" s="4">
        <f t="shared" si="4"/>
        <v>2.2832267235252248E-2</v>
      </c>
      <c r="D186" s="4">
        <v>6.477946551864182E-3</v>
      </c>
      <c r="H186" t="s">
        <v>198</v>
      </c>
      <c r="I186" s="1">
        <v>261.26</v>
      </c>
      <c r="J186" s="4">
        <f t="shared" si="5"/>
        <v>-3.4658587052911603E-2</v>
      </c>
      <c r="K186" s="4">
        <v>8.153970469404347E-3</v>
      </c>
    </row>
    <row r="187" spans="1:11">
      <c r="A187" t="s">
        <v>199</v>
      </c>
      <c r="B187" s="1">
        <v>441.31</v>
      </c>
      <c r="C187" s="4">
        <f t="shared" si="4"/>
        <v>-4.1713714930947582E-2</v>
      </c>
      <c r="D187" s="4">
        <v>6.5099106101827097E-3</v>
      </c>
      <c r="H187" t="s">
        <v>199</v>
      </c>
      <c r="I187" s="1">
        <v>256.52</v>
      </c>
      <c r="J187" s="4">
        <f t="shared" si="5"/>
        <v>-1.8142846206843793E-2</v>
      </c>
      <c r="K187" s="4">
        <v>9.7776957845217439E-3</v>
      </c>
    </row>
    <row r="188" spans="1:11">
      <c r="A188" t="s">
        <v>200</v>
      </c>
      <c r="B188" s="1">
        <v>427.34</v>
      </c>
      <c r="C188" s="4">
        <f t="shared" si="4"/>
        <v>-3.1655752192336517E-2</v>
      </c>
      <c r="D188" s="4">
        <v>6.5099533209133963E-3</v>
      </c>
      <c r="H188" t="s">
        <v>200</v>
      </c>
      <c r="I188" s="1">
        <v>250.02</v>
      </c>
      <c r="J188" s="4">
        <f t="shared" si="5"/>
        <v>-2.5339154841727631E-2</v>
      </c>
      <c r="K188" s="4">
        <v>9.9731492136554672E-3</v>
      </c>
    </row>
    <row r="189" spans="1:11">
      <c r="A189" t="s">
        <v>201</v>
      </c>
      <c r="B189" s="1">
        <v>428.05</v>
      </c>
      <c r="C189" s="4">
        <f t="shared" si="4"/>
        <v>1.6614405391492404E-3</v>
      </c>
      <c r="D189" s="4">
        <v>6.6976209064387371E-3</v>
      </c>
      <c r="H189" t="s">
        <v>201</v>
      </c>
      <c r="I189" s="1">
        <v>253.79</v>
      </c>
      <c r="J189" s="4">
        <f t="shared" si="5"/>
        <v>1.5078793696504207E-2</v>
      </c>
      <c r="K189" s="4">
        <v>1.0003847633705329E-2</v>
      </c>
    </row>
    <row r="190" spans="1:11">
      <c r="A190" t="s">
        <v>202</v>
      </c>
      <c r="B190" s="1">
        <v>416.67</v>
      </c>
      <c r="C190" s="4">
        <f t="shared" si="4"/>
        <v>-2.6585679243079068E-2</v>
      </c>
      <c r="D190" s="4">
        <v>6.9041979539384386E-3</v>
      </c>
      <c r="H190" t="s">
        <v>202</v>
      </c>
      <c r="I190" s="1">
        <v>246.03</v>
      </c>
      <c r="J190" s="4">
        <f t="shared" si="5"/>
        <v>-3.0576460853461489E-2</v>
      </c>
      <c r="K190" s="4">
        <v>1.0032246506628491E-2</v>
      </c>
    </row>
    <row r="191" spans="1:11">
      <c r="A191" t="s">
        <v>203</v>
      </c>
      <c r="B191" s="1">
        <v>411.74</v>
      </c>
      <c r="C191" s="4">
        <f t="shared" si="4"/>
        <v>-1.1831905344757258E-2</v>
      </c>
      <c r="D191" s="4">
        <v>7.0074015679060754E-3</v>
      </c>
      <c r="H191" t="s">
        <v>203</v>
      </c>
      <c r="I191" s="1">
        <v>245.22</v>
      </c>
      <c r="J191" s="4">
        <f t="shared" si="5"/>
        <v>-3.2922814290940222E-3</v>
      </c>
      <c r="K191" s="4">
        <v>1.004538044675508E-2</v>
      </c>
    </row>
    <row r="192" spans="1:11">
      <c r="A192" t="s">
        <v>204</v>
      </c>
      <c r="B192" s="1">
        <v>403.41</v>
      </c>
      <c r="C192" s="4">
        <f t="shared" si="4"/>
        <v>-2.0231213872832332E-2</v>
      </c>
      <c r="D192" s="4">
        <v>7.2469054740887098E-3</v>
      </c>
      <c r="H192" t="s">
        <v>204</v>
      </c>
      <c r="I192" s="1">
        <v>244.19</v>
      </c>
      <c r="J192" s="4">
        <f t="shared" si="5"/>
        <v>-4.2003099257809364E-3</v>
      </c>
      <c r="K192" s="4">
        <v>1.087451087451081E-2</v>
      </c>
    </row>
    <row r="193" spans="1:11">
      <c r="A193" t="s">
        <v>205</v>
      </c>
      <c r="B193" s="1">
        <v>397.36</v>
      </c>
      <c r="C193" s="4">
        <f t="shared" si="4"/>
        <v>-1.4997149302198783E-2</v>
      </c>
      <c r="D193" s="4">
        <v>8.4223160334409262E-3</v>
      </c>
      <c r="H193" t="s">
        <v>205</v>
      </c>
      <c r="I193" s="1">
        <v>238</v>
      </c>
      <c r="J193" s="4">
        <f t="shared" si="5"/>
        <v>-2.5349113395306926E-2</v>
      </c>
      <c r="K193" s="4">
        <v>1.1043357180582809E-2</v>
      </c>
    </row>
    <row r="194" spans="1:11">
      <c r="A194" t="s">
        <v>206</v>
      </c>
      <c r="B194" s="1">
        <v>390.34</v>
      </c>
      <c r="C194" s="4">
        <f t="shared" si="4"/>
        <v>-1.7666599557076803E-2</v>
      </c>
      <c r="D194" s="4">
        <v>8.7202338172583643E-3</v>
      </c>
      <c r="H194" t="s">
        <v>206</v>
      </c>
      <c r="I194" s="1">
        <v>241.51</v>
      </c>
      <c r="J194" s="4">
        <f t="shared" si="5"/>
        <v>1.4747899159663827E-2</v>
      </c>
      <c r="K194" s="4">
        <v>1.1163693726489579E-2</v>
      </c>
    </row>
    <row r="195" spans="1:11">
      <c r="A195" t="s">
        <v>207</v>
      </c>
      <c r="B195" s="1">
        <v>390.74</v>
      </c>
      <c r="C195" s="4">
        <f t="shared" si="4"/>
        <v>1.0247476558898246E-3</v>
      </c>
      <c r="D195" s="4">
        <v>8.7371555923712735E-3</v>
      </c>
      <c r="H195" t="s">
        <v>207</v>
      </c>
      <c r="I195" s="1">
        <v>238.55</v>
      </c>
      <c r="J195" s="4">
        <f t="shared" si="5"/>
        <v>-1.2256221274481303E-2</v>
      </c>
      <c r="K195" s="4">
        <v>1.1189059586182441E-2</v>
      </c>
    </row>
    <row r="196" spans="1:11">
      <c r="A196" t="s">
        <v>208</v>
      </c>
      <c r="B196" s="1">
        <v>399.76</v>
      </c>
      <c r="C196" s="4">
        <f t="shared" si="4"/>
        <v>2.3084403951476637E-2</v>
      </c>
      <c r="D196" s="4">
        <v>9.02916008290406E-3</v>
      </c>
      <c r="H196" t="s">
        <v>208</v>
      </c>
      <c r="I196" s="1">
        <v>246.02</v>
      </c>
      <c r="J196" s="4">
        <f t="shared" si="5"/>
        <v>3.131418989729616E-2</v>
      </c>
      <c r="K196" s="4">
        <v>1.187182453845774E-2</v>
      </c>
    </row>
    <row r="197" spans="1:11">
      <c r="A197" t="s">
        <v>209</v>
      </c>
      <c r="B197" s="1">
        <v>393.83</v>
      </c>
      <c r="C197" s="4">
        <f t="shared" si="4"/>
        <v>-1.483390034020414E-2</v>
      </c>
      <c r="D197" s="4">
        <v>9.0368174156732709E-3</v>
      </c>
      <c r="H197" t="s">
        <v>209</v>
      </c>
      <c r="I197" s="1">
        <v>246</v>
      </c>
      <c r="J197" s="4">
        <f t="shared" si="5"/>
        <v>-8.1294203723316114E-5</v>
      </c>
      <c r="K197" s="4">
        <v>1.207273824794382E-2</v>
      </c>
    </row>
    <row r="198" spans="1:11">
      <c r="A198" t="s">
        <v>210</v>
      </c>
      <c r="B198" s="1">
        <v>378.91</v>
      </c>
      <c r="C198" s="4">
        <f t="shared" si="4"/>
        <v>-3.7884366350963511E-2</v>
      </c>
      <c r="D198" s="4">
        <v>9.2928425796758966E-3</v>
      </c>
      <c r="H198" t="s">
        <v>210</v>
      </c>
      <c r="I198" s="1">
        <v>237.5</v>
      </c>
      <c r="J198" s="4">
        <f t="shared" si="5"/>
        <v>-3.4552845528455285E-2</v>
      </c>
      <c r="K198" s="4">
        <v>1.230988805138036E-2</v>
      </c>
    </row>
    <row r="199" spans="1:11">
      <c r="A199" t="s">
        <v>211</v>
      </c>
      <c r="B199" s="1">
        <v>379.4</v>
      </c>
      <c r="C199" s="4">
        <f t="shared" si="4"/>
        <v>1.2931830777755989E-3</v>
      </c>
      <c r="D199" s="4">
        <v>9.4771308291473136E-3</v>
      </c>
      <c r="H199" t="s">
        <v>211</v>
      </c>
      <c r="I199" s="1">
        <v>244.39</v>
      </c>
      <c r="J199" s="4">
        <f t="shared" si="5"/>
        <v>2.9010526315789417E-2</v>
      </c>
      <c r="K199" s="4">
        <v>1.2860993453985489E-2</v>
      </c>
    </row>
    <row r="200" spans="1:11">
      <c r="A200" t="s">
        <v>212</v>
      </c>
      <c r="B200" s="1">
        <v>367.34</v>
      </c>
      <c r="C200" s="4">
        <f t="shared" si="4"/>
        <v>-3.1787032156035851E-2</v>
      </c>
      <c r="D200" s="4">
        <v>1.025994650618527E-2</v>
      </c>
      <c r="H200" t="s">
        <v>212</v>
      </c>
      <c r="I200" s="1">
        <v>232.79</v>
      </c>
      <c r="J200" s="4">
        <f t="shared" si="5"/>
        <v>-4.7465117230655898E-2</v>
      </c>
      <c r="K200" s="4">
        <v>1.3018376665031471E-2</v>
      </c>
    </row>
    <row r="201" spans="1:11">
      <c r="A201" t="s">
        <v>213</v>
      </c>
      <c r="B201" s="1">
        <v>373.94</v>
      </c>
      <c r="C201" s="4">
        <f t="shared" si="4"/>
        <v>1.7967006043447552E-2</v>
      </c>
      <c r="D201" s="4">
        <v>1.03655096027252E-2</v>
      </c>
      <c r="H201" t="s">
        <v>213</v>
      </c>
      <c r="I201" s="1">
        <v>234.11</v>
      </c>
      <c r="J201" s="4">
        <f t="shared" si="5"/>
        <v>5.6703466643757104E-3</v>
      </c>
      <c r="K201" s="4">
        <v>1.3099303964376819E-2</v>
      </c>
    </row>
    <row r="202" spans="1:11">
      <c r="A202" t="s">
        <v>214</v>
      </c>
      <c r="B202" s="1">
        <v>365.46</v>
      </c>
      <c r="C202" s="4">
        <f t="shared" si="4"/>
        <v>-2.2677434882601537E-2</v>
      </c>
      <c r="D202" s="4">
        <v>1.0414353051504229E-2</v>
      </c>
      <c r="H202" t="s">
        <v>214</v>
      </c>
      <c r="I202" s="1">
        <v>234.27</v>
      </c>
      <c r="J202" s="4">
        <f t="shared" si="5"/>
        <v>6.8343940882489677E-4</v>
      </c>
      <c r="K202" s="4">
        <v>1.315214223258509E-2</v>
      </c>
    </row>
    <row r="203" spans="1:11">
      <c r="A203" t="s">
        <v>215</v>
      </c>
      <c r="B203" s="1">
        <v>352.83</v>
      </c>
      <c r="C203" s="4">
        <f t="shared" si="4"/>
        <v>-3.4559185683795755E-2</v>
      </c>
      <c r="D203" s="4">
        <v>1.042794595358036E-2</v>
      </c>
      <c r="H203" t="s">
        <v>215</v>
      </c>
      <c r="I203" s="1">
        <v>227.01</v>
      </c>
      <c r="J203" s="4">
        <f t="shared" si="5"/>
        <v>-3.0989883467793654E-2</v>
      </c>
      <c r="K203" s="4">
        <v>1.330085450257123E-2</v>
      </c>
    </row>
    <row r="204" spans="1:11">
      <c r="A204" t="s">
        <v>216</v>
      </c>
      <c r="B204" s="1">
        <v>372.97</v>
      </c>
      <c r="C204" s="4">
        <f t="shared" si="4"/>
        <v>5.7081313947226833E-2</v>
      </c>
      <c r="D204" s="4">
        <v>1.058135958166723E-2</v>
      </c>
      <c r="H204" t="s">
        <v>216</v>
      </c>
      <c r="I204" s="1">
        <v>232.69</v>
      </c>
      <c r="J204" s="4">
        <f t="shared" si="5"/>
        <v>2.5020924188361778E-2</v>
      </c>
      <c r="K204" s="4">
        <v>1.4038256300796271E-2</v>
      </c>
    </row>
    <row r="205" spans="1:11">
      <c r="A205" t="s">
        <v>217</v>
      </c>
      <c r="B205" s="1">
        <v>368.57</v>
      </c>
      <c r="C205" s="4">
        <f t="shared" si="4"/>
        <v>-1.1797195484891637E-2</v>
      </c>
      <c r="D205" s="4">
        <v>1.0922641994345931E-2</v>
      </c>
      <c r="H205" t="s">
        <v>217</v>
      </c>
      <c r="I205" s="1">
        <v>240.14</v>
      </c>
      <c r="J205" s="4">
        <f t="shared" si="5"/>
        <v>3.20168464480639E-2</v>
      </c>
      <c r="K205" s="4">
        <v>1.4097507762020581E-2</v>
      </c>
    </row>
    <row r="206" spans="1:11">
      <c r="A206" t="s">
        <v>218</v>
      </c>
      <c r="B206" s="1">
        <v>373.02</v>
      </c>
      <c r="C206" s="4">
        <f t="shared" ref="C206:C269" si="6">(B206-B205)/B205</f>
        <v>1.2073690208101551E-2</v>
      </c>
      <c r="D206" s="4">
        <v>1.1072907924303481E-2</v>
      </c>
      <c r="H206" t="s">
        <v>218</v>
      </c>
      <c r="I206" s="1">
        <v>238.34</v>
      </c>
      <c r="J206" s="4">
        <f t="shared" ref="J206:J269" si="7">(I206-I205)/I205</f>
        <v>-7.4956275505954151E-3</v>
      </c>
      <c r="K206" s="4">
        <v>1.4111900131168319E-2</v>
      </c>
    </row>
    <row r="207" spans="1:11">
      <c r="A207" t="s">
        <v>219</v>
      </c>
      <c r="B207" s="1">
        <v>384.28</v>
      </c>
      <c r="C207" s="4">
        <f t="shared" si="6"/>
        <v>3.0186049005415237E-2</v>
      </c>
      <c r="D207" s="4">
        <v>1.1123751738086151E-2</v>
      </c>
      <c r="H207" t="s">
        <v>219</v>
      </c>
      <c r="I207" s="1">
        <v>241.7</v>
      </c>
      <c r="J207" s="4">
        <f t="shared" si="7"/>
        <v>1.4097507762020581E-2</v>
      </c>
      <c r="K207" s="4">
        <v>1.4128084693953699E-2</v>
      </c>
    </row>
    <row r="208" spans="1:11">
      <c r="A208" t="s">
        <v>220</v>
      </c>
      <c r="B208" s="1">
        <v>390.49</v>
      </c>
      <c r="C208" s="4">
        <f t="shared" si="6"/>
        <v>1.6160091599875186E-2</v>
      </c>
      <c r="D208" s="4">
        <v>1.178245376752405E-2</v>
      </c>
      <c r="H208" t="s">
        <v>220</v>
      </c>
      <c r="I208" s="1">
        <v>242.67</v>
      </c>
      <c r="J208" s="4">
        <f t="shared" si="7"/>
        <v>4.0132395531650763E-3</v>
      </c>
      <c r="K208" s="4">
        <v>1.4396720217380849E-2</v>
      </c>
    </row>
    <row r="209" spans="1:11">
      <c r="A209" t="s">
        <v>221</v>
      </c>
      <c r="B209" s="1">
        <v>386.74</v>
      </c>
      <c r="C209" s="4">
        <f t="shared" si="6"/>
        <v>-9.6033189070142636E-3</v>
      </c>
      <c r="D209" s="4">
        <v>1.196996933488415E-2</v>
      </c>
      <c r="H209" t="s">
        <v>221</v>
      </c>
      <c r="I209" s="1">
        <v>244.16</v>
      </c>
      <c r="J209" s="4">
        <f t="shared" si="7"/>
        <v>6.1400255490996385E-3</v>
      </c>
      <c r="K209" s="4">
        <v>1.440697407662315E-2</v>
      </c>
    </row>
    <row r="210" spans="1:11">
      <c r="A210" t="s">
        <v>222</v>
      </c>
      <c r="B210" s="1">
        <v>388.84</v>
      </c>
      <c r="C210" s="4">
        <f t="shared" si="6"/>
        <v>5.4300046542896151E-3</v>
      </c>
      <c r="D210" s="4">
        <v>1.207369020810155E-2</v>
      </c>
      <c r="H210" t="s">
        <v>222</v>
      </c>
      <c r="I210" s="1">
        <v>245.98</v>
      </c>
      <c r="J210" s="4">
        <f t="shared" si="7"/>
        <v>7.4541284403669443E-3</v>
      </c>
      <c r="K210" s="4">
        <v>1.4747899159663831E-2</v>
      </c>
    </row>
    <row r="211" spans="1:11">
      <c r="A211" t="s">
        <v>223</v>
      </c>
      <c r="B211" s="1">
        <v>383.34</v>
      </c>
      <c r="C211" s="4">
        <f t="shared" si="6"/>
        <v>-1.4144635325583788E-2</v>
      </c>
      <c r="D211" s="4">
        <v>1.214024280485608E-2</v>
      </c>
      <c r="H211" t="s">
        <v>223</v>
      </c>
      <c r="I211" s="1">
        <v>243.62</v>
      </c>
      <c r="J211" s="4">
        <f t="shared" si="7"/>
        <v>-9.5942759573948502E-3</v>
      </c>
      <c r="K211" s="4">
        <v>1.498143892522532E-2</v>
      </c>
    </row>
    <row r="212" spans="1:11">
      <c r="A212" t="s">
        <v>224</v>
      </c>
      <c r="B212" s="1">
        <v>384.36</v>
      </c>
      <c r="C212" s="4">
        <f t="shared" si="6"/>
        <v>2.6608232900298396E-3</v>
      </c>
      <c r="D212" s="4">
        <v>1.340885684860966E-2</v>
      </c>
      <c r="H212" t="s">
        <v>224</v>
      </c>
      <c r="I212" s="1">
        <v>247.04</v>
      </c>
      <c r="J212" s="4">
        <f t="shared" si="7"/>
        <v>1.4038256300796271E-2</v>
      </c>
      <c r="K212" s="4">
        <v>1.507879369650421E-2</v>
      </c>
    </row>
    <row r="213" spans="1:11">
      <c r="A213" t="s">
        <v>225</v>
      </c>
      <c r="B213" s="1">
        <v>385.1</v>
      </c>
      <c r="C213" s="4">
        <f t="shared" si="6"/>
        <v>1.9252783848475623E-3</v>
      </c>
      <c r="D213" s="4">
        <v>1.3498933634424779E-2</v>
      </c>
      <c r="H213" t="s">
        <v>225</v>
      </c>
      <c r="I213" s="1">
        <v>245.34</v>
      </c>
      <c r="J213" s="4">
        <f t="shared" si="7"/>
        <v>-6.881476683937778E-3</v>
      </c>
      <c r="K213" s="4">
        <v>1.529460927705807E-2</v>
      </c>
    </row>
    <row r="214" spans="1:11">
      <c r="A214" t="s">
        <v>226</v>
      </c>
      <c r="B214" s="1">
        <v>390.99</v>
      </c>
      <c r="C214" s="4">
        <f t="shared" si="6"/>
        <v>1.5294728641911155E-2</v>
      </c>
      <c r="D214" s="4">
        <v>1.3524185587364309E-2</v>
      </c>
      <c r="H214" t="s">
        <v>226</v>
      </c>
      <c r="I214" s="1">
        <v>247.31</v>
      </c>
      <c r="J214" s="4">
        <f t="shared" si="7"/>
        <v>8.0296731067090524E-3</v>
      </c>
      <c r="K214" s="4">
        <v>1.5373754804298329E-2</v>
      </c>
    </row>
    <row r="215" spans="1:11">
      <c r="A215" t="s">
        <v>227</v>
      </c>
      <c r="B215" s="1">
        <v>384.93</v>
      </c>
      <c r="C215" s="4">
        <f t="shared" si="6"/>
        <v>-1.549911762449168E-2</v>
      </c>
      <c r="D215" s="4">
        <v>1.3689920324266301E-2</v>
      </c>
      <c r="H215" t="s">
        <v>227</v>
      </c>
      <c r="I215" s="1">
        <v>247.49</v>
      </c>
      <c r="J215" s="4">
        <f t="shared" si="7"/>
        <v>7.2783146658043278E-4</v>
      </c>
      <c r="K215" s="4">
        <v>1.551086662458291E-2</v>
      </c>
    </row>
    <row r="216" spans="1:11">
      <c r="A216" t="s">
        <v>228</v>
      </c>
      <c r="B216" s="1">
        <v>395.63</v>
      </c>
      <c r="C216" s="4">
        <f t="shared" si="6"/>
        <v>2.7797261839815002E-2</v>
      </c>
      <c r="D216" s="4">
        <v>1.3826049591790381E-2</v>
      </c>
      <c r="H216" t="s">
        <v>228</v>
      </c>
      <c r="I216" s="1">
        <v>254.96</v>
      </c>
      <c r="J216" s="4">
        <f t="shared" si="7"/>
        <v>3.0183037698492864E-2</v>
      </c>
      <c r="K216" s="4">
        <v>1.602767087250934E-2</v>
      </c>
    </row>
    <row r="217" spans="1:11">
      <c r="A217" t="s">
        <v>229</v>
      </c>
      <c r="B217" s="1">
        <v>401.1</v>
      </c>
      <c r="C217" s="4">
        <f t="shared" si="6"/>
        <v>1.3826049591790379E-2</v>
      </c>
      <c r="D217" s="4">
        <v>1.456693855096044E-2</v>
      </c>
      <c r="H217" t="s">
        <v>229</v>
      </c>
      <c r="I217" s="1">
        <v>249.89</v>
      </c>
      <c r="J217" s="4">
        <f t="shared" si="7"/>
        <v>-1.988547223093827E-2</v>
      </c>
      <c r="K217" s="4">
        <v>1.6147202403304532E-2</v>
      </c>
    </row>
    <row r="218" spans="1:11">
      <c r="A218" t="s">
        <v>230</v>
      </c>
      <c r="B218" s="1">
        <v>393.82</v>
      </c>
      <c r="C218" s="4">
        <f t="shared" si="6"/>
        <v>-1.8150087260034975E-2</v>
      </c>
      <c r="D218" s="4">
        <v>1.479350206243317E-2</v>
      </c>
      <c r="H218" t="s">
        <v>230</v>
      </c>
      <c r="I218" s="1">
        <v>247.23</v>
      </c>
      <c r="J218" s="4">
        <f t="shared" si="7"/>
        <v>-1.0644683660810743E-2</v>
      </c>
      <c r="K218" s="4">
        <v>1.621397938454594E-2</v>
      </c>
    </row>
    <row r="219" spans="1:11">
      <c r="A219" t="s">
        <v>231</v>
      </c>
      <c r="B219" s="1">
        <v>402.29</v>
      </c>
      <c r="C219" s="4">
        <f t="shared" si="6"/>
        <v>2.1507287593316812E-2</v>
      </c>
      <c r="D219" s="4">
        <v>1.510666335631475E-2</v>
      </c>
      <c r="H219" t="s">
        <v>231</v>
      </c>
      <c r="I219" s="1">
        <v>249.99</v>
      </c>
      <c r="J219" s="4">
        <f t="shared" si="7"/>
        <v>1.1163693726489583E-2</v>
      </c>
      <c r="K219" s="4">
        <v>1.6241299303944221E-2</v>
      </c>
    </row>
    <row r="220" spans="1:11">
      <c r="A220" t="s">
        <v>232</v>
      </c>
      <c r="B220" s="1">
        <v>397.75</v>
      </c>
      <c r="C220" s="4">
        <f t="shared" si="6"/>
        <v>-1.1285391135747894E-2</v>
      </c>
      <c r="D220" s="4">
        <v>1.519477870691411E-2</v>
      </c>
      <c r="H220" t="s">
        <v>232</v>
      </c>
      <c r="I220" s="1">
        <v>247.55</v>
      </c>
      <c r="J220" s="4">
        <f t="shared" si="7"/>
        <v>-9.7603904156166148E-3</v>
      </c>
      <c r="K220" s="4">
        <v>1.6325027617527962E-2</v>
      </c>
    </row>
    <row r="221" spans="1:11">
      <c r="A221" t="s">
        <v>233</v>
      </c>
      <c r="B221" s="1">
        <v>390.34</v>
      </c>
      <c r="C221" s="4">
        <f t="shared" si="6"/>
        <v>-1.862979258328102E-2</v>
      </c>
      <c r="D221" s="4">
        <v>1.529472864191115E-2</v>
      </c>
      <c r="H221" t="s">
        <v>233</v>
      </c>
      <c r="I221" s="1">
        <v>244.85</v>
      </c>
      <c r="J221" s="4">
        <f t="shared" si="7"/>
        <v>-1.0906887497475325E-2</v>
      </c>
      <c r="K221" s="4">
        <v>1.6340795315008871E-2</v>
      </c>
    </row>
    <row r="222" spans="1:11">
      <c r="A222" t="s">
        <v>234</v>
      </c>
      <c r="B222" s="1">
        <v>381.58</v>
      </c>
      <c r="C222" s="4">
        <f t="shared" si="6"/>
        <v>-2.2441973663985221E-2</v>
      </c>
      <c r="D222" s="4">
        <v>1.582941163225321E-2</v>
      </c>
      <c r="H222" t="s">
        <v>234</v>
      </c>
      <c r="I222" s="1">
        <v>233.66</v>
      </c>
      <c r="J222" s="4">
        <f t="shared" si="7"/>
        <v>-4.5701449867265667E-2</v>
      </c>
      <c r="K222" s="4">
        <v>1.634889932762279E-2</v>
      </c>
    </row>
    <row r="223" spans="1:11">
      <c r="A223" t="s">
        <v>235</v>
      </c>
      <c r="B223" s="1">
        <v>381.7</v>
      </c>
      <c r="C223" s="4">
        <f t="shared" si="6"/>
        <v>3.1448189108445034E-4</v>
      </c>
      <c r="D223" s="4">
        <v>1.5857264368747299E-2</v>
      </c>
      <c r="H223" t="s">
        <v>235</v>
      </c>
      <c r="I223" s="1">
        <v>232.11</v>
      </c>
      <c r="J223" s="4">
        <f t="shared" si="7"/>
        <v>-6.6335701446545532E-3</v>
      </c>
      <c r="K223" s="4">
        <v>1.6935766935767E-2</v>
      </c>
    </row>
    <row r="224" spans="1:11">
      <c r="A224" t="s">
        <v>236</v>
      </c>
      <c r="B224" s="1">
        <v>389.1</v>
      </c>
      <c r="C224" s="4">
        <f t="shared" si="6"/>
        <v>1.9386953104532444E-2</v>
      </c>
      <c r="D224" s="4">
        <v>1.6160091599875189E-2</v>
      </c>
      <c r="H224" t="s">
        <v>236</v>
      </c>
      <c r="I224" s="1">
        <v>231.39</v>
      </c>
      <c r="J224" s="4">
        <f t="shared" si="7"/>
        <v>-3.1019775106631651E-3</v>
      </c>
      <c r="K224" s="4">
        <v>1.7100337385034841E-2</v>
      </c>
    </row>
    <row r="225" spans="1:11">
      <c r="A225" t="s">
        <v>237</v>
      </c>
      <c r="B225" s="1">
        <v>393.35</v>
      </c>
      <c r="C225" s="4">
        <f t="shared" si="6"/>
        <v>1.0922641994345925E-2</v>
      </c>
      <c r="D225" s="4">
        <v>1.6267902972100248E-2</v>
      </c>
      <c r="H225" t="s">
        <v>237</v>
      </c>
      <c r="I225" s="1">
        <v>230.86</v>
      </c>
      <c r="J225" s="4">
        <f t="shared" si="7"/>
        <v>-2.2905052076579485E-3</v>
      </c>
      <c r="K225" s="4">
        <v>1.771687903648107E-2</v>
      </c>
    </row>
    <row r="226" spans="1:11">
      <c r="A226" t="s">
        <v>238</v>
      </c>
      <c r="B226" s="1">
        <v>390.54</v>
      </c>
      <c r="C226" s="4">
        <f t="shared" si="6"/>
        <v>-7.1437650946993827E-3</v>
      </c>
      <c r="D226" s="4">
        <v>1.6332336063563751E-2</v>
      </c>
      <c r="H226" t="s">
        <v>238</v>
      </c>
      <c r="I226" s="1">
        <v>226.65</v>
      </c>
      <c r="J226" s="4">
        <f t="shared" si="7"/>
        <v>-1.8236160443558899E-2</v>
      </c>
      <c r="K226" s="4">
        <v>1.8095948297290509E-2</v>
      </c>
    </row>
    <row r="227" spans="1:11">
      <c r="A227" t="s">
        <v>239</v>
      </c>
      <c r="B227" s="1">
        <v>451.1</v>
      </c>
      <c r="C227" s="4">
        <f t="shared" si="6"/>
        <v>0.15506734265376146</v>
      </c>
      <c r="D227" s="4">
        <v>1.6450864817856809E-2</v>
      </c>
      <c r="H227" t="s">
        <v>239</v>
      </c>
      <c r="I227" s="1">
        <v>235.5</v>
      </c>
      <c r="J227" s="4">
        <f t="shared" si="7"/>
        <v>3.9046988749172708E-2</v>
      </c>
      <c r="K227" s="4">
        <v>1.868274801939214E-2</v>
      </c>
    </row>
    <row r="228" spans="1:11">
      <c r="A228" t="s">
        <v>240</v>
      </c>
      <c r="B228" s="1">
        <v>464.72</v>
      </c>
      <c r="C228" s="4">
        <f t="shared" si="6"/>
        <v>3.0192861893150087E-2</v>
      </c>
      <c r="D228" s="4">
        <v>1.6508443249600969E-2</v>
      </c>
      <c r="H228" t="s">
        <v>240</v>
      </c>
      <c r="I228" s="1">
        <v>271.58</v>
      </c>
      <c r="J228" s="4">
        <f t="shared" si="7"/>
        <v>0.15320594479830141</v>
      </c>
      <c r="K228" s="4">
        <v>1.9413235936321362E-2</v>
      </c>
    </row>
    <row r="229" spans="1:11">
      <c r="A229" t="s">
        <v>241</v>
      </c>
      <c r="B229" s="1">
        <v>487.65</v>
      </c>
      <c r="C229" s="4">
        <f t="shared" si="6"/>
        <v>4.9341538991220409E-2</v>
      </c>
      <c r="D229" s="4">
        <v>1.6770284718647228E-2</v>
      </c>
      <c r="H229" t="s">
        <v>241</v>
      </c>
      <c r="I229" s="1">
        <v>284.02</v>
      </c>
      <c r="J229" s="4">
        <f t="shared" si="7"/>
        <v>4.5806024007658881E-2</v>
      </c>
      <c r="K229" s="4">
        <v>1.958105646630233E-2</v>
      </c>
    </row>
    <row r="230" spans="1:11">
      <c r="A230" t="s">
        <v>242</v>
      </c>
      <c r="B230" s="1">
        <v>492.81</v>
      </c>
      <c r="C230" s="4">
        <f t="shared" si="6"/>
        <v>1.058135958166723E-2</v>
      </c>
      <c r="D230" s="4">
        <v>1.7507101557306039E-2</v>
      </c>
      <c r="H230" t="s">
        <v>242</v>
      </c>
      <c r="I230" s="1">
        <v>277.42</v>
      </c>
      <c r="J230" s="4">
        <f t="shared" si="7"/>
        <v>-2.323780015491855E-2</v>
      </c>
      <c r="K230" s="4">
        <v>1.9598401309770419E-2</v>
      </c>
    </row>
    <row r="231" spans="1:11">
      <c r="A231" t="s">
        <v>243</v>
      </c>
      <c r="B231" s="1">
        <v>487.46</v>
      </c>
      <c r="C231" s="4">
        <f t="shared" si="6"/>
        <v>-1.0856110874373538E-2</v>
      </c>
      <c r="D231" s="4">
        <v>1.7841044885636991E-2</v>
      </c>
      <c r="H231" t="s">
        <v>243</v>
      </c>
      <c r="I231" s="1">
        <v>272.64999999999998</v>
      </c>
      <c r="J231" s="4">
        <f t="shared" si="7"/>
        <v>-1.7194146060125579E-2</v>
      </c>
      <c r="K231" s="4">
        <v>2.024395463299803E-2</v>
      </c>
    </row>
    <row r="232" spans="1:11">
      <c r="A232" t="s">
        <v>244</v>
      </c>
      <c r="B232" s="1">
        <v>499.86</v>
      </c>
      <c r="C232" s="4">
        <f t="shared" si="6"/>
        <v>2.5437984655151263E-2</v>
      </c>
      <c r="D232" s="4">
        <v>1.7967006043447548E-2</v>
      </c>
      <c r="H232" t="s">
        <v>244</v>
      </c>
      <c r="I232" s="1">
        <v>272.26</v>
      </c>
      <c r="J232" s="4">
        <f t="shared" si="7"/>
        <v>-1.430405281496374E-3</v>
      </c>
      <c r="K232" s="4">
        <v>2.0568404881795649E-2</v>
      </c>
    </row>
    <row r="233" spans="1:11">
      <c r="A233" t="s">
        <v>245</v>
      </c>
      <c r="B233" s="1">
        <v>499.99</v>
      </c>
      <c r="C233" s="4">
        <f t="shared" si="6"/>
        <v>2.6007282038969999E-4</v>
      </c>
      <c r="D233" s="4">
        <v>1.847751700817199E-2</v>
      </c>
      <c r="H233" t="s">
        <v>245</v>
      </c>
      <c r="I233" s="1">
        <v>274.48</v>
      </c>
      <c r="J233" s="4">
        <f t="shared" si="7"/>
        <v>8.153970469404347E-3</v>
      </c>
      <c r="K233" s="4">
        <v>2.1263620100829359E-2</v>
      </c>
    </row>
    <row r="234" spans="1:11">
      <c r="A234" t="s">
        <v>246</v>
      </c>
      <c r="B234" s="1">
        <v>506.06</v>
      </c>
      <c r="C234" s="4">
        <f t="shared" si="6"/>
        <v>1.2140242804856084E-2</v>
      </c>
      <c r="D234" s="4">
        <v>1.897528386719834E-2</v>
      </c>
      <c r="H234" t="s">
        <v>246</v>
      </c>
      <c r="I234" s="1">
        <v>278.08999999999997</v>
      </c>
      <c r="J234" s="4">
        <f t="shared" si="7"/>
        <v>1.3152142232585094E-2</v>
      </c>
      <c r="K234" s="4">
        <v>2.156919513607411E-2</v>
      </c>
    </row>
    <row r="235" spans="1:11">
      <c r="A235" t="s">
        <v>247</v>
      </c>
      <c r="B235" s="1">
        <v>503.81</v>
      </c>
      <c r="C235" s="4">
        <f t="shared" si="6"/>
        <v>-4.4461131091174961E-3</v>
      </c>
      <c r="D235" s="4">
        <v>1.938695310453244E-2</v>
      </c>
      <c r="H235" t="s">
        <v>247</v>
      </c>
      <c r="I235" s="1">
        <v>272.27</v>
      </c>
      <c r="J235" s="4">
        <f t="shared" si="7"/>
        <v>-2.0928476392534767E-2</v>
      </c>
      <c r="K235" s="4">
        <v>2.1807850826297531E-2</v>
      </c>
    </row>
    <row r="236" spans="1:11">
      <c r="A236" t="s">
        <v>248</v>
      </c>
      <c r="B236" s="1">
        <v>492.43</v>
      </c>
      <c r="C236" s="4">
        <f t="shared" si="6"/>
        <v>-2.2587880351719887E-2</v>
      </c>
      <c r="D236" s="4">
        <v>1.9732461715392589E-2</v>
      </c>
      <c r="H236" t="s">
        <v>248</v>
      </c>
      <c r="I236" s="1">
        <v>267.27999999999997</v>
      </c>
      <c r="J236" s="4">
        <f t="shared" si="7"/>
        <v>-1.832739559995596E-2</v>
      </c>
      <c r="K236" s="4">
        <v>2.1863191177604751E-2</v>
      </c>
    </row>
    <row r="237" spans="1:11">
      <c r="A237" t="s">
        <v>249</v>
      </c>
      <c r="B237" s="1">
        <v>496.88</v>
      </c>
      <c r="C237" s="4">
        <f t="shared" si="6"/>
        <v>9.0368174156732709E-3</v>
      </c>
      <c r="D237" s="4">
        <v>1.9848735701384838E-2</v>
      </c>
      <c r="H237" t="s">
        <v>249</v>
      </c>
      <c r="I237" s="1">
        <v>265.13</v>
      </c>
      <c r="J237" s="4">
        <f t="shared" si="7"/>
        <v>-8.0439988027535825E-3</v>
      </c>
      <c r="K237" s="4">
        <v>2.3226371914106161E-2</v>
      </c>
    </row>
    <row r="238" spans="1:11">
      <c r="A238" t="s">
        <v>250</v>
      </c>
      <c r="B238" s="1">
        <v>495.4</v>
      </c>
      <c r="C238" s="4">
        <f t="shared" si="6"/>
        <v>-2.978586379005028E-3</v>
      </c>
      <c r="D238" s="4">
        <v>2.065258393059221E-2</v>
      </c>
      <c r="H238" t="s">
        <v>250</v>
      </c>
      <c r="I238" s="1">
        <v>262.64999999999998</v>
      </c>
      <c r="J238" s="4">
        <f t="shared" si="7"/>
        <v>-9.3539018594652364E-3</v>
      </c>
      <c r="K238" s="4">
        <v>2.4629022933127721E-2</v>
      </c>
    </row>
    <row r="239" spans="1:11">
      <c r="A239" t="s">
        <v>251</v>
      </c>
      <c r="B239" s="1">
        <v>480.35</v>
      </c>
      <c r="C239" s="4">
        <f t="shared" si="6"/>
        <v>-3.0379491320145245E-2</v>
      </c>
      <c r="D239" s="4">
        <v>2.133493686109442E-2</v>
      </c>
      <c r="H239" t="s">
        <v>251</v>
      </c>
      <c r="I239" s="1">
        <v>261.31</v>
      </c>
      <c r="J239" s="4">
        <f t="shared" si="7"/>
        <v>-5.1018465638681711E-3</v>
      </c>
      <c r="K239" s="4">
        <v>2.472765652681971E-2</v>
      </c>
    </row>
    <row r="240" spans="1:11">
      <c r="A240" t="s">
        <v>252</v>
      </c>
      <c r="B240" s="1">
        <v>481.63</v>
      </c>
      <c r="C240" s="4">
        <f t="shared" si="6"/>
        <v>2.6647236390131626E-3</v>
      </c>
      <c r="D240" s="4">
        <v>2.1507287593316809E-2</v>
      </c>
      <c r="H240" t="s">
        <v>252</v>
      </c>
      <c r="I240" s="1">
        <v>259.45</v>
      </c>
      <c r="J240" s="4">
        <f t="shared" si="7"/>
        <v>-7.1179824729249302E-3</v>
      </c>
      <c r="K240" s="4">
        <v>2.481131649116455E-2</v>
      </c>
    </row>
    <row r="241" spans="1:11">
      <c r="A241" t="s">
        <v>253</v>
      </c>
      <c r="B241" s="1">
        <v>484.31</v>
      </c>
      <c r="C241" s="4">
        <f t="shared" si="6"/>
        <v>5.564437431223152E-3</v>
      </c>
      <c r="D241" s="4">
        <v>2.1687445636416409E-2</v>
      </c>
      <c r="H241" t="s">
        <v>253</v>
      </c>
      <c r="I241" s="1">
        <v>265.83999999999997</v>
      </c>
      <c r="J241" s="4">
        <f t="shared" si="7"/>
        <v>2.4629022933127718E-2</v>
      </c>
      <c r="K241" s="4">
        <v>2.5020924188361781E-2</v>
      </c>
    </row>
    <row r="242" spans="1:11">
      <c r="A242" t="s">
        <v>254</v>
      </c>
      <c r="B242" s="1">
        <v>481.15</v>
      </c>
      <c r="C242" s="4">
        <f t="shared" si="6"/>
        <v>-6.5247465466334066E-3</v>
      </c>
      <c r="D242" s="4">
        <v>2.1901845708939379E-2</v>
      </c>
      <c r="H242" t="s">
        <v>254</v>
      </c>
      <c r="I242" s="1">
        <v>260.11</v>
      </c>
      <c r="J242" s="4">
        <f t="shared" si="7"/>
        <v>-2.1554318386999557E-2</v>
      </c>
      <c r="K242" s="4">
        <v>2.532964792242514E-2</v>
      </c>
    </row>
    <row r="243" spans="1:11">
      <c r="A243" t="s">
        <v>255</v>
      </c>
      <c r="B243" s="1">
        <v>483.24</v>
      </c>
      <c r="C243" s="4">
        <f t="shared" si="6"/>
        <v>4.3437597422841777E-3</v>
      </c>
      <c r="D243" s="4">
        <v>2.1983366567773849E-2</v>
      </c>
      <c r="H243" t="s">
        <v>255</v>
      </c>
      <c r="I243" s="1">
        <v>258.63</v>
      </c>
      <c r="J243" s="4">
        <f t="shared" si="7"/>
        <v>-5.6899004267426017E-3</v>
      </c>
      <c r="K243" s="4">
        <v>2.5627257639363469E-2</v>
      </c>
    </row>
    <row r="244" spans="1:11">
      <c r="A244" t="s">
        <v>256</v>
      </c>
      <c r="B244" s="1">
        <v>487.31</v>
      </c>
      <c r="C244" s="4">
        <f t="shared" si="6"/>
        <v>8.4223160334409262E-3</v>
      </c>
      <c r="D244" s="4">
        <v>2.273850716757294E-2</v>
      </c>
      <c r="H244" t="s">
        <v>256</v>
      </c>
      <c r="I244" s="1">
        <v>262.07</v>
      </c>
      <c r="J244" s="4">
        <f t="shared" si="7"/>
        <v>1.3300854502571232E-2</v>
      </c>
      <c r="K244" s="4">
        <v>2.56374722838138E-2</v>
      </c>
    </row>
    <row r="245" spans="1:11">
      <c r="A245" t="s">
        <v>257</v>
      </c>
      <c r="B245" s="1">
        <v>491.71</v>
      </c>
      <c r="C245" s="4">
        <f t="shared" si="6"/>
        <v>9.02916008290406E-3</v>
      </c>
      <c r="D245" s="4">
        <v>2.2832267235252252E-2</v>
      </c>
      <c r="H245" t="s">
        <v>257</v>
      </c>
      <c r="I245" s="1">
        <v>261.06</v>
      </c>
      <c r="J245" s="4">
        <f t="shared" si="7"/>
        <v>-3.8539321555309306E-3</v>
      </c>
      <c r="K245" s="4">
        <v>2.625618656153016E-2</v>
      </c>
    </row>
    <row r="246" spans="1:11">
      <c r="A246" t="s">
        <v>258</v>
      </c>
      <c r="B246" s="1">
        <v>496.37</v>
      </c>
      <c r="C246" s="4">
        <f t="shared" si="6"/>
        <v>9.4771308291473136E-3</v>
      </c>
      <c r="D246" s="4">
        <v>2.308440395147664E-2</v>
      </c>
      <c r="H246" t="s">
        <v>258</v>
      </c>
      <c r="I246" s="1">
        <v>260.27999999999997</v>
      </c>
      <c r="J246" s="4">
        <f t="shared" si="7"/>
        <v>-2.9878188922088009E-3</v>
      </c>
      <c r="K246" s="4">
        <v>2.8962472406181029E-2</v>
      </c>
    </row>
    <row r="247" spans="1:11">
      <c r="A247" t="s">
        <v>259</v>
      </c>
      <c r="B247" s="1">
        <v>505.06</v>
      </c>
      <c r="C247" s="4">
        <f t="shared" si="6"/>
        <v>1.7507101557306039E-2</v>
      </c>
      <c r="D247" s="4">
        <v>2.543798465515126E-2</v>
      </c>
      <c r="H247" t="s">
        <v>259</v>
      </c>
      <c r="I247" s="1">
        <v>256.26</v>
      </c>
      <c r="J247" s="4">
        <f t="shared" si="7"/>
        <v>-1.5444905486399194E-2</v>
      </c>
      <c r="K247" s="4">
        <v>2.9010526315789421E-2</v>
      </c>
    </row>
    <row r="248" spans="1:11">
      <c r="A248" t="s">
        <v>260</v>
      </c>
      <c r="B248" s="1">
        <v>513.53</v>
      </c>
      <c r="C248" s="4">
        <f t="shared" si="6"/>
        <v>1.6770284718647232E-2</v>
      </c>
      <c r="D248" s="4">
        <v>2.6770258846262249E-2</v>
      </c>
      <c r="H248" t="s">
        <v>260</v>
      </c>
      <c r="I248" s="1">
        <v>266.43</v>
      </c>
      <c r="J248" s="4">
        <f t="shared" si="7"/>
        <v>3.9686256146101682E-2</v>
      </c>
      <c r="K248" s="4">
        <v>3.018303769849286E-2</v>
      </c>
    </row>
    <row r="249" spans="1:11">
      <c r="A249" t="s">
        <v>261</v>
      </c>
      <c r="B249" s="1">
        <v>507.29</v>
      </c>
      <c r="C249" s="4">
        <f t="shared" si="6"/>
        <v>-1.2151188830253252E-2</v>
      </c>
      <c r="D249" s="4">
        <v>2.7797261839814999E-2</v>
      </c>
      <c r="H249" t="s">
        <v>261</v>
      </c>
      <c r="I249" s="1">
        <v>259.77</v>
      </c>
      <c r="J249" s="4">
        <f t="shared" si="7"/>
        <v>-2.4997185001689091E-2</v>
      </c>
      <c r="K249" s="4">
        <v>3.131418989729616E-2</v>
      </c>
    </row>
    <row r="250" spans="1:11">
      <c r="A250" t="s">
        <v>262</v>
      </c>
      <c r="B250" s="1">
        <v>501.02</v>
      </c>
      <c r="C250" s="4">
        <f t="shared" si="6"/>
        <v>-1.2359794200555971E-2</v>
      </c>
      <c r="D250" s="4">
        <v>2.9820051413881811E-2</v>
      </c>
      <c r="H250" t="s">
        <v>262</v>
      </c>
      <c r="I250" s="1">
        <v>254.92</v>
      </c>
      <c r="J250" s="4">
        <f t="shared" si="7"/>
        <v>-1.8670362243523097E-2</v>
      </c>
      <c r="K250" s="4">
        <v>3.20168464480639E-2</v>
      </c>
    </row>
    <row r="251" spans="1:11">
      <c r="A251" t="s">
        <v>263</v>
      </c>
      <c r="B251" s="1">
        <v>496.82</v>
      </c>
      <c r="C251" s="4">
        <f t="shared" si="6"/>
        <v>-8.3828988862719826E-3</v>
      </c>
      <c r="D251" s="4">
        <v>3.0186049005415241E-2</v>
      </c>
      <c r="H251" t="s">
        <v>263</v>
      </c>
      <c r="I251" s="1">
        <v>254.98</v>
      </c>
      <c r="J251" s="4">
        <f t="shared" si="7"/>
        <v>2.3536795857524823E-4</v>
      </c>
      <c r="K251" s="4">
        <v>3.3768128378958227E-2</v>
      </c>
    </row>
    <row r="252" spans="1:11">
      <c r="A252" t="s">
        <v>264</v>
      </c>
      <c r="B252" s="1">
        <v>510.12</v>
      </c>
      <c r="C252" s="4">
        <f t="shared" si="6"/>
        <v>2.6770258846262249E-2</v>
      </c>
      <c r="D252" s="4">
        <v>3.019286189315009E-2</v>
      </c>
      <c r="H252" t="s">
        <v>264</v>
      </c>
      <c r="I252" s="1">
        <v>258.89999999999998</v>
      </c>
      <c r="J252" s="4">
        <f t="shared" si="7"/>
        <v>1.5373754804298327E-2</v>
      </c>
      <c r="K252" s="4">
        <v>3.4930217970832657E-2</v>
      </c>
    </row>
    <row r="253" spans="1:11">
      <c r="A253" t="s">
        <v>265</v>
      </c>
      <c r="B253" s="1">
        <v>499.7</v>
      </c>
      <c r="C253" s="4">
        <f t="shared" si="6"/>
        <v>-2.0426566298125962E-2</v>
      </c>
      <c r="D253" s="4">
        <v>3.0505825171580021E-2</v>
      </c>
      <c r="H253" t="s">
        <v>265</v>
      </c>
      <c r="I253" s="1">
        <v>258.51</v>
      </c>
      <c r="J253" s="4">
        <f t="shared" si="7"/>
        <v>-1.5063731170335511E-3</v>
      </c>
      <c r="K253" s="4">
        <v>3.4990878046498523E-2</v>
      </c>
    </row>
    <row r="254" spans="1:11">
      <c r="A254" t="s">
        <v>266</v>
      </c>
      <c r="B254" s="1">
        <v>493.95</v>
      </c>
      <c r="C254" s="4">
        <f t="shared" si="6"/>
        <v>-1.1506904142485492E-2</v>
      </c>
      <c r="D254" s="4">
        <v>3.1061474796829129E-2</v>
      </c>
      <c r="H254" t="s">
        <v>266</v>
      </c>
      <c r="I254" s="1">
        <v>256.97000000000003</v>
      </c>
      <c r="J254" s="4">
        <f t="shared" si="7"/>
        <v>-5.9572163552665805E-3</v>
      </c>
      <c r="K254" s="4">
        <v>3.6426971883553233E-2</v>
      </c>
    </row>
    <row r="255" spans="1:11">
      <c r="A255" t="s">
        <v>267</v>
      </c>
      <c r="B255" s="1">
        <v>491.65</v>
      </c>
      <c r="C255" s="4">
        <f t="shared" si="6"/>
        <v>-4.6563417349934433E-3</v>
      </c>
      <c r="D255" s="4">
        <v>3.1229106307109528E-2</v>
      </c>
      <c r="H255" t="s">
        <v>267</v>
      </c>
      <c r="I255" s="1">
        <v>252.4</v>
      </c>
      <c r="J255" s="4">
        <f t="shared" si="7"/>
        <v>-1.7784177141300622E-2</v>
      </c>
      <c r="K255" s="4">
        <v>3.8059110425611838E-2</v>
      </c>
    </row>
    <row r="256" spans="1:11">
      <c r="A256" t="s">
        <v>268</v>
      </c>
      <c r="B256" s="1">
        <v>492.44</v>
      </c>
      <c r="C256" s="4">
        <f t="shared" si="6"/>
        <v>1.6068341299705492E-3</v>
      </c>
      <c r="D256" s="4">
        <v>3.2827946978764913E-2</v>
      </c>
      <c r="H256" t="s">
        <v>268</v>
      </c>
      <c r="I256" s="1">
        <v>251.89</v>
      </c>
      <c r="J256" s="4">
        <f t="shared" si="7"/>
        <v>-2.0206022187005518E-3</v>
      </c>
      <c r="K256" s="4">
        <v>3.8758204378862661E-2</v>
      </c>
    </row>
    <row r="257" spans="1:11">
      <c r="A257" t="s">
        <v>269</v>
      </c>
      <c r="B257" s="1">
        <v>495.63</v>
      </c>
      <c r="C257" s="4">
        <f t="shared" si="6"/>
        <v>6.477946551864182E-3</v>
      </c>
      <c r="D257" s="4">
        <v>3.4700850558557671E-2</v>
      </c>
      <c r="H257" t="s">
        <v>269</v>
      </c>
      <c r="I257" s="1">
        <v>256.77999999999997</v>
      </c>
      <c r="J257" s="4">
        <f t="shared" si="7"/>
        <v>1.9413235936321358E-2</v>
      </c>
      <c r="K257" s="4">
        <v>3.9046988749172708E-2</v>
      </c>
    </row>
    <row r="258" spans="1:11">
      <c r="A258" t="s">
        <v>270</v>
      </c>
      <c r="B258" s="1">
        <v>505.41</v>
      </c>
      <c r="C258" s="4">
        <f t="shared" si="6"/>
        <v>1.9732461715392592E-2</v>
      </c>
      <c r="D258" s="4">
        <v>3.6400895192385471E-2</v>
      </c>
      <c r="H258" t="s">
        <v>270</v>
      </c>
      <c r="I258" s="1">
        <v>253.54</v>
      </c>
      <c r="J258" s="4">
        <f t="shared" si="7"/>
        <v>-1.2617805125009662E-2</v>
      </c>
      <c r="K258" s="4">
        <v>3.9686256146101682E-2</v>
      </c>
    </row>
    <row r="259" spans="1:11">
      <c r="A259" t="s">
        <v>271</v>
      </c>
      <c r="B259" s="1">
        <v>497.12</v>
      </c>
      <c r="C259" s="4">
        <f t="shared" si="6"/>
        <v>-1.6402524682930731E-2</v>
      </c>
      <c r="D259" s="4">
        <v>4.6068530436773447E-2</v>
      </c>
      <c r="H259" t="s">
        <v>271</v>
      </c>
      <c r="I259" s="1">
        <v>248.42</v>
      </c>
      <c r="J259" s="4">
        <f t="shared" si="7"/>
        <v>-2.0194052220556934E-2</v>
      </c>
      <c r="K259" s="4">
        <v>4.0045860289902549E-2</v>
      </c>
    </row>
    <row r="260" spans="1:11">
      <c r="A260" t="s">
        <v>272</v>
      </c>
      <c r="B260" s="1">
        <v>490.3</v>
      </c>
      <c r="C260" s="4">
        <f t="shared" si="6"/>
        <v>-1.3719021564209835E-2</v>
      </c>
      <c r="D260" s="4">
        <v>4.9341538991220409E-2</v>
      </c>
      <c r="H260" t="s">
        <v>272</v>
      </c>
      <c r="I260" s="1">
        <v>245.96</v>
      </c>
      <c r="J260" s="4">
        <f t="shared" si="7"/>
        <v>-9.9025843329843804E-3</v>
      </c>
      <c r="K260" s="4">
        <v>4.5806024007658881E-2</v>
      </c>
    </row>
    <row r="261" spans="1:11">
      <c r="A261" t="s">
        <v>273</v>
      </c>
      <c r="B261" s="1">
        <v>497.75</v>
      </c>
      <c r="C261" s="4">
        <f t="shared" si="6"/>
        <v>1.5194778706914111E-2</v>
      </c>
      <c r="D261" s="4">
        <v>5.4450923909225041E-2</v>
      </c>
      <c r="H261" t="s">
        <v>273</v>
      </c>
      <c r="I261" s="1">
        <v>251.19</v>
      </c>
      <c r="J261" s="4">
        <f t="shared" si="7"/>
        <v>2.1263620100829359E-2</v>
      </c>
      <c r="K261" s="4">
        <v>5.6045197740113017E-2</v>
      </c>
    </row>
    <row r="262" spans="1:11">
      <c r="A262" t="s">
        <v>274</v>
      </c>
      <c r="B262" s="1">
        <v>493.78</v>
      </c>
      <c r="C262" s="4">
        <f t="shared" si="6"/>
        <v>-7.9758915118031681E-3</v>
      </c>
      <c r="D262" s="4">
        <v>5.7081313947226833E-2</v>
      </c>
      <c r="H262" t="s">
        <v>274</v>
      </c>
      <c r="I262" s="1">
        <v>253.71</v>
      </c>
      <c r="J262" s="4">
        <f t="shared" si="7"/>
        <v>1.0032246506628489E-2</v>
      </c>
      <c r="K262" s="4">
        <v>9.5844925065063202E-2</v>
      </c>
    </row>
    <row r="263" spans="1:11">
      <c r="A263" t="s">
        <v>275</v>
      </c>
      <c r="B263" s="1">
        <v>501.61</v>
      </c>
      <c r="C263" s="4">
        <f t="shared" si="6"/>
        <v>1.5857264368747299E-2</v>
      </c>
      <c r="D263" s="4">
        <v>0.15506734265376149</v>
      </c>
      <c r="H263" t="s">
        <v>275</v>
      </c>
      <c r="I263" s="1">
        <v>258.45</v>
      </c>
      <c r="J263" s="4">
        <f t="shared" si="7"/>
        <v>1.8682748019392143E-2</v>
      </c>
      <c r="K263" s="4">
        <v>0.15320594479830141</v>
      </c>
    </row>
  </sheetData>
  <mergeCells count="7">
    <mergeCell ref="M4:P5"/>
    <mergeCell ref="M13:P14"/>
    <mergeCell ref="H11:K11"/>
    <mergeCell ref="M2:P2"/>
    <mergeCell ref="A11:D11"/>
    <mergeCell ref="M10:P11"/>
    <mergeCell ref="M7:P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P262"/>
  <sheetViews>
    <sheetView workbookViewId="0"/>
  </sheetViews>
  <sheetFormatPr defaultRowHeight="15"/>
  <cols>
    <col min="1" max="1" width="25" customWidth="1"/>
    <col min="2" max="3" width="16" customWidth="1"/>
    <col min="4" max="7" width="3" customWidth="1"/>
    <col min="8" max="8" width="25" customWidth="1"/>
    <col min="9" max="10" width="16" customWidth="1"/>
    <col min="11" max="12" width="3" customWidth="1"/>
    <col min="13" max="13" width="30" customWidth="1"/>
    <col min="14" max="15" width="18" customWidth="1"/>
    <col min="16" max="16" width="32" customWidth="1"/>
  </cols>
  <sheetData>
    <row r="2" spans="1:16">
      <c r="A2" t="s">
        <v>276</v>
      </c>
      <c r="B2" s="1">
        <v>100000</v>
      </c>
      <c r="H2" t="s">
        <v>276</v>
      </c>
      <c r="I2" s="1">
        <v>100000</v>
      </c>
      <c r="M2" s="19" t="s">
        <v>277</v>
      </c>
      <c r="N2" s="18"/>
      <c r="O2" s="18"/>
      <c r="P2" s="18"/>
    </row>
    <row r="3" spans="1:16">
      <c r="A3" t="s">
        <v>278</v>
      </c>
      <c r="B3" s="4">
        <f>_xlfn.STDEV.S(C13:C262)</f>
        <v>2.0553884805612602E-2</v>
      </c>
      <c r="H3" t="s">
        <v>278</v>
      </c>
      <c r="I3" s="4">
        <f>_xlfn.STDEV.S(J13:J262)</f>
        <v>2.1745329439889015E-2</v>
      </c>
      <c r="M3" s="2" t="s">
        <v>3</v>
      </c>
    </row>
    <row r="4" spans="1:16" ht="24" customHeight="1">
      <c r="A4" t="s">
        <v>279</v>
      </c>
      <c r="B4">
        <v>1</v>
      </c>
      <c r="C4" s="5">
        <f>SQRT(B4)</f>
        <v>1</v>
      </c>
      <c r="H4" t="s">
        <v>279</v>
      </c>
      <c r="I4">
        <v>1</v>
      </c>
      <c r="J4" s="5">
        <f>SQRT(I4)</f>
        <v>1</v>
      </c>
      <c r="M4" s="17" t="s">
        <v>280</v>
      </c>
      <c r="N4" s="18"/>
      <c r="O4" s="18"/>
      <c r="P4" s="18"/>
    </row>
    <row r="5" spans="1:16" ht="24" customHeight="1">
      <c r="A5" t="s">
        <v>281</v>
      </c>
      <c r="B5" s="3">
        <v>0.05</v>
      </c>
      <c r="C5" s="10">
        <f>_xlfn.NORM.S.INV(B5)</f>
        <v>-1.6448536269514726</v>
      </c>
      <c r="H5" t="s">
        <v>281</v>
      </c>
      <c r="I5" s="3">
        <v>0.05</v>
      </c>
      <c r="J5" s="10">
        <f>_xlfn.NORM.S.INV(I5)</f>
        <v>-1.6448536269514726</v>
      </c>
      <c r="M5" s="18"/>
      <c r="N5" s="18"/>
      <c r="O5" s="18"/>
      <c r="P5" s="18"/>
    </row>
    <row r="6" spans="1:16">
      <c r="A6" t="s">
        <v>11</v>
      </c>
      <c r="B6" s="6">
        <f>-C5*C4*B3*B2</f>
        <v>3380.8131970454651</v>
      </c>
      <c r="H6" t="s">
        <v>11</v>
      </c>
      <c r="I6" s="6">
        <f>-J5*J4*I3*I2</f>
        <v>3576.7883998456082</v>
      </c>
      <c r="M6" s="2" t="s">
        <v>8</v>
      </c>
    </row>
    <row r="7" spans="1:16" ht="24" customHeight="1">
      <c r="A7" t="s">
        <v>12</v>
      </c>
      <c r="B7" s="7">
        <f>-C5*C4*B3</f>
        <v>3.3808131970454652E-2</v>
      </c>
      <c r="H7" t="s">
        <v>12</v>
      </c>
      <c r="I7" s="7">
        <f>-J5*J4*I3</f>
        <v>3.5767883998456082E-2</v>
      </c>
      <c r="M7" s="17" t="s">
        <v>282</v>
      </c>
      <c r="N7" s="18"/>
      <c r="O7" s="18"/>
      <c r="P7" s="18"/>
    </row>
    <row r="8" spans="1:16" ht="24" customHeight="1">
      <c r="A8" t="s">
        <v>283</v>
      </c>
      <c r="B8" s="4">
        <f>AVERAGE(C13:C262)</f>
        <v>1.0606535175112806E-4</v>
      </c>
      <c r="H8" t="s">
        <v>283</v>
      </c>
      <c r="I8" s="4">
        <f>AVERAGE(J13:J262)</f>
        <v>7.3856936732114335E-4</v>
      </c>
      <c r="M8" s="18"/>
      <c r="N8" s="18"/>
      <c r="O8" s="18"/>
      <c r="P8" s="18"/>
    </row>
    <row r="9" spans="1:16">
      <c r="M9" s="2" t="s">
        <v>13</v>
      </c>
    </row>
    <row r="10" spans="1:16" ht="24" customHeight="1">
      <c r="A10" s="19" t="s">
        <v>15</v>
      </c>
      <c r="B10" s="18"/>
      <c r="C10" s="18"/>
      <c r="H10" s="19" t="s">
        <v>16</v>
      </c>
      <c r="I10" s="18"/>
      <c r="J10" s="18"/>
      <c r="M10" s="17" t="s">
        <v>284</v>
      </c>
      <c r="N10" s="18"/>
      <c r="O10" s="18"/>
      <c r="P10" s="18"/>
    </row>
    <row r="11" spans="1:16" ht="24" customHeight="1">
      <c r="A11" s="8" t="s">
        <v>17</v>
      </c>
      <c r="B11" s="8" t="s">
        <v>18</v>
      </c>
      <c r="C11" s="8" t="s">
        <v>19</v>
      </c>
      <c r="H11" s="8" t="s">
        <v>17</v>
      </c>
      <c r="I11" s="8" t="s">
        <v>21</v>
      </c>
      <c r="J11" s="8" t="s">
        <v>19</v>
      </c>
      <c r="M11" s="18"/>
      <c r="N11" s="18"/>
      <c r="O11" s="18"/>
      <c r="P11" s="18"/>
    </row>
    <row r="12" spans="1:16">
      <c r="A12" t="s">
        <v>23</v>
      </c>
      <c r="B12" s="1">
        <v>514.45000000000005</v>
      </c>
      <c r="C12" s="9" t="s">
        <v>24</v>
      </c>
      <c r="H12" t="s">
        <v>23</v>
      </c>
      <c r="I12" s="1">
        <v>227.63</v>
      </c>
      <c r="J12" s="9" t="s">
        <v>24</v>
      </c>
      <c r="M12" s="2" t="s">
        <v>285</v>
      </c>
    </row>
    <row r="13" spans="1:16" ht="24" customHeight="1">
      <c r="A13" t="s">
        <v>26</v>
      </c>
      <c r="B13" s="1">
        <v>509.23</v>
      </c>
      <c r="C13" s="4">
        <f t="shared" ref="C13:C76" si="0">(B13-B12)/B12</f>
        <v>-1.0146758674312424E-2</v>
      </c>
      <c r="H13" t="s">
        <v>26</v>
      </c>
      <c r="I13" s="1">
        <v>220.71</v>
      </c>
      <c r="J13" s="4">
        <f t="shared" ref="J13:J76" si="1">(I13-I12)/I12</f>
        <v>-3.0400210868514639E-2</v>
      </c>
      <c r="M13" s="17" t="s">
        <v>286</v>
      </c>
      <c r="N13" s="18"/>
      <c r="O13" s="18"/>
      <c r="P13" s="18"/>
    </row>
    <row r="14" spans="1:16" ht="24" customHeight="1">
      <c r="A14" t="s">
        <v>27</v>
      </c>
      <c r="B14" s="1">
        <v>510.15</v>
      </c>
      <c r="C14" s="4">
        <f t="shared" si="0"/>
        <v>1.8066492547571019E-3</v>
      </c>
      <c r="H14" t="s">
        <v>27</v>
      </c>
      <c r="I14" s="1">
        <v>220.21</v>
      </c>
      <c r="J14" s="4">
        <f t="shared" si="1"/>
        <v>-2.2654161569480311E-3</v>
      </c>
      <c r="M14" s="18"/>
      <c r="N14" s="18"/>
      <c r="O14" s="18"/>
      <c r="P14" s="18"/>
    </row>
    <row r="15" spans="1:16">
      <c r="A15" t="s">
        <v>28</v>
      </c>
      <c r="B15" s="1">
        <v>507.03</v>
      </c>
      <c r="C15" s="4">
        <f t="shared" si="0"/>
        <v>-6.1158482799176803E-3</v>
      </c>
      <c r="H15" t="s">
        <v>28</v>
      </c>
      <c r="I15" s="1">
        <v>218.15</v>
      </c>
      <c r="J15" s="4">
        <f t="shared" si="1"/>
        <v>-9.3547068707143279E-3</v>
      </c>
    </row>
    <row r="16" spans="1:16">
      <c r="A16" t="s">
        <v>29</v>
      </c>
      <c r="B16" s="1">
        <v>511.46</v>
      </c>
      <c r="C16" s="4">
        <f t="shared" si="0"/>
        <v>8.7371555923712735E-3</v>
      </c>
      <c r="H16" t="s">
        <v>29</v>
      </c>
      <c r="I16" s="1">
        <v>219.78</v>
      </c>
      <c r="J16" s="4">
        <f t="shared" si="1"/>
        <v>7.4719229887691748E-3</v>
      </c>
    </row>
    <row r="17" spans="1:10">
      <c r="A17" t="s">
        <v>30</v>
      </c>
      <c r="B17" s="1">
        <v>514.6</v>
      </c>
      <c r="C17" s="4">
        <f t="shared" si="0"/>
        <v>6.1392875298166881E-3</v>
      </c>
      <c r="H17" t="s">
        <v>30</v>
      </c>
      <c r="I17" s="1">
        <v>222.17</v>
      </c>
      <c r="J17" s="4">
        <f t="shared" si="1"/>
        <v>1.0874510874510813E-2</v>
      </c>
    </row>
    <row r="18" spans="1:10">
      <c r="A18" t="s">
        <v>31</v>
      </c>
      <c r="B18" s="1">
        <v>517.95000000000005</v>
      </c>
      <c r="C18" s="4">
        <f t="shared" si="0"/>
        <v>6.5099106101827097E-3</v>
      </c>
      <c r="H18" t="s">
        <v>31</v>
      </c>
      <c r="I18" s="1">
        <v>219.57</v>
      </c>
      <c r="J18" s="4">
        <f t="shared" si="1"/>
        <v>-1.1702750146284352E-2</v>
      </c>
    </row>
    <row r="19" spans="1:10">
      <c r="A19" t="s">
        <v>32</v>
      </c>
      <c r="B19" s="1">
        <v>519.71</v>
      </c>
      <c r="C19" s="4">
        <f t="shared" si="0"/>
        <v>3.3980113910608953E-3</v>
      </c>
      <c r="H19" t="s">
        <v>32</v>
      </c>
      <c r="I19" s="1">
        <v>220.63</v>
      </c>
      <c r="J19" s="4">
        <f t="shared" si="1"/>
        <v>4.8276176162499532E-3</v>
      </c>
    </row>
    <row r="20" spans="1:10">
      <c r="A20" t="s">
        <v>33</v>
      </c>
      <c r="B20" s="1">
        <v>515.74</v>
      </c>
      <c r="C20" s="4">
        <f t="shared" si="0"/>
        <v>-7.6388755267361164E-3</v>
      </c>
      <c r="H20" t="s">
        <v>33</v>
      </c>
      <c r="I20" s="1">
        <v>222.41</v>
      </c>
      <c r="J20" s="4">
        <f t="shared" si="1"/>
        <v>8.0678058287630937E-3</v>
      </c>
    </row>
    <row r="21" spans="1:10">
      <c r="A21" t="s">
        <v>34</v>
      </c>
      <c r="B21" s="1">
        <v>517.35</v>
      </c>
      <c r="C21" s="4">
        <f t="shared" si="0"/>
        <v>3.1217280024818969E-3</v>
      </c>
      <c r="H21" t="s">
        <v>34</v>
      </c>
      <c r="I21" s="1">
        <v>219.51</v>
      </c>
      <c r="J21" s="4">
        <f t="shared" si="1"/>
        <v>-1.3038982060159191E-2</v>
      </c>
    </row>
    <row r="22" spans="1:10">
      <c r="A22" t="s">
        <v>35</v>
      </c>
      <c r="B22" s="1">
        <v>528.57000000000005</v>
      </c>
      <c r="C22" s="4">
        <f t="shared" si="0"/>
        <v>2.1687445636416405E-2</v>
      </c>
      <c r="H22" t="s">
        <v>35</v>
      </c>
      <c r="I22" s="1">
        <v>220.9</v>
      </c>
      <c r="J22" s="4">
        <f t="shared" si="1"/>
        <v>6.3322855450777408E-3</v>
      </c>
    </row>
    <row r="23" spans="1:10">
      <c r="A23" t="s">
        <v>36</v>
      </c>
      <c r="B23" s="1">
        <v>523.98</v>
      </c>
      <c r="C23" s="4">
        <f t="shared" si="0"/>
        <v>-8.6838072535331771E-3</v>
      </c>
      <c r="H23" t="s">
        <v>36</v>
      </c>
      <c r="I23" s="1">
        <v>221.78</v>
      </c>
      <c r="J23" s="4">
        <f t="shared" si="1"/>
        <v>3.983703033046607E-3</v>
      </c>
    </row>
    <row r="24" spans="1:10">
      <c r="A24" t="s">
        <v>37</v>
      </c>
      <c r="B24" s="1">
        <v>524.85</v>
      </c>
      <c r="C24" s="4">
        <f t="shared" si="0"/>
        <v>1.6603687163632287E-3</v>
      </c>
      <c r="H24" t="s">
        <v>37</v>
      </c>
      <c r="I24" s="1">
        <v>225.22</v>
      </c>
      <c r="J24" s="4">
        <f t="shared" si="1"/>
        <v>1.551086662458291E-2</v>
      </c>
    </row>
    <row r="25" spans="1:10">
      <c r="A25" t="s">
        <v>38</v>
      </c>
      <c r="B25" s="1">
        <v>522.4</v>
      </c>
      <c r="C25" s="4">
        <f t="shared" si="0"/>
        <v>-4.6680003810613416E-3</v>
      </c>
      <c r="H25" t="s">
        <v>38</v>
      </c>
      <c r="I25" s="1">
        <v>227.74</v>
      </c>
      <c r="J25" s="4">
        <f t="shared" si="1"/>
        <v>1.1189059586182444E-2</v>
      </c>
    </row>
    <row r="26" spans="1:10">
      <c r="A26" t="s">
        <v>39</v>
      </c>
      <c r="B26" s="1">
        <v>510.96</v>
      </c>
      <c r="C26" s="4">
        <f t="shared" si="0"/>
        <v>-2.1898928024502294E-2</v>
      </c>
      <c r="H26" t="s">
        <v>39</v>
      </c>
      <c r="I26" s="1">
        <v>216.37</v>
      </c>
      <c r="J26" s="4">
        <f t="shared" si="1"/>
        <v>-4.9925353473259E-2</v>
      </c>
    </row>
    <row r="27" spans="1:10">
      <c r="A27" t="s">
        <v>40</v>
      </c>
      <c r="B27" s="1">
        <v>514.04999999999995</v>
      </c>
      <c r="C27" s="4">
        <f t="shared" si="0"/>
        <v>6.0474401127289324E-3</v>
      </c>
      <c r="H27" t="s">
        <v>40</v>
      </c>
      <c r="I27" s="1">
        <v>220.07</v>
      </c>
      <c r="J27" s="4">
        <f t="shared" si="1"/>
        <v>1.7100337385034841E-2</v>
      </c>
    </row>
    <row r="28" spans="1:10">
      <c r="A28" t="s">
        <v>41</v>
      </c>
      <c r="B28" s="1">
        <v>513.57000000000005</v>
      </c>
      <c r="C28" s="4">
        <f t="shared" si="0"/>
        <v>-9.3376130726564453E-4</v>
      </c>
      <c r="H28" t="s">
        <v>41</v>
      </c>
      <c r="I28" s="1">
        <v>216.39</v>
      </c>
      <c r="J28" s="4">
        <f t="shared" si="1"/>
        <v>-1.6721952106148075E-2</v>
      </c>
    </row>
    <row r="29" spans="1:10">
      <c r="A29" t="s">
        <v>42</v>
      </c>
      <c r="B29" s="1">
        <v>513.42999999999995</v>
      </c>
      <c r="C29" s="4">
        <f t="shared" si="0"/>
        <v>-2.7260159277235825E-4</v>
      </c>
      <c r="H29" t="s">
        <v>42</v>
      </c>
      <c r="I29" s="1">
        <v>215.57</v>
      </c>
      <c r="J29" s="4">
        <f t="shared" si="1"/>
        <v>-3.789454226165688E-3</v>
      </c>
    </row>
    <row r="30" spans="1:10">
      <c r="A30" t="s">
        <v>43</v>
      </c>
      <c r="B30" s="1">
        <v>511.61</v>
      </c>
      <c r="C30" s="4">
        <f t="shared" si="0"/>
        <v>-3.5447870206258623E-3</v>
      </c>
      <c r="H30" t="s">
        <v>43</v>
      </c>
      <c r="I30" s="1">
        <v>214.47</v>
      </c>
      <c r="J30" s="4">
        <f t="shared" si="1"/>
        <v>-5.1027508465927279E-3</v>
      </c>
    </row>
    <row r="31" spans="1:10">
      <c r="A31" t="s">
        <v>44</v>
      </c>
      <c r="B31" s="1">
        <v>513.58000000000004</v>
      </c>
      <c r="C31" s="4">
        <f t="shared" si="0"/>
        <v>3.8505893160806614E-3</v>
      </c>
      <c r="H31" t="s">
        <v>44</v>
      </c>
      <c r="I31" s="1">
        <v>213.04</v>
      </c>
      <c r="J31" s="4">
        <f t="shared" si="1"/>
        <v>-6.6675991980230656E-3</v>
      </c>
    </row>
    <row r="32" spans="1:10">
      <c r="A32" t="s">
        <v>45</v>
      </c>
      <c r="B32" s="1">
        <v>516.79</v>
      </c>
      <c r="C32" s="4">
        <f t="shared" si="0"/>
        <v>6.2502433895399402E-3</v>
      </c>
      <c r="H32" t="s">
        <v>45</v>
      </c>
      <c r="I32" s="1">
        <v>216.48</v>
      </c>
      <c r="J32" s="4">
        <f t="shared" si="1"/>
        <v>1.6147202403304535E-2</v>
      </c>
    </row>
    <row r="33" spans="1:10">
      <c r="A33" t="s">
        <v>46</v>
      </c>
      <c r="B33" s="1">
        <v>517.66</v>
      </c>
      <c r="C33" s="4">
        <f t="shared" si="0"/>
        <v>1.6834691073743776E-3</v>
      </c>
      <c r="H33" t="s">
        <v>46</v>
      </c>
      <c r="I33" s="1">
        <v>222.03</v>
      </c>
      <c r="J33" s="4">
        <f t="shared" si="1"/>
        <v>2.56374722838138E-2</v>
      </c>
    </row>
    <row r="34" spans="1:10">
      <c r="A34" t="s">
        <v>47</v>
      </c>
      <c r="B34" s="1">
        <v>520.54</v>
      </c>
      <c r="C34" s="4">
        <f t="shared" si="0"/>
        <v>5.5634972762044496E-3</v>
      </c>
      <c r="H34" t="s">
        <v>47</v>
      </c>
      <c r="I34" s="1">
        <v>217.95</v>
      </c>
      <c r="J34" s="4">
        <f t="shared" si="1"/>
        <v>-1.8375895149304204E-2</v>
      </c>
    </row>
    <row r="35" spans="1:10">
      <c r="A35" t="s">
        <v>48</v>
      </c>
      <c r="B35" s="1">
        <v>520.55999999999995</v>
      </c>
      <c r="C35" s="4">
        <f t="shared" si="0"/>
        <v>3.8421639067087664E-5</v>
      </c>
      <c r="H35" t="s">
        <v>48</v>
      </c>
      <c r="I35" s="1">
        <v>221.09</v>
      </c>
      <c r="J35" s="4">
        <f t="shared" si="1"/>
        <v>1.4406974076623147E-2</v>
      </c>
    </row>
    <row r="36" spans="1:10">
      <c r="A36" t="s">
        <v>49</v>
      </c>
      <c r="B36" s="1">
        <v>523.61</v>
      </c>
      <c r="C36" s="4">
        <f t="shared" si="0"/>
        <v>5.8590748424774634E-3</v>
      </c>
      <c r="H36" t="s">
        <v>49</v>
      </c>
      <c r="I36" s="1">
        <v>224.21</v>
      </c>
      <c r="J36" s="4">
        <f t="shared" si="1"/>
        <v>1.4111900131168323E-2</v>
      </c>
    </row>
    <row r="37" spans="1:10">
      <c r="A37" t="s">
        <v>50</v>
      </c>
      <c r="B37" s="1">
        <v>531.52</v>
      </c>
      <c r="C37" s="4">
        <f t="shared" si="0"/>
        <v>1.5106663356314753E-2</v>
      </c>
      <c r="H37" t="s">
        <v>50</v>
      </c>
      <c r="I37" s="1">
        <v>226.97</v>
      </c>
      <c r="J37" s="4">
        <f t="shared" si="1"/>
        <v>1.2309888051380362E-2</v>
      </c>
    </row>
    <row r="38" spans="1:10">
      <c r="A38" t="s">
        <v>51</v>
      </c>
      <c r="B38" s="1">
        <v>542.07000000000005</v>
      </c>
      <c r="C38" s="4">
        <f t="shared" si="0"/>
        <v>1.9848735701384838E-2</v>
      </c>
      <c r="H38" t="s">
        <v>51</v>
      </c>
      <c r="I38" s="1">
        <v>229.25</v>
      </c>
      <c r="J38" s="4">
        <f t="shared" si="1"/>
        <v>1.0045380446755082E-2</v>
      </c>
    </row>
    <row r="39" spans="1:10">
      <c r="A39" t="s">
        <v>52</v>
      </c>
      <c r="B39" s="1">
        <v>541.54999999999995</v>
      </c>
      <c r="C39" s="4">
        <f t="shared" si="0"/>
        <v>-9.5928570110888898E-4</v>
      </c>
      <c r="H39" t="s">
        <v>52</v>
      </c>
      <c r="I39" s="1">
        <v>230.3</v>
      </c>
      <c r="J39" s="4">
        <f t="shared" si="1"/>
        <v>4.5801526717557748E-3</v>
      </c>
    </row>
    <row r="40" spans="1:10">
      <c r="A40" t="s">
        <v>53</v>
      </c>
      <c r="B40" s="1">
        <v>525.76</v>
      </c>
      <c r="C40" s="4">
        <f t="shared" si="0"/>
        <v>-2.915704921059914E-2</v>
      </c>
      <c r="H40" t="s">
        <v>53</v>
      </c>
      <c r="I40" s="1">
        <v>222.86</v>
      </c>
      <c r="J40" s="4">
        <f t="shared" si="1"/>
        <v>-3.2305688232739896E-2</v>
      </c>
    </row>
    <row r="41" spans="1:10">
      <c r="A41" t="s">
        <v>54</v>
      </c>
      <c r="B41" s="1">
        <v>517.80999999999995</v>
      </c>
      <c r="C41" s="4">
        <f t="shared" si="0"/>
        <v>-1.5120967741935571E-2</v>
      </c>
      <c r="H41" t="s">
        <v>54</v>
      </c>
      <c r="I41" s="1">
        <v>244.22</v>
      </c>
      <c r="J41" s="4">
        <f t="shared" si="1"/>
        <v>9.5844925065063202E-2</v>
      </c>
    </row>
    <row r="42" spans="1:10">
      <c r="A42" t="s">
        <v>55</v>
      </c>
      <c r="B42" s="1">
        <v>517.03</v>
      </c>
      <c r="C42" s="4">
        <f t="shared" si="0"/>
        <v>-1.5063440258009169E-3</v>
      </c>
      <c r="H42" t="s">
        <v>55</v>
      </c>
      <c r="I42" s="1">
        <v>254</v>
      </c>
      <c r="J42" s="4">
        <f t="shared" si="1"/>
        <v>4.0045860289902549E-2</v>
      </c>
    </row>
    <row r="43" spans="1:10">
      <c r="A43" t="s">
        <v>56</v>
      </c>
      <c r="B43" s="1">
        <v>514.33000000000004</v>
      </c>
      <c r="C43" s="4">
        <f t="shared" si="0"/>
        <v>-5.2221341121403628E-3</v>
      </c>
      <c r="H43" t="s">
        <v>56</v>
      </c>
      <c r="I43" s="1">
        <v>249.32</v>
      </c>
      <c r="J43" s="4">
        <f t="shared" si="1"/>
        <v>-1.8425196850393729E-2</v>
      </c>
    </row>
    <row r="44" spans="1:10">
      <c r="A44" t="s">
        <v>57</v>
      </c>
      <c r="B44" s="1">
        <v>507.16</v>
      </c>
      <c r="C44" s="4">
        <f t="shared" si="0"/>
        <v>-1.3940466237629567E-2</v>
      </c>
      <c r="H44" t="s">
        <v>57</v>
      </c>
      <c r="I44" s="1">
        <v>250.2</v>
      </c>
      <c r="J44" s="4">
        <f t="shared" si="1"/>
        <v>3.5296005133964204E-3</v>
      </c>
    </row>
    <row r="45" spans="1:10">
      <c r="A45" t="s">
        <v>58</v>
      </c>
      <c r="B45" s="1">
        <v>497.1</v>
      </c>
      <c r="C45" s="4">
        <f t="shared" si="0"/>
        <v>-1.9835949207350739E-2</v>
      </c>
      <c r="H45" t="s">
        <v>58</v>
      </c>
      <c r="I45" s="1">
        <v>243.04</v>
      </c>
      <c r="J45" s="4">
        <f t="shared" si="1"/>
        <v>-2.8617106314948029E-2</v>
      </c>
    </row>
    <row r="46" spans="1:10">
      <c r="A46" t="s">
        <v>59</v>
      </c>
      <c r="B46" s="1">
        <v>496.82</v>
      </c>
      <c r="C46" s="4">
        <f t="shared" si="0"/>
        <v>-5.6326694830020028E-4</v>
      </c>
      <c r="H46" t="s">
        <v>59</v>
      </c>
      <c r="I46" s="1">
        <v>244.41</v>
      </c>
      <c r="J46" s="4">
        <f t="shared" si="1"/>
        <v>5.6369321922317504E-3</v>
      </c>
    </row>
    <row r="47" spans="1:10">
      <c r="A47" t="s">
        <v>60</v>
      </c>
      <c r="B47" s="1">
        <v>506</v>
      </c>
      <c r="C47" s="4">
        <f t="shared" si="0"/>
        <v>1.8477517008171986E-2</v>
      </c>
      <c r="H47" t="s">
        <v>60</v>
      </c>
      <c r="I47" s="1">
        <v>248.4</v>
      </c>
      <c r="J47" s="4">
        <f t="shared" si="1"/>
        <v>1.6325027617527962E-2</v>
      </c>
    </row>
    <row r="48" spans="1:10">
      <c r="A48" t="s">
        <v>61</v>
      </c>
      <c r="B48" s="1">
        <v>508.68</v>
      </c>
      <c r="C48" s="4">
        <f t="shared" si="0"/>
        <v>5.2964426877470487E-3</v>
      </c>
      <c r="H48" t="s">
        <v>61</v>
      </c>
      <c r="I48" s="1">
        <v>249.1</v>
      </c>
      <c r="J48" s="4">
        <f t="shared" si="1"/>
        <v>2.8180354267310329E-3</v>
      </c>
    </row>
    <row r="49" spans="1:10">
      <c r="A49" t="s">
        <v>62</v>
      </c>
      <c r="B49" s="1">
        <v>511.14</v>
      </c>
      <c r="C49" s="4">
        <f t="shared" si="0"/>
        <v>4.8360462373200821E-3</v>
      </c>
      <c r="H49" t="s">
        <v>62</v>
      </c>
      <c r="I49" s="1">
        <v>244.2</v>
      </c>
      <c r="J49" s="4">
        <f t="shared" si="1"/>
        <v>-1.9670814933761566E-2</v>
      </c>
    </row>
    <row r="50" spans="1:10">
      <c r="A50" t="s">
        <v>63</v>
      </c>
      <c r="B50" s="1">
        <v>503.29</v>
      </c>
      <c r="C50" s="4">
        <f t="shared" si="0"/>
        <v>-1.535782760104857E-2</v>
      </c>
      <c r="H50" t="s">
        <v>63</v>
      </c>
      <c r="I50" s="1">
        <v>237.58</v>
      </c>
      <c r="J50" s="4">
        <f t="shared" si="1"/>
        <v>-2.7108927108927011E-2</v>
      </c>
    </row>
    <row r="51" spans="1:10">
      <c r="A51" t="s">
        <v>64</v>
      </c>
      <c r="B51" s="1">
        <v>510.18</v>
      </c>
      <c r="C51" s="4">
        <f t="shared" si="0"/>
        <v>1.3689920324266299E-2</v>
      </c>
      <c r="H51" t="s">
        <v>64</v>
      </c>
      <c r="I51" s="1">
        <v>234.69</v>
      </c>
      <c r="J51" s="4">
        <f t="shared" si="1"/>
        <v>-1.2164323596262374E-2</v>
      </c>
    </row>
    <row r="52" spans="1:10">
      <c r="A52" t="s">
        <v>65</v>
      </c>
      <c r="B52" s="1">
        <v>507.49</v>
      </c>
      <c r="C52" s="4">
        <f t="shared" si="0"/>
        <v>-5.2726488690266133E-3</v>
      </c>
      <c r="H52" t="s">
        <v>65</v>
      </c>
      <c r="I52" s="1">
        <v>232.87</v>
      </c>
      <c r="J52" s="4">
        <f t="shared" si="1"/>
        <v>-7.7549107333077386E-3</v>
      </c>
    </row>
    <row r="53" spans="1:10">
      <c r="A53" t="s">
        <v>66</v>
      </c>
      <c r="B53" s="1">
        <v>493.79</v>
      </c>
      <c r="C53" s="4">
        <f t="shared" si="0"/>
        <v>-2.6995605824745292E-2</v>
      </c>
      <c r="H53" t="s">
        <v>66</v>
      </c>
      <c r="I53" s="1">
        <v>222.55</v>
      </c>
      <c r="J53" s="4">
        <f t="shared" si="1"/>
        <v>-4.4316571477648441E-2</v>
      </c>
    </row>
    <row r="54" spans="1:10">
      <c r="A54" t="s">
        <v>67</v>
      </c>
      <c r="B54" s="1">
        <v>487.12</v>
      </c>
      <c r="C54" s="4">
        <f t="shared" si="0"/>
        <v>-1.3507766459426104E-2</v>
      </c>
      <c r="H54" t="s">
        <v>67</v>
      </c>
      <c r="I54" s="1">
        <v>222.69</v>
      </c>
      <c r="J54" s="4">
        <f t="shared" si="1"/>
        <v>6.2907211862496678E-4</v>
      </c>
    </row>
    <row r="55" spans="1:10">
      <c r="A55" t="s">
        <v>68</v>
      </c>
      <c r="B55" s="1">
        <v>478.43</v>
      </c>
      <c r="C55" s="4">
        <f t="shared" si="0"/>
        <v>-1.7839546723599928E-2</v>
      </c>
      <c r="H55" t="s">
        <v>68</v>
      </c>
      <c r="I55" s="1">
        <v>217.14</v>
      </c>
      <c r="J55" s="4">
        <f t="shared" si="1"/>
        <v>-2.4922538057389247E-2</v>
      </c>
    </row>
    <row r="56" spans="1:10">
      <c r="A56" t="s">
        <v>69</v>
      </c>
      <c r="B56" s="1">
        <v>472.12</v>
      </c>
      <c r="C56" s="4">
        <f t="shared" si="0"/>
        <v>-1.3188972263445023E-2</v>
      </c>
      <c r="H56" t="s">
        <v>69</v>
      </c>
      <c r="I56" s="1">
        <v>220.69</v>
      </c>
      <c r="J56" s="4">
        <f t="shared" si="1"/>
        <v>1.6348899327622787E-2</v>
      </c>
    </row>
    <row r="57" spans="1:10">
      <c r="A57" t="s">
        <v>70</v>
      </c>
      <c r="B57" s="1">
        <v>474</v>
      </c>
      <c r="C57" s="4">
        <f t="shared" si="0"/>
        <v>3.9820384647970761E-3</v>
      </c>
      <c r="H57" t="s">
        <v>70</v>
      </c>
      <c r="I57" s="1">
        <v>226.28</v>
      </c>
      <c r="J57" s="4">
        <f t="shared" si="1"/>
        <v>2.5329647922425137E-2</v>
      </c>
    </row>
    <row r="58" spans="1:10">
      <c r="A58" t="s">
        <v>71</v>
      </c>
      <c r="B58" s="1">
        <v>476.99</v>
      </c>
      <c r="C58" s="4">
        <f t="shared" si="0"/>
        <v>6.3080168776371501E-3</v>
      </c>
      <c r="H58" t="s">
        <v>71</v>
      </c>
      <c r="I58" s="1">
        <v>229.67</v>
      </c>
      <c r="J58" s="4">
        <f t="shared" si="1"/>
        <v>1.4981438925225325E-2</v>
      </c>
    </row>
    <row r="59" spans="1:10">
      <c r="A59" t="s">
        <v>72</v>
      </c>
      <c r="B59" s="1">
        <v>485.5</v>
      </c>
      <c r="C59" s="4">
        <f t="shared" si="0"/>
        <v>1.7841044885636995E-2</v>
      </c>
      <c r="H59" t="s">
        <v>72</v>
      </c>
      <c r="I59" s="1">
        <v>229.16</v>
      </c>
      <c r="J59" s="4">
        <f t="shared" si="1"/>
        <v>-2.2205773501109893E-3</v>
      </c>
    </row>
    <row r="60" spans="1:10">
      <c r="A60" t="s">
        <v>73</v>
      </c>
      <c r="B60" s="1">
        <v>492.01</v>
      </c>
      <c r="C60" s="4">
        <f t="shared" si="0"/>
        <v>1.3408856848609662E-2</v>
      </c>
      <c r="H60" t="s">
        <v>73</v>
      </c>
      <c r="I60" s="1">
        <v>233.22</v>
      </c>
      <c r="J60" s="4">
        <f t="shared" si="1"/>
        <v>1.7716879036481073E-2</v>
      </c>
    </row>
    <row r="61" spans="1:10">
      <c r="A61" t="s">
        <v>74</v>
      </c>
      <c r="B61" s="1">
        <v>486.74</v>
      </c>
      <c r="C61" s="4">
        <f t="shared" si="0"/>
        <v>-1.0711164407227459E-2</v>
      </c>
      <c r="H61" t="s">
        <v>74</v>
      </c>
      <c r="I61" s="1">
        <v>233.88</v>
      </c>
      <c r="J61" s="4">
        <f t="shared" si="1"/>
        <v>2.8299459737586683E-3</v>
      </c>
    </row>
    <row r="62" spans="1:10">
      <c r="A62" t="s">
        <v>75</v>
      </c>
      <c r="B62" s="1">
        <v>490</v>
      </c>
      <c r="C62" s="4">
        <f t="shared" si="0"/>
        <v>6.6976209064387371E-3</v>
      </c>
      <c r="H62" t="s">
        <v>75</v>
      </c>
      <c r="I62" s="1">
        <v>234.42</v>
      </c>
      <c r="J62" s="4">
        <f t="shared" si="1"/>
        <v>2.3088763468445015E-3</v>
      </c>
    </row>
    <row r="63" spans="1:10">
      <c r="A63" t="s">
        <v>76</v>
      </c>
      <c r="B63" s="1">
        <v>477.73</v>
      </c>
      <c r="C63" s="4">
        <f t="shared" si="0"/>
        <v>-2.5040816326530574E-2</v>
      </c>
      <c r="H63" t="s">
        <v>76</v>
      </c>
      <c r="I63" s="1">
        <v>232.38</v>
      </c>
      <c r="J63" s="4">
        <f t="shared" si="1"/>
        <v>-8.7023291528026282E-3</v>
      </c>
    </row>
    <row r="64" spans="1:10">
      <c r="A64" t="s">
        <v>77</v>
      </c>
      <c r="B64" s="1">
        <v>480.84</v>
      </c>
      <c r="C64" s="4">
        <f t="shared" si="0"/>
        <v>6.5099533209133963E-3</v>
      </c>
      <c r="H64" t="s">
        <v>77</v>
      </c>
      <c r="I64" s="1">
        <v>229.11</v>
      </c>
      <c r="J64" s="4">
        <f t="shared" si="1"/>
        <v>-1.4071778982700671E-2</v>
      </c>
    </row>
    <row r="65" spans="1:10">
      <c r="A65" t="s">
        <v>78</v>
      </c>
      <c r="B65" s="1">
        <v>483.16</v>
      </c>
      <c r="C65" s="4">
        <f t="shared" si="0"/>
        <v>4.8248897762250441E-3</v>
      </c>
      <c r="H65" t="s">
        <v>78</v>
      </c>
      <c r="I65" s="1">
        <v>229.53</v>
      </c>
      <c r="J65" s="4">
        <f t="shared" si="1"/>
        <v>1.8331805682859214E-3</v>
      </c>
    </row>
    <row r="66" spans="1:10">
      <c r="A66" t="s">
        <v>79</v>
      </c>
      <c r="B66" s="1">
        <v>491.02</v>
      </c>
      <c r="C66" s="4">
        <f t="shared" si="0"/>
        <v>1.6267902972100248E-2</v>
      </c>
      <c r="H66" t="s">
        <v>79</v>
      </c>
      <c r="I66" s="1">
        <v>226.89</v>
      </c>
      <c r="J66" s="4">
        <f t="shared" si="1"/>
        <v>-1.150176447523206E-2</v>
      </c>
    </row>
    <row r="67" spans="1:10">
      <c r="A67" t="s">
        <v>80</v>
      </c>
      <c r="B67" s="1">
        <v>492.02</v>
      </c>
      <c r="C67" s="4">
        <f t="shared" si="0"/>
        <v>2.0365769215103255E-3</v>
      </c>
      <c r="H67" t="s">
        <v>80</v>
      </c>
      <c r="I67" s="1">
        <v>227.92</v>
      </c>
      <c r="J67" s="4">
        <f t="shared" si="1"/>
        <v>4.5396447617788412E-3</v>
      </c>
    </row>
    <row r="68" spans="1:10">
      <c r="A68" t="s">
        <v>81</v>
      </c>
      <c r="B68" s="1">
        <v>478.56</v>
      </c>
      <c r="C68" s="4">
        <f t="shared" si="0"/>
        <v>-2.7356611519856876E-2</v>
      </c>
      <c r="H68" t="s">
        <v>81</v>
      </c>
      <c r="I68" s="1">
        <v>231.78</v>
      </c>
      <c r="J68" s="4">
        <f t="shared" si="1"/>
        <v>1.6935766935766997E-2</v>
      </c>
    </row>
    <row r="69" spans="1:10">
      <c r="A69" t="s">
        <v>82</v>
      </c>
      <c r="B69" s="1">
        <v>483.47</v>
      </c>
      <c r="C69" s="4">
        <f t="shared" si="0"/>
        <v>1.0259946506185275E-2</v>
      </c>
      <c r="H69" t="s">
        <v>82</v>
      </c>
      <c r="I69" s="1">
        <v>230.28</v>
      </c>
      <c r="J69" s="4">
        <f t="shared" si="1"/>
        <v>-6.4716541548019675E-3</v>
      </c>
    </row>
    <row r="70" spans="1:10">
      <c r="A70" t="s">
        <v>83</v>
      </c>
      <c r="B70" s="1">
        <v>478.53</v>
      </c>
      <c r="C70" s="4">
        <f t="shared" si="0"/>
        <v>-1.0217800484001187E-2</v>
      </c>
      <c r="H70" t="s">
        <v>83</v>
      </c>
      <c r="I70" s="1">
        <v>226.19</v>
      </c>
      <c r="J70" s="4">
        <f t="shared" si="1"/>
        <v>-1.7760986624978301E-2</v>
      </c>
    </row>
    <row r="71" spans="1:10">
      <c r="A71" t="s">
        <v>84</v>
      </c>
      <c r="B71" s="1">
        <v>474.82</v>
      </c>
      <c r="C71" s="4">
        <f t="shared" si="0"/>
        <v>-7.752909953398909E-3</v>
      </c>
      <c r="H71" t="s">
        <v>84</v>
      </c>
      <c r="I71" s="1">
        <v>222.54</v>
      </c>
      <c r="J71" s="4">
        <f t="shared" si="1"/>
        <v>-1.6136876077633873E-2</v>
      </c>
    </row>
    <row r="72" spans="1:10">
      <c r="A72" t="s">
        <v>85</v>
      </c>
      <c r="B72" s="1">
        <v>476.39</v>
      </c>
      <c r="C72" s="4">
        <f t="shared" si="0"/>
        <v>3.306516153489729E-3</v>
      </c>
      <c r="H72" t="s">
        <v>85</v>
      </c>
      <c r="I72" s="1">
        <v>222.56</v>
      </c>
      <c r="J72" s="4">
        <f t="shared" si="1"/>
        <v>8.9871483778243154E-5</v>
      </c>
    </row>
    <row r="73" spans="1:10">
      <c r="A73" t="s">
        <v>86</v>
      </c>
      <c r="B73" s="1">
        <v>476.12</v>
      </c>
      <c r="C73" s="4">
        <f t="shared" si="0"/>
        <v>-5.6676252650135776E-4</v>
      </c>
      <c r="H73" t="s">
        <v>86</v>
      </c>
      <c r="I73" s="1">
        <v>221.27</v>
      </c>
      <c r="J73" s="4">
        <f t="shared" si="1"/>
        <v>-5.7961897915168583E-3</v>
      </c>
    </row>
    <row r="74" spans="1:10">
      <c r="A74" t="s">
        <v>87</v>
      </c>
      <c r="B74" s="1">
        <v>483.98</v>
      </c>
      <c r="C74" s="4">
        <f t="shared" si="0"/>
        <v>1.6508443249600969E-2</v>
      </c>
      <c r="H74" t="s">
        <v>87</v>
      </c>
      <c r="I74" s="1">
        <v>226.76</v>
      </c>
      <c r="J74" s="4">
        <f t="shared" si="1"/>
        <v>2.4811316491164553E-2</v>
      </c>
    </row>
    <row r="75" spans="1:10">
      <c r="A75" t="s">
        <v>88</v>
      </c>
      <c r="B75" s="1">
        <v>485.92</v>
      </c>
      <c r="C75" s="4">
        <f t="shared" si="0"/>
        <v>4.0084301004173675E-3</v>
      </c>
      <c r="H75" t="s">
        <v>88</v>
      </c>
      <c r="I75" s="1">
        <v>227.35</v>
      </c>
      <c r="J75" s="4">
        <f t="shared" si="1"/>
        <v>2.6018698183101229E-3</v>
      </c>
    </row>
    <row r="76" spans="1:10">
      <c r="A76" t="s">
        <v>89</v>
      </c>
      <c r="B76" s="1">
        <v>484.92</v>
      </c>
      <c r="C76" s="4">
        <f t="shared" si="0"/>
        <v>-2.057951926243003E-3</v>
      </c>
      <c r="H76" t="s">
        <v>89</v>
      </c>
      <c r="I76" s="1">
        <v>228.43</v>
      </c>
      <c r="J76" s="4">
        <f t="shared" si="1"/>
        <v>4.7503848691445461E-3</v>
      </c>
    </row>
    <row r="77" spans="1:10">
      <c r="A77" t="s">
        <v>90</v>
      </c>
      <c r="B77" s="1">
        <v>486.85</v>
      </c>
      <c r="C77" s="4">
        <f t="shared" ref="C77:C140" si="2">(B77-B76)/B76</f>
        <v>3.9800379444032141E-3</v>
      </c>
      <c r="H77" t="s">
        <v>90</v>
      </c>
      <c r="I77" s="1">
        <v>232.14</v>
      </c>
      <c r="J77" s="4">
        <f t="shared" ref="J77:J140" si="3">(I77-I76)/I76</f>
        <v>1.6241299303944225E-2</v>
      </c>
    </row>
    <row r="78" spans="1:10">
      <c r="A78" t="s">
        <v>91</v>
      </c>
      <c r="B78" s="1">
        <v>488.02</v>
      </c>
      <c r="C78" s="4">
        <f t="shared" si="2"/>
        <v>2.4032042723630665E-3</v>
      </c>
      <c r="H78" t="s">
        <v>91</v>
      </c>
      <c r="I78" s="1">
        <v>232.38</v>
      </c>
      <c r="J78" s="4">
        <f t="shared" si="3"/>
        <v>1.0338588782631563E-3</v>
      </c>
    </row>
    <row r="79" spans="1:10">
      <c r="A79" t="s">
        <v>92</v>
      </c>
      <c r="B79" s="1">
        <v>487.71</v>
      </c>
      <c r="C79" s="4">
        <f t="shared" si="2"/>
        <v>-6.3521986803819982E-4</v>
      </c>
      <c r="H79" t="s">
        <v>92</v>
      </c>
      <c r="I79" s="1">
        <v>232.52</v>
      </c>
      <c r="J79" s="4">
        <f t="shared" si="3"/>
        <v>6.0246148549795498E-4</v>
      </c>
    </row>
    <row r="80" spans="1:10">
      <c r="A80" t="s">
        <v>93</v>
      </c>
      <c r="B80" s="1">
        <v>487.1</v>
      </c>
      <c r="C80" s="4">
        <f t="shared" si="2"/>
        <v>-1.250743269565842E-3</v>
      </c>
      <c r="H80" t="s">
        <v>93</v>
      </c>
      <c r="I80" s="1">
        <v>232.07</v>
      </c>
      <c r="J80" s="4">
        <f t="shared" si="3"/>
        <v>-1.9353173920523699E-3</v>
      </c>
    </row>
    <row r="81" spans="1:10">
      <c r="A81" t="s">
        <v>94</v>
      </c>
      <c r="B81" s="1">
        <v>487.48</v>
      </c>
      <c r="C81" s="4">
        <f t="shared" si="2"/>
        <v>7.8012728392526267E-4</v>
      </c>
      <c r="H81" t="s">
        <v>94</v>
      </c>
      <c r="I81" s="1">
        <v>232.53</v>
      </c>
      <c r="J81" s="4">
        <f t="shared" si="3"/>
        <v>1.9821605550049896E-3</v>
      </c>
    </row>
    <row r="82" spans="1:10">
      <c r="A82" t="s">
        <v>95</v>
      </c>
      <c r="B82" s="1">
        <v>483.62</v>
      </c>
      <c r="C82" s="4">
        <f t="shared" si="2"/>
        <v>-7.9182735701977796E-3</v>
      </c>
      <c r="H82" t="s">
        <v>95</v>
      </c>
      <c r="I82" s="1">
        <v>230.82</v>
      </c>
      <c r="J82" s="4">
        <f t="shared" si="3"/>
        <v>-7.3538898206683351E-3</v>
      </c>
    </row>
    <row r="83" spans="1:10">
      <c r="A83" t="s">
        <v>96</v>
      </c>
      <c r="B83" s="1">
        <v>472.94</v>
      </c>
      <c r="C83" s="4">
        <f t="shared" si="2"/>
        <v>-2.2083453951449498E-2</v>
      </c>
      <c r="H83" t="s">
        <v>96</v>
      </c>
      <c r="I83" s="1">
        <v>226.5</v>
      </c>
      <c r="J83" s="4">
        <f t="shared" si="3"/>
        <v>-1.8715882505848686E-2</v>
      </c>
    </row>
    <row r="84" spans="1:10">
      <c r="A84" t="s">
        <v>97</v>
      </c>
      <c r="B84" s="1">
        <v>472.85</v>
      </c>
      <c r="C84" s="4">
        <f t="shared" si="2"/>
        <v>-1.9029898084318305E-4</v>
      </c>
      <c r="H84" t="s">
        <v>97</v>
      </c>
      <c r="I84" s="1">
        <v>233.06</v>
      </c>
      <c r="J84" s="4">
        <f t="shared" si="3"/>
        <v>2.8962472406181026E-2</v>
      </c>
    </row>
    <row r="85" spans="1:10">
      <c r="A85" t="s">
        <v>98</v>
      </c>
      <c r="B85" s="1">
        <v>478.51</v>
      </c>
      <c r="C85" s="4">
        <f t="shared" si="2"/>
        <v>1.1969969334884145E-2</v>
      </c>
      <c r="H85" t="s">
        <v>98</v>
      </c>
      <c r="I85" s="1">
        <v>240.93</v>
      </c>
      <c r="J85" s="4">
        <f t="shared" si="3"/>
        <v>3.3768128378958227E-2</v>
      </c>
    </row>
    <row r="86" spans="1:10">
      <c r="A86" t="s">
        <v>99</v>
      </c>
      <c r="B86" s="1">
        <v>483.47</v>
      </c>
      <c r="C86" s="4">
        <f t="shared" si="2"/>
        <v>1.0365509602725202E-2</v>
      </c>
      <c r="H86" t="s">
        <v>99</v>
      </c>
      <c r="I86" s="1">
        <v>241.56</v>
      </c>
      <c r="J86" s="4">
        <f t="shared" si="3"/>
        <v>2.6148673888681168E-3</v>
      </c>
    </row>
    <row r="87" spans="1:10">
      <c r="A87" t="s">
        <v>100</v>
      </c>
      <c r="B87" s="1">
        <v>478.11</v>
      </c>
      <c r="C87" s="4">
        <f t="shared" si="2"/>
        <v>-1.1086520363207673E-2</v>
      </c>
      <c r="H87" t="s">
        <v>100</v>
      </c>
      <c r="I87" s="1">
        <v>246.29</v>
      </c>
      <c r="J87" s="4">
        <f t="shared" si="3"/>
        <v>1.9581056466302326E-2</v>
      </c>
    </row>
    <row r="88" spans="1:10">
      <c r="A88" t="s">
        <v>101</v>
      </c>
      <c r="B88" s="1">
        <v>479.28</v>
      </c>
      <c r="C88" s="4">
        <f t="shared" si="2"/>
        <v>2.4471355964107823E-3</v>
      </c>
      <c r="H88" t="s">
        <v>101</v>
      </c>
      <c r="I88" s="1">
        <v>247.38</v>
      </c>
      <c r="J88" s="4">
        <f t="shared" si="3"/>
        <v>4.4256770473831801E-3</v>
      </c>
    </row>
    <row r="89" spans="1:10">
      <c r="A89" t="s">
        <v>102</v>
      </c>
      <c r="B89" s="1">
        <v>477.18</v>
      </c>
      <c r="C89" s="4">
        <f t="shared" si="2"/>
        <v>-4.3815723585377362E-3</v>
      </c>
      <c r="H89" t="s">
        <v>102</v>
      </c>
      <c r="I89" s="1">
        <v>246.47</v>
      </c>
      <c r="J89" s="4">
        <f t="shared" si="3"/>
        <v>-3.6785512167515425E-3</v>
      </c>
    </row>
    <row r="90" spans="1:10">
      <c r="A90" t="s">
        <v>103</v>
      </c>
      <c r="B90" s="1">
        <v>470.67</v>
      </c>
      <c r="C90" s="4">
        <f t="shared" si="2"/>
        <v>-1.3642650572111134E-2</v>
      </c>
      <c r="H90" t="s">
        <v>103</v>
      </c>
      <c r="I90" s="1">
        <v>242.6</v>
      </c>
      <c r="J90" s="4">
        <f t="shared" si="3"/>
        <v>-1.5701708118635145E-2</v>
      </c>
    </row>
    <row r="91" spans="1:10">
      <c r="A91" t="s">
        <v>104</v>
      </c>
      <c r="B91" s="1">
        <v>459.38</v>
      </c>
      <c r="C91" s="4">
        <f t="shared" si="2"/>
        <v>-2.3987082244460067E-2</v>
      </c>
      <c r="H91" t="s">
        <v>104</v>
      </c>
      <c r="I91" s="1">
        <v>236.65</v>
      </c>
      <c r="J91" s="4">
        <f t="shared" si="3"/>
        <v>-2.4525968672712239E-2</v>
      </c>
    </row>
    <row r="92" spans="1:10">
      <c r="A92" t="s">
        <v>105</v>
      </c>
      <c r="B92" s="1">
        <v>456.66</v>
      </c>
      <c r="C92" s="4">
        <f t="shared" si="2"/>
        <v>-5.9210239888544784E-3</v>
      </c>
      <c r="H92" t="s">
        <v>105</v>
      </c>
      <c r="I92" s="1">
        <v>238.18</v>
      </c>
      <c r="J92" s="4">
        <f t="shared" si="3"/>
        <v>6.4652440312698125E-3</v>
      </c>
    </row>
    <row r="93" spans="1:10">
      <c r="A93" t="s">
        <v>106</v>
      </c>
      <c r="B93" s="1">
        <v>459.86</v>
      </c>
      <c r="C93" s="4">
        <f t="shared" si="2"/>
        <v>7.0074015679060754E-3</v>
      </c>
      <c r="H93" t="s">
        <v>106</v>
      </c>
      <c r="I93" s="1">
        <v>239.12</v>
      </c>
      <c r="J93" s="4">
        <f t="shared" si="3"/>
        <v>3.9465950121756561E-3</v>
      </c>
    </row>
    <row r="94" spans="1:10">
      <c r="A94" t="s">
        <v>107</v>
      </c>
      <c r="B94" s="1">
        <v>454.52</v>
      </c>
      <c r="C94" s="4">
        <f t="shared" si="2"/>
        <v>-1.1612229809072396E-2</v>
      </c>
      <c r="H94" t="s">
        <v>107</v>
      </c>
      <c r="I94" s="1">
        <v>231</v>
      </c>
      <c r="J94" s="4">
        <f t="shared" si="3"/>
        <v>-3.3957845433255286E-2</v>
      </c>
    </row>
    <row r="95" spans="1:10">
      <c r="A95" t="s">
        <v>108</v>
      </c>
      <c r="B95" s="1">
        <v>444.11</v>
      </c>
      <c r="C95" s="4">
        <f t="shared" si="2"/>
        <v>-2.2903282583824625E-2</v>
      </c>
      <c r="H95" t="s">
        <v>108</v>
      </c>
      <c r="I95" s="1">
        <v>231.31</v>
      </c>
      <c r="J95" s="4">
        <f t="shared" si="3"/>
        <v>1.3419913419913517E-3</v>
      </c>
    </row>
    <row r="96" spans="1:10">
      <c r="A96" t="s">
        <v>109</v>
      </c>
      <c r="B96" s="1">
        <v>451.14</v>
      </c>
      <c r="C96" s="4">
        <f t="shared" si="2"/>
        <v>1.582941163225321E-2</v>
      </c>
      <c r="H96" t="s">
        <v>109</v>
      </c>
      <c r="I96" s="1">
        <v>234.34</v>
      </c>
      <c r="J96" s="4">
        <f t="shared" si="3"/>
        <v>1.3099303964376816E-2</v>
      </c>
    </row>
    <row r="97" spans="1:10">
      <c r="A97" t="s">
        <v>110</v>
      </c>
      <c r="B97" s="1">
        <v>465.95</v>
      </c>
      <c r="C97" s="4">
        <f t="shared" si="2"/>
        <v>3.2827946978764913E-2</v>
      </c>
      <c r="H97" t="s">
        <v>110</v>
      </c>
      <c r="I97" s="1">
        <v>239.16</v>
      </c>
      <c r="J97" s="4">
        <f t="shared" si="3"/>
        <v>2.0568404881795652E-2</v>
      </c>
    </row>
    <row r="98" spans="1:10">
      <c r="A98" t="s">
        <v>111</v>
      </c>
      <c r="B98" s="1">
        <v>470.28</v>
      </c>
      <c r="C98" s="4">
        <f t="shared" si="2"/>
        <v>9.2928425796758966E-3</v>
      </c>
      <c r="H98" t="s">
        <v>111</v>
      </c>
      <c r="I98" s="1">
        <v>238.42</v>
      </c>
      <c r="J98" s="4">
        <f t="shared" si="3"/>
        <v>-3.0941629034956057E-3</v>
      </c>
    </row>
    <row r="99" spans="1:10">
      <c r="A99" t="s">
        <v>112</v>
      </c>
      <c r="B99" s="1">
        <v>480.58</v>
      </c>
      <c r="C99" s="4">
        <f t="shared" si="2"/>
        <v>2.1901845708939379E-2</v>
      </c>
      <c r="H99" t="s">
        <v>112</v>
      </c>
      <c r="I99" s="1">
        <v>244.68</v>
      </c>
      <c r="J99" s="4">
        <f t="shared" si="3"/>
        <v>2.6256186561530157E-2</v>
      </c>
    </row>
    <row r="100" spans="1:10">
      <c r="A100" t="s">
        <v>113</v>
      </c>
      <c r="B100" s="1">
        <v>481.63</v>
      </c>
      <c r="C100" s="4">
        <f t="shared" si="2"/>
        <v>2.1848599608806263E-3</v>
      </c>
      <c r="H100" t="s">
        <v>113</v>
      </c>
      <c r="I100" s="1">
        <v>243.01</v>
      </c>
      <c r="J100" s="4">
        <f t="shared" si="3"/>
        <v>-6.8252411312735651E-3</v>
      </c>
    </row>
    <row r="101" spans="1:10">
      <c r="A101" t="s">
        <v>114</v>
      </c>
      <c r="B101" s="1">
        <v>433.5</v>
      </c>
      <c r="C101" s="4">
        <f t="shared" si="2"/>
        <v>-9.9931482673421501E-2</v>
      </c>
      <c r="H101" t="s">
        <v>114</v>
      </c>
      <c r="I101" s="1">
        <v>241.73</v>
      </c>
      <c r="J101" s="4">
        <f t="shared" si="3"/>
        <v>-5.2672729517303863E-3</v>
      </c>
    </row>
    <row r="102" spans="1:10">
      <c r="A102" t="s">
        <v>115</v>
      </c>
      <c r="B102" s="1">
        <v>430.29</v>
      </c>
      <c r="C102" s="4">
        <f t="shared" si="2"/>
        <v>-7.4048442906573921E-3</v>
      </c>
      <c r="H102" t="s">
        <v>115</v>
      </c>
      <c r="I102" s="1">
        <v>239.3</v>
      </c>
      <c r="J102" s="4">
        <f t="shared" si="3"/>
        <v>-1.0052537955570175E-2</v>
      </c>
    </row>
    <row r="103" spans="1:10">
      <c r="A103" t="s">
        <v>116</v>
      </c>
      <c r="B103" s="1">
        <v>423.37</v>
      </c>
      <c r="C103" s="4">
        <f t="shared" si="2"/>
        <v>-1.6082177136349941E-2</v>
      </c>
      <c r="H103" t="s">
        <v>116</v>
      </c>
      <c r="I103" s="1">
        <v>242.96</v>
      </c>
      <c r="J103" s="4">
        <f t="shared" si="3"/>
        <v>1.5294609277058072E-2</v>
      </c>
    </row>
    <row r="104" spans="1:10">
      <c r="A104" t="s">
        <v>117</v>
      </c>
      <c r="B104" s="1">
        <v>411.21</v>
      </c>
      <c r="C104" s="4">
        <f t="shared" si="2"/>
        <v>-2.8721921723315363E-2</v>
      </c>
      <c r="H104" t="s">
        <v>117</v>
      </c>
      <c r="I104" s="1">
        <v>238.62</v>
      </c>
      <c r="J104" s="4">
        <f t="shared" si="3"/>
        <v>-1.7863022719789279E-2</v>
      </c>
    </row>
    <row r="105" spans="1:10">
      <c r="A105" t="s">
        <v>118</v>
      </c>
      <c r="B105" s="1">
        <v>414.19</v>
      </c>
      <c r="C105" s="4">
        <f t="shared" si="2"/>
        <v>7.2469054740887098E-3</v>
      </c>
      <c r="H105" t="s">
        <v>118</v>
      </c>
      <c r="I105" s="1">
        <v>232.99</v>
      </c>
      <c r="J105" s="4">
        <f t="shared" si="3"/>
        <v>-2.3593998826586183E-2</v>
      </c>
    </row>
    <row r="106" spans="1:10">
      <c r="A106" t="s">
        <v>119</v>
      </c>
      <c r="B106" s="1">
        <v>393.67</v>
      </c>
      <c r="C106" s="4">
        <f t="shared" si="2"/>
        <v>-4.9542480504116422E-2</v>
      </c>
      <c r="H106" t="s">
        <v>119</v>
      </c>
      <c r="I106" s="1">
        <v>222.69</v>
      </c>
      <c r="J106" s="4">
        <f t="shared" si="3"/>
        <v>-4.4207905918709003E-2</v>
      </c>
    </row>
    <row r="107" spans="1:10">
      <c r="A107" t="s">
        <v>120</v>
      </c>
      <c r="B107" s="1">
        <v>401.14</v>
      </c>
      <c r="C107" s="4">
        <f t="shared" si="2"/>
        <v>1.897528386719834E-2</v>
      </c>
      <c r="H107" t="s">
        <v>120</v>
      </c>
      <c r="I107" s="1">
        <v>210.32</v>
      </c>
      <c r="J107" s="4">
        <f t="shared" si="3"/>
        <v>-5.5548071309892699E-2</v>
      </c>
    </row>
    <row r="108" spans="1:10">
      <c r="A108" t="s">
        <v>121</v>
      </c>
      <c r="B108" s="1">
        <v>413.6</v>
      </c>
      <c r="C108" s="4">
        <f t="shared" si="2"/>
        <v>3.1061474796829129E-2</v>
      </c>
      <c r="H108" t="s">
        <v>121</v>
      </c>
      <c r="I108" s="1">
        <v>208.72</v>
      </c>
      <c r="J108" s="4">
        <f t="shared" si="3"/>
        <v>-7.6074553062000496E-3</v>
      </c>
    </row>
    <row r="109" spans="1:10">
      <c r="A109" t="s">
        <v>122</v>
      </c>
      <c r="B109" s="1">
        <v>413.27</v>
      </c>
      <c r="C109" s="4">
        <f t="shared" si="2"/>
        <v>-7.9787234042563086E-4</v>
      </c>
      <c r="H109" t="s">
        <v>122</v>
      </c>
      <c r="I109" s="1">
        <v>206.96</v>
      </c>
      <c r="J109" s="4">
        <f t="shared" si="3"/>
        <v>-8.4323495592180473E-3</v>
      </c>
    </row>
    <row r="110" spans="1:10">
      <c r="A110" t="s">
        <v>123</v>
      </c>
      <c r="B110" s="1">
        <v>404.37</v>
      </c>
      <c r="C110" s="4">
        <f t="shared" si="2"/>
        <v>-2.1535557867737743E-2</v>
      </c>
      <c r="H110" t="s">
        <v>123</v>
      </c>
      <c r="I110" s="1">
        <v>204.08</v>
      </c>
      <c r="J110" s="4">
        <f t="shared" si="3"/>
        <v>-1.391573250869731E-2</v>
      </c>
    </row>
    <row r="111" spans="1:10">
      <c r="A111" t="s">
        <v>124</v>
      </c>
      <c r="B111" s="1">
        <v>401.84</v>
      </c>
      <c r="C111" s="4">
        <f t="shared" si="2"/>
        <v>-6.2566461409106254E-3</v>
      </c>
      <c r="H111" t="s">
        <v>124</v>
      </c>
      <c r="I111" s="1">
        <v>199.6</v>
      </c>
      <c r="J111" s="4">
        <f t="shared" si="3"/>
        <v>-2.1952175617405027E-2</v>
      </c>
    </row>
    <row r="112" spans="1:10">
      <c r="A112" t="s">
        <v>125</v>
      </c>
      <c r="B112" s="1">
        <v>401.32</v>
      </c>
      <c r="C112" s="4">
        <f t="shared" si="2"/>
        <v>-1.2940473820425588E-3</v>
      </c>
      <c r="H112" t="s">
        <v>125</v>
      </c>
      <c r="I112" s="1">
        <v>198.79</v>
      </c>
      <c r="J112" s="4">
        <f t="shared" si="3"/>
        <v>-4.058116232464941E-3</v>
      </c>
    </row>
    <row r="113" spans="1:10">
      <c r="A113" t="s">
        <v>126</v>
      </c>
      <c r="B113" s="1">
        <v>396.86</v>
      </c>
      <c r="C113" s="4">
        <f t="shared" si="2"/>
        <v>-1.1113326024120351E-2</v>
      </c>
      <c r="H113" t="s">
        <v>126</v>
      </c>
      <c r="I113" s="1">
        <v>201.15</v>
      </c>
      <c r="J113" s="4">
        <f t="shared" si="3"/>
        <v>1.1871824538457738E-2</v>
      </c>
    </row>
    <row r="114" spans="1:10">
      <c r="A114" t="s">
        <v>127</v>
      </c>
      <c r="B114" s="1">
        <v>399.6</v>
      </c>
      <c r="C114" s="4">
        <f t="shared" si="2"/>
        <v>6.9041979539384395E-3</v>
      </c>
      <c r="H114" t="s">
        <v>127</v>
      </c>
      <c r="I114" s="1">
        <v>204.79</v>
      </c>
      <c r="J114" s="4">
        <f t="shared" si="3"/>
        <v>1.8095948297290512E-2</v>
      </c>
    </row>
    <row r="115" spans="1:10">
      <c r="A115" t="s">
        <v>128</v>
      </c>
      <c r="B115" s="1">
        <v>398.46</v>
      </c>
      <c r="C115" s="4">
        <f t="shared" si="2"/>
        <v>-2.8528528528529609E-3</v>
      </c>
      <c r="H115" t="s">
        <v>128</v>
      </c>
      <c r="I115" s="1">
        <v>204.86</v>
      </c>
      <c r="J115" s="4">
        <f t="shared" si="3"/>
        <v>3.4181356511558963E-4</v>
      </c>
    </row>
    <row r="116" spans="1:10">
      <c r="A116" t="s">
        <v>129</v>
      </c>
      <c r="B116" s="1">
        <v>397.23</v>
      </c>
      <c r="C116" s="4">
        <f t="shared" si="2"/>
        <v>-3.0868845053454836E-3</v>
      </c>
      <c r="H116" t="s">
        <v>129</v>
      </c>
      <c r="I116" s="1">
        <v>210.11</v>
      </c>
      <c r="J116" s="4">
        <f t="shared" si="3"/>
        <v>2.5627257639363465E-2</v>
      </c>
    </row>
    <row r="117" spans="1:10">
      <c r="A117" t="s">
        <v>130</v>
      </c>
      <c r="B117" s="1">
        <v>384.47</v>
      </c>
      <c r="C117" s="4">
        <f t="shared" si="2"/>
        <v>-3.2122447952068048E-2</v>
      </c>
      <c r="H117" t="s">
        <v>130</v>
      </c>
      <c r="I117" s="1">
        <v>205.27</v>
      </c>
      <c r="J117" s="4">
        <f t="shared" si="3"/>
        <v>-2.3035552805673234E-2</v>
      </c>
    </row>
    <row r="118" spans="1:10">
      <c r="A118" t="s">
        <v>131</v>
      </c>
      <c r="B118" s="1">
        <v>389</v>
      </c>
      <c r="C118" s="4">
        <f t="shared" si="2"/>
        <v>1.1782453767524053E-2</v>
      </c>
      <c r="H118" t="s">
        <v>131</v>
      </c>
      <c r="I118" s="1">
        <v>208.56</v>
      </c>
      <c r="J118" s="4">
        <f t="shared" si="3"/>
        <v>1.602767087250934E-2</v>
      </c>
    </row>
    <row r="119" spans="1:10">
      <c r="A119" t="s">
        <v>132</v>
      </c>
      <c r="B119" s="1">
        <v>400.6</v>
      </c>
      <c r="C119" s="4">
        <f t="shared" si="2"/>
        <v>2.9820051413881807E-2</v>
      </c>
      <c r="H119" t="s">
        <v>132</v>
      </c>
      <c r="I119" s="1">
        <v>210.64</v>
      </c>
      <c r="J119" s="4">
        <f t="shared" si="3"/>
        <v>9.9731492136554672E-3</v>
      </c>
    </row>
    <row r="120" spans="1:10">
      <c r="A120" t="s">
        <v>133</v>
      </c>
      <c r="B120" s="1">
        <v>401.72</v>
      </c>
      <c r="C120" s="4">
        <f t="shared" si="2"/>
        <v>2.7958062905641648E-3</v>
      </c>
      <c r="H120" t="s">
        <v>133</v>
      </c>
      <c r="I120" s="1">
        <v>207.92</v>
      </c>
      <c r="J120" s="4">
        <f t="shared" si="3"/>
        <v>-1.2913026965438659E-2</v>
      </c>
    </row>
    <row r="121" spans="1:10">
      <c r="A121" t="s">
        <v>134</v>
      </c>
      <c r="B121" s="1">
        <v>392.74</v>
      </c>
      <c r="C121" s="4">
        <f t="shared" si="2"/>
        <v>-2.235387832321024E-2</v>
      </c>
      <c r="H121" t="s">
        <v>134</v>
      </c>
      <c r="I121" s="1">
        <v>210</v>
      </c>
      <c r="J121" s="4">
        <f t="shared" si="3"/>
        <v>1.0003847633705333E-2</v>
      </c>
    </row>
    <row r="122" spans="1:10">
      <c r="A122" t="s">
        <v>135</v>
      </c>
      <c r="B122" s="1">
        <v>398.55</v>
      </c>
      <c r="C122" s="4">
        <f t="shared" si="2"/>
        <v>1.4793502062433168E-2</v>
      </c>
      <c r="H122" t="s">
        <v>135</v>
      </c>
      <c r="I122" s="1">
        <v>208.39</v>
      </c>
      <c r="J122" s="4">
        <f t="shared" si="3"/>
        <v>-7.6666666666667313E-3</v>
      </c>
    </row>
    <row r="123" spans="1:10">
      <c r="A123" t="s">
        <v>136</v>
      </c>
      <c r="B123" s="1">
        <v>403.93</v>
      </c>
      <c r="C123" s="4">
        <f t="shared" si="2"/>
        <v>1.3498933634424778E-2</v>
      </c>
      <c r="H123" t="s">
        <v>136</v>
      </c>
      <c r="I123" s="1">
        <v>208.73</v>
      </c>
      <c r="J123" s="4">
        <f t="shared" si="3"/>
        <v>1.6315562167090716E-3</v>
      </c>
    </row>
    <row r="124" spans="1:10">
      <c r="A124" t="s">
        <v>137</v>
      </c>
      <c r="B124" s="1">
        <v>405.2</v>
      </c>
      <c r="C124" s="4">
        <f t="shared" si="2"/>
        <v>3.1441091278191315E-3</v>
      </c>
      <c r="H124" t="s">
        <v>137</v>
      </c>
      <c r="I124" s="1">
        <v>216.82</v>
      </c>
      <c r="J124" s="4">
        <f t="shared" si="3"/>
        <v>3.8758204378862661E-2</v>
      </c>
    </row>
    <row r="125" spans="1:10">
      <c r="A125" t="s">
        <v>138</v>
      </c>
      <c r="B125" s="1">
        <v>410.68</v>
      </c>
      <c r="C125" s="4">
        <f t="shared" si="2"/>
        <v>1.3524185587364309E-2</v>
      </c>
      <c r="H125" t="s">
        <v>138</v>
      </c>
      <c r="I125" s="1">
        <v>218.94</v>
      </c>
      <c r="J125" s="4">
        <f t="shared" si="3"/>
        <v>9.7776957845217439E-3</v>
      </c>
    </row>
    <row r="126" spans="1:10">
      <c r="A126" t="s">
        <v>139</v>
      </c>
      <c r="B126" s="1">
        <v>408.96</v>
      </c>
      <c r="C126" s="4">
        <f t="shared" si="2"/>
        <v>-4.1881757085809566E-3</v>
      </c>
      <c r="H126" t="s">
        <v>139</v>
      </c>
      <c r="I126" s="1">
        <v>213.21</v>
      </c>
      <c r="J126" s="4">
        <f t="shared" si="3"/>
        <v>-2.6171553850369917E-2</v>
      </c>
    </row>
    <row r="127" spans="1:10">
      <c r="A127" t="s">
        <v>140</v>
      </c>
      <c r="B127" s="1">
        <v>409.41</v>
      </c>
      <c r="C127" s="4">
        <f t="shared" si="2"/>
        <v>1.1003521126761676E-3</v>
      </c>
      <c r="H127" t="s">
        <v>140</v>
      </c>
      <c r="I127" s="1">
        <v>213.49</v>
      </c>
      <c r="J127" s="4">
        <f t="shared" si="3"/>
        <v>1.3132592279911878E-3</v>
      </c>
    </row>
    <row r="128" spans="1:10">
      <c r="A128" t="s">
        <v>141</v>
      </c>
      <c r="B128" s="1">
        <v>405.76</v>
      </c>
      <c r="C128" s="4">
        <f t="shared" si="2"/>
        <v>-8.915268312938214E-3</v>
      </c>
      <c r="H128" t="s">
        <v>141</v>
      </c>
      <c r="I128" s="1">
        <v>214.33</v>
      </c>
      <c r="J128" s="4">
        <f t="shared" si="3"/>
        <v>3.9346105203990978E-3</v>
      </c>
    </row>
    <row r="129" spans="1:10">
      <c r="A129" t="s">
        <v>142</v>
      </c>
      <c r="B129" s="1">
        <v>404.88</v>
      </c>
      <c r="C129" s="4">
        <f t="shared" si="2"/>
        <v>-2.1687697160883168E-3</v>
      </c>
      <c r="H129" t="s">
        <v>142</v>
      </c>
      <c r="I129" s="1">
        <v>212.65</v>
      </c>
      <c r="J129" s="4">
        <f t="shared" si="3"/>
        <v>-7.8383800681192869E-3</v>
      </c>
    </row>
    <row r="130" spans="1:10">
      <c r="A130" t="s">
        <v>143</v>
      </c>
      <c r="B130" s="1">
        <v>401.86</v>
      </c>
      <c r="C130" s="4">
        <f t="shared" si="2"/>
        <v>-7.4590001975893645E-3</v>
      </c>
      <c r="H130" t="s">
        <v>143</v>
      </c>
      <c r="I130" s="1">
        <v>209.53</v>
      </c>
      <c r="J130" s="4">
        <f t="shared" si="3"/>
        <v>-1.4671996237949703E-2</v>
      </c>
    </row>
    <row r="131" spans="1:10">
      <c r="A131" t="s">
        <v>144</v>
      </c>
      <c r="B131" s="1">
        <v>395.55</v>
      </c>
      <c r="C131" s="4">
        <f t="shared" si="2"/>
        <v>-1.5701985766187233E-2</v>
      </c>
      <c r="H131" t="s">
        <v>144</v>
      </c>
      <c r="I131" s="1">
        <v>207.67</v>
      </c>
      <c r="J131" s="4">
        <f t="shared" si="3"/>
        <v>-8.8770104519639847E-3</v>
      </c>
    </row>
    <row r="132" spans="1:10">
      <c r="A132" t="s">
        <v>145</v>
      </c>
      <c r="B132" s="1">
        <v>399.95</v>
      </c>
      <c r="C132" s="4">
        <f t="shared" si="2"/>
        <v>1.1123751738086151E-2</v>
      </c>
      <c r="H132" t="s">
        <v>145</v>
      </c>
      <c r="I132" s="1">
        <v>211.74</v>
      </c>
      <c r="J132" s="4">
        <f t="shared" si="3"/>
        <v>1.9598401309770416E-2</v>
      </c>
    </row>
    <row r="133" spans="1:10">
      <c r="A133" t="s">
        <v>146</v>
      </c>
      <c r="B133" s="1">
        <v>399.41</v>
      </c>
      <c r="C133" s="4">
        <f t="shared" si="2"/>
        <v>-1.3501687710962961E-3</v>
      </c>
      <c r="H133" t="s">
        <v>146</v>
      </c>
      <c r="I133" s="1">
        <v>215.2</v>
      </c>
      <c r="J133" s="4">
        <f t="shared" si="3"/>
        <v>1.6340795315008875E-2</v>
      </c>
    </row>
    <row r="134" spans="1:10">
      <c r="A134" t="s">
        <v>147</v>
      </c>
      <c r="B134" s="1">
        <v>391.79</v>
      </c>
      <c r="C134" s="4">
        <f t="shared" si="2"/>
        <v>-1.9078140256878907E-2</v>
      </c>
      <c r="H134" t="s">
        <v>147</v>
      </c>
      <c r="I134" s="1">
        <v>209.87</v>
      </c>
      <c r="J134" s="4">
        <f t="shared" si="3"/>
        <v>-2.4767657992564984E-2</v>
      </c>
    </row>
    <row r="135" spans="1:10">
      <c r="A135" t="s">
        <v>148</v>
      </c>
      <c r="B135" s="1">
        <v>389.02</v>
      </c>
      <c r="C135" s="4">
        <f t="shared" si="2"/>
        <v>-7.0701140917329144E-3</v>
      </c>
      <c r="H135" t="s">
        <v>148</v>
      </c>
      <c r="I135" s="1">
        <v>208.76</v>
      </c>
      <c r="J135" s="4">
        <f t="shared" si="3"/>
        <v>-5.2889884214037909E-3</v>
      </c>
    </row>
    <row r="136" spans="1:10">
      <c r="A136" t="s">
        <v>149</v>
      </c>
      <c r="B136" s="1">
        <v>381.87</v>
      </c>
      <c r="C136" s="4">
        <f t="shared" si="2"/>
        <v>-1.8379517762582842E-2</v>
      </c>
      <c r="H136" t="s">
        <v>149</v>
      </c>
      <c r="I136" s="1">
        <v>205.37</v>
      </c>
      <c r="J136" s="4">
        <f t="shared" si="3"/>
        <v>-1.6238743054224881E-2</v>
      </c>
    </row>
    <row r="137" spans="1:10">
      <c r="A137" t="s">
        <v>150</v>
      </c>
      <c r="B137" s="1">
        <v>383</v>
      </c>
      <c r="C137" s="4">
        <f t="shared" si="2"/>
        <v>2.9591222143661336E-3</v>
      </c>
      <c r="H137" t="s">
        <v>150</v>
      </c>
      <c r="I137" s="1">
        <v>210.14</v>
      </c>
      <c r="J137" s="4">
        <f t="shared" si="3"/>
        <v>2.3226371914106158E-2</v>
      </c>
    </row>
    <row r="138" spans="1:10">
      <c r="A138" t="s">
        <v>151</v>
      </c>
      <c r="B138" s="1">
        <v>372.74</v>
      </c>
      <c r="C138" s="4">
        <f t="shared" si="2"/>
        <v>-2.6788511749347235E-2</v>
      </c>
      <c r="H138" t="s">
        <v>151</v>
      </c>
      <c r="I138" s="1">
        <v>207.24</v>
      </c>
      <c r="J138" s="4">
        <f t="shared" si="3"/>
        <v>-1.3800323593794506E-2</v>
      </c>
    </row>
    <row r="139" spans="1:10">
      <c r="A139" t="s">
        <v>152</v>
      </c>
      <c r="B139" s="1">
        <v>371.04</v>
      </c>
      <c r="C139" s="4">
        <f t="shared" si="2"/>
        <v>-4.5608198744432815E-3</v>
      </c>
      <c r="H139" t="s">
        <v>152</v>
      </c>
      <c r="I139" s="1">
        <v>211.71</v>
      </c>
      <c r="J139" s="4">
        <f t="shared" si="3"/>
        <v>2.156919513607411E-2</v>
      </c>
    </row>
    <row r="140" spans="1:10">
      <c r="A140" t="s">
        <v>153</v>
      </c>
      <c r="B140" s="1">
        <v>365.97</v>
      </c>
      <c r="C140" s="4">
        <f t="shared" si="2"/>
        <v>-1.3664294954721844E-2</v>
      </c>
      <c r="H140" t="s">
        <v>153</v>
      </c>
      <c r="I140" s="1">
        <v>207.54</v>
      </c>
      <c r="J140" s="4">
        <f t="shared" si="3"/>
        <v>-1.969675499504046E-2</v>
      </c>
    </row>
    <row r="141" spans="1:10">
      <c r="A141" t="s">
        <v>154</v>
      </c>
      <c r="B141" s="1">
        <v>356.77</v>
      </c>
      <c r="C141" s="4">
        <f t="shared" ref="C141:C204" si="4">(B141-B140)/B140</f>
        <v>-2.5138672568789915E-2</v>
      </c>
      <c r="H141" t="s">
        <v>154</v>
      </c>
      <c r="I141" s="1">
        <v>199.34</v>
      </c>
      <c r="J141" s="4">
        <f t="shared" ref="J141:J204" si="5">(I141-I140)/I140</f>
        <v>-3.9510455815746311E-2</v>
      </c>
    </row>
    <row r="142" spans="1:10">
      <c r="A142" t="s">
        <v>155</v>
      </c>
      <c r="B142" s="1">
        <v>358.96</v>
      </c>
      <c r="C142" s="4">
        <f t="shared" si="4"/>
        <v>6.1384084984723994E-3</v>
      </c>
      <c r="H142" t="s">
        <v>155</v>
      </c>
      <c r="I142" s="1">
        <v>200.95</v>
      </c>
      <c r="J142" s="4">
        <f t="shared" si="5"/>
        <v>8.0766529547506034E-3</v>
      </c>
    </row>
    <row r="143" spans="1:10">
      <c r="A143" t="s">
        <v>156</v>
      </c>
      <c r="B143" s="1">
        <v>370.17</v>
      </c>
      <c r="C143" s="4">
        <f t="shared" si="4"/>
        <v>3.1229106307109532E-2</v>
      </c>
      <c r="H143" t="s">
        <v>156</v>
      </c>
      <c r="I143" s="1">
        <v>208.27</v>
      </c>
      <c r="J143" s="4">
        <f t="shared" si="5"/>
        <v>3.6426971883553233E-2</v>
      </c>
    </row>
    <row r="144" spans="1:10">
      <c r="A144" t="s">
        <v>157</v>
      </c>
      <c r="B144" s="1">
        <v>369.37</v>
      </c>
      <c r="C144" s="4">
        <f t="shared" si="4"/>
        <v>-2.1611691925331909E-3</v>
      </c>
      <c r="H144" t="s">
        <v>157</v>
      </c>
      <c r="I144" s="1">
        <v>210.57</v>
      </c>
      <c r="J144" s="4">
        <f t="shared" si="5"/>
        <v>1.1043357180582815E-2</v>
      </c>
    </row>
    <row r="145" spans="1:10">
      <c r="A145" t="s">
        <v>158</v>
      </c>
      <c r="B145" s="1">
        <v>373.46</v>
      </c>
      <c r="C145" s="4">
        <f t="shared" si="4"/>
        <v>1.1072907924303476E-2</v>
      </c>
      <c r="H145" t="s">
        <v>158</v>
      </c>
      <c r="I145" s="1">
        <v>209.77</v>
      </c>
      <c r="J145" s="4">
        <f t="shared" si="5"/>
        <v>-3.7992116635797261E-3</v>
      </c>
    </row>
    <row r="146" spans="1:10">
      <c r="A146" t="s">
        <v>159</v>
      </c>
      <c r="B146" s="1">
        <v>372.88</v>
      </c>
      <c r="C146" s="4">
        <f t="shared" si="4"/>
        <v>-1.5530445027579502E-3</v>
      </c>
      <c r="H146" t="s">
        <v>159</v>
      </c>
      <c r="I146" s="1">
        <v>212.79</v>
      </c>
      <c r="J146" s="4">
        <f t="shared" si="5"/>
        <v>1.4396720217380853E-2</v>
      </c>
    </row>
    <row r="147" spans="1:10">
      <c r="A147" t="s">
        <v>160</v>
      </c>
      <c r="B147" s="1">
        <v>372.29</v>
      </c>
      <c r="C147" s="4">
        <f t="shared" si="4"/>
        <v>-1.5822784810125912E-3</v>
      </c>
      <c r="H147" t="s">
        <v>160</v>
      </c>
      <c r="I147" s="1">
        <v>213.77</v>
      </c>
      <c r="J147" s="4">
        <f t="shared" si="5"/>
        <v>4.6054795808074542E-3</v>
      </c>
    </row>
    <row r="148" spans="1:10">
      <c r="A148" t="s">
        <v>161</v>
      </c>
      <c r="B148" s="1">
        <v>374.33</v>
      </c>
      <c r="C148" s="4">
        <f t="shared" si="4"/>
        <v>5.4795992371537341E-3</v>
      </c>
      <c r="H148" t="s">
        <v>161</v>
      </c>
      <c r="I148" s="1">
        <v>221.25</v>
      </c>
      <c r="J148" s="4">
        <f t="shared" si="5"/>
        <v>3.4990878046498523E-2</v>
      </c>
    </row>
    <row r="149" spans="1:10">
      <c r="A149" t="s">
        <v>162</v>
      </c>
      <c r="B149" s="1">
        <v>373.07</v>
      </c>
      <c r="C149" s="4">
        <f t="shared" si="4"/>
        <v>-3.3660139449148904E-3</v>
      </c>
      <c r="H149" t="s">
        <v>162</v>
      </c>
      <c r="I149" s="1">
        <v>233.65</v>
      </c>
      <c r="J149" s="4">
        <f t="shared" si="5"/>
        <v>5.6045197740113017E-2</v>
      </c>
    </row>
    <row r="150" spans="1:10">
      <c r="A150" t="s">
        <v>163</v>
      </c>
      <c r="B150" s="1">
        <v>370.87</v>
      </c>
      <c r="C150" s="4">
        <f t="shared" si="4"/>
        <v>-5.8970166456696832E-3</v>
      </c>
      <c r="H150" t="s">
        <v>163</v>
      </c>
      <c r="I150" s="1">
        <v>238.38</v>
      </c>
      <c r="J150" s="4">
        <f t="shared" si="5"/>
        <v>2.024395463299803E-2</v>
      </c>
    </row>
    <row r="151" spans="1:10">
      <c r="A151" t="s">
        <v>164</v>
      </c>
      <c r="B151" s="1">
        <v>384.37</v>
      </c>
      <c r="C151" s="4">
        <f t="shared" si="4"/>
        <v>3.6400895192385471E-2</v>
      </c>
      <c r="H151" t="s">
        <v>164</v>
      </c>
      <c r="I151" s="1">
        <v>239.89</v>
      </c>
      <c r="J151" s="4">
        <f t="shared" si="5"/>
        <v>6.3344240288614436E-3</v>
      </c>
    </row>
    <row r="152" spans="1:10">
      <c r="A152" t="s">
        <v>165</v>
      </c>
      <c r="B152" s="1">
        <v>393.11</v>
      </c>
      <c r="C152" s="4">
        <f t="shared" si="4"/>
        <v>2.2738507167572936E-2</v>
      </c>
      <c r="H152" t="s">
        <v>165</v>
      </c>
      <c r="I152" s="1">
        <v>249.02</v>
      </c>
      <c r="J152" s="4">
        <f t="shared" si="5"/>
        <v>3.8059110425611838E-2</v>
      </c>
    </row>
    <row r="153" spans="1:10">
      <c r="A153" t="s">
        <v>166</v>
      </c>
      <c r="B153" s="1">
        <v>411.22</v>
      </c>
      <c r="C153" s="4">
        <f t="shared" si="4"/>
        <v>4.6068530436773454E-2</v>
      </c>
      <c r="H153" t="s">
        <v>166</v>
      </c>
      <c r="I153" s="1">
        <v>248.5</v>
      </c>
      <c r="J153" s="4">
        <f t="shared" si="5"/>
        <v>-2.0881856878965954E-3</v>
      </c>
    </row>
    <row r="154" spans="1:10">
      <c r="A154" t="s">
        <v>167</v>
      </c>
      <c r="B154" s="1">
        <v>420.26</v>
      </c>
      <c r="C154" s="4">
        <f t="shared" si="4"/>
        <v>2.1983366567773849E-2</v>
      </c>
      <c r="H154" t="s">
        <v>167</v>
      </c>
      <c r="I154" s="1">
        <v>249.7</v>
      </c>
      <c r="J154" s="4">
        <f t="shared" si="5"/>
        <v>4.828973843058304E-3</v>
      </c>
    </row>
    <row r="155" spans="1:10">
      <c r="A155" t="s">
        <v>168</v>
      </c>
      <c r="B155" s="1">
        <v>422.79</v>
      </c>
      <c r="C155" s="4">
        <f t="shared" si="4"/>
        <v>6.0200828058821435E-3</v>
      </c>
      <c r="H155" t="s">
        <v>168</v>
      </c>
      <c r="I155" s="1">
        <v>250.56</v>
      </c>
      <c r="J155" s="4">
        <f t="shared" si="5"/>
        <v>3.4441329595515167E-3</v>
      </c>
    </row>
    <row r="156" spans="1:10">
      <c r="A156" t="s">
        <v>169</v>
      </c>
      <c r="B156" s="1">
        <v>418.07</v>
      </c>
      <c r="C156" s="4">
        <f t="shared" si="4"/>
        <v>-1.1163934813973904E-2</v>
      </c>
      <c r="H156" t="s">
        <v>169</v>
      </c>
      <c r="I156" s="1">
        <v>248.28</v>
      </c>
      <c r="J156" s="4">
        <f t="shared" si="5"/>
        <v>-9.0996168582375518E-3</v>
      </c>
    </row>
    <row r="157" spans="1:10">
      <c r="A157" t="s">
        <v>170</v>
      </c>
      <c r="B157" s="1">
        <v>424.16</v>
      </c>
      <c r="C157" s="4">
        <f t="shared" si="4"/>
        <v>1.4566938550960442E-2</v>
      </c>
      <c r="H157" t="s">
        <v>170</v>
      </c>
      <c r="I157" s="1">
        <v>249.91</v>
      </c>
      <c r="J157" s="4">
        <f t="shared" si="5"/>
        <v>6.5651683583051214E-3</v>
      </c>
    </row>
    <row r="158" spans="1:10">
      <c r="A158" t="s">
        <v>171</v>
      </c>
      <c r="B158" s="1">
        <v>432.92</v>
      </c>
      <c r="C158" s="4">
        <f t="shared" si="4"/>
        <v>2.0652583930592206E-2</v>
      </c>
      <c r="H158" t="s">
        <v>171</v>
      </c>
      <c r="I158" s="1">
        <v>255.36</v>
      </c>
      <c r="J158" s="4">
        <f t="shared" si="5"/>
        <v>2.1807850826297534E-2</v>
      </c>
    </row>
    <row r="159" spans="1:10">
      <c r="A159" t="s">
        <v>172</v>
      </c>
      <c r="B159" s="1">
        <v>415.75</v>
      </c>
      <c r="C159" s="4">
        <f t="shared" si="4"/>
        <v>-3.9660907326988855E-2</v>
      </c>
      <c r="H159" t="s">
        <v>172</v>
      </c>
      <c r="I159" s="1">
        <v>255.08</v>
      </c>
      <c r="J159" s="4">
        <f t="shared" si="5"/>
        <v>-1.0964912280701799E-3</v>
      </c>
    </row>
    <row r="160" spans="1:10">
      <c r="A160" t="s">
        <v>173</v>
      </c>
      <c r="B160" s="1">
        <v>424.62</v>
      </c>
      <c r="C160" s="4">
        <f t="shared" si="4"/>
        <v>2.133493686109442E-2</v>
      </c>
      <c r="H160" t="s">
        <v>173</v>
      </c>
      <c r="I160" s="1">
        <v>263.99</v>
      </c>
      <c r="J160" s="4">
        <f t="shared" si="5"/>
        <v>3.4930217970832664E-2</v>
      </c>
    </row>
    <row r="161" spans="1:10">
      <c r="A161" t="s">
        <v>174</v>
      </c>
      <c r="B161" s="1">
        <v>424.82</v>
      </c>
      <c r="C161" s="4">
        <f t="shared" si="4"/>
        <v>4.7100937308649767E-4</v>
      </c>
      <c r="H161" t="s">
        <v>174</v>
      </c>
      <c r="I161" s="1">
        <v>261.12</v>
      </c>
      <c r="J161" s="4">
        <f t="shared" si="5"/>
        <v>-1.0871623925148696E-2</v>
      </c>
    </row>
    <row r="162" spans="1:10">
      <c r="A162" t="s">
        <v>175</v>
      </c>
      <c r="B162" s="1">
        <v>429.25</v>
      </c>
      <c r="C162" s="4">
        <f t="shared" si="4"/>
        <v>1.0427945953580356E-2</v>
      </c>
      <c r="H162" t="s">
        <v>175</v>
      </c>
      <c r="I162" s="1">
        <v>259.7</v>
      </c>
      <c r="J162" s="4">
        <f t="shared" si="5"/>
        <v>-5.4381127450980997E-3</v>
      </c>
    </row>
    <row r="163" spans="1:10">
      <c r="A163" t="s">
        <v>176</v>
      </c>
      <c r="B163" s="1">
        <v>424.46</v>
      </c>
      <c r="C163" s="4">
        <f t="shared" si="4"/>
        <v>-1.11589982527665E-2</v>
      </c>
      <c r="H163" t="s">
        <v>176</v>
      </c>
      <c r="I163" s="1">
        <v>263.04000000000002</v>
      </c>
      <c r="J163" s="4">
        <f t="shared" si="5"/>
        <v>1.2860993453985491E-2</v>
      </c>
    </row>
    <row r="164" spans="1:10">
      <c r="A164" t="s">
        <v>177</v>
      </c>
      <c r="B164" s="1">
        <v>407.78</v>
      </c>
      <c r="C164" s="4">
        <f t="shared" si="4"/>
        <v>-3.9296989115582166E-2</v>
      </c>
      <c r="H164" t="s">
        <v>177</v>
      </c>
      <c r="I164" s="1">
        <v>265.06</v>
      </c>
      <c r="J164" s="4">
        <f t="shared" si="5"/>
        <v>7.6794403892943338E-3</v>
      </c>
    </row>
    <row r="165" spans="1:10">
      <c r="A165" t="s">
        <v>178</v>
      </c>
      <c r="B165" s="1">
        <v>414.44</v>
      </c>
      <c r="C165" s="4">
        <f t="shared" si="4"/>
        <v>1.6332336063563747E-2</v>
      </c>
      <c r="H165" t="s">
        <v>178</v>
      </c>
      <c r="I165" s="1">
        <v>268.26</v>
      </c>
      <c r="J165" s="4">
        <f t="shared" si="5"/>
        <v>1.207273824794382E-2</v>
      </c>
    </row>
    <row r="166" spans="1:10">
      <c r="A166" t="s">
        <v>179</v>
      </c>
      <c r="B166" s="1">
        <v>413.62</v>
      </c>
      <c r="C166" s="4">
        <f t="shared" si="4"/>
        <v>-1.978573496766705E-3</v>
      </c>
      <c r="H166" t="s">
        <v>179</v>
      </c>
      <c r="I166" s="1">
        <v>272.05</v>
      </c>
      <c r="J166" s="4">
        <f t="shared" si="5"/>
        <v>1.4128084693953704E-2</v>
      </c>
    </row>
    <row r="167" spans="1:10">
      <c r="A167" t="s">
        <v>180</v>
      </c>
      <c r="B167" s="1">
        <v>411.38</v>
      </c>
      <c r="C167" s="4">
        <f t="shared" si="4"/>
        <v>-5.4155988588559766E-3</v>
      </c>
      <c r="H167" t="s">
        <v>180</v>
      </c>
      <c r="I167" s="1">
        <v>273.55</v>
      </c>
      <c r="J167" s="4">
        <f t="shared" si="5"/>
        <v>5.5136923359676527E-3</v>
      </c>
    </row>
    <row r="168" spans="1:10">
      <c r="A168" t="s">
        <v>181</v>
      </c>
      <c r="B168" s="1">
        <v>413.96</v>
      </c>
      <c r="C168" s="4">
        <f t="shared" si="4"/>
        <v>6.2715737274538965E-3</v>
      </c>
      <c r="H168" t="s">
        <v>181</v>
      </c>
      <c r="I168" s="1">
        <v>274.99</v>
      </c>
      <c r="J168" s="4">
        <f t="shared" si="5"/>
        <v>5.2641199049533825E-3</v>
      </c>
    </row>
    <row r="169" spans="1:10">
      <c r="A169" t="s">
        <v>182</v>
      </c>
      <c r="B169" s="1">
        <v>420.77</v>
      </c>
      <c r="C169" s="4">
        <f t="shared" si="4"/>
        <v>1.6450864817856806E-2</v>
      </c>
      <c r="H169" t="s">
        <v>182</v>
      </c>
      <c r="I169" s="1">
        <v>271.17</v>
      </c>
      <c r="J169" s="4">
        <f t="shared" si="5"/>
        <v>-1.3891414233244821E-2</v>
      </c>
    </row>
    <row r="170" spans="1:10">
      <c r="A170" t="s">
        <v>183</v>
      </c>
      <c r="B170" s="1">
        <v>415.12</v>
      </c>
      <c r="C170" s="4">
        <f t="shared" si="4"/>
        <v>-1.3427763386172915E-2</v>
      </c>
      <c r="H170" t="s">
        <v>183</v>
      </c>
      <c r="I170" s="1">
        <v>272.68</v>
      </c>
      <c r="J170" s="4">
        <f t="shared" si="5"/>
        <v>5.5684625880443664E-3</v>
      </c>
    </row>
    <row r="171" spans="1:10">
      <c r="A171" t="s">
        <v>184</v>
      </c>
      <c r="B171" s="1">
        <v>412.66</v>
      </c>
      <c r="C171" s="4">
        <f t="shared" si="4"/>
        <v>-5.9259973019849185E-3</v>
      </c>
      <c r="H171" t="s">
        <v>184</v>
      </c>
      <c r="I171" s="1">
        <v>268.99</v>
      </c>
      <c r="J171" s="4">
        <f t="shared" si="5"/>
        <v>-1.3532345606571797E-2</v>
      </c>
    </row>
    <row r="172" spans="1:10">
      <c r="A172" t="s">
        <v>185</v>
      </c>
      <c r="B172" s="1">
        <v>407.77</v>
      </c>
      <c r="C172" s="4">
        <f t="shared" si="4"/>
        <v>-1.1849949110648095E-2</v>
      </c>
      <c r="H172" t="s">
        <v>185</v>
      </c>
      <c r="I172" s="1">
        <v>265.82</v>
      </c>
      <c r="J172" s="4">
        <f t="shared" si="5"/>
        <v>-1.1784824714673467E-2</v>
      </c>
    </row>
    <row r="173" spans="1:10">
      <c r="A173" t="s">
        <v>186</v>
      </c>
      <c r="B173" s="1">
        <v>405.21</v>
      </c>
      <c r="C173" s="4">
        <f t="shared" si="4"/>
        <v>-6.2780489001152667E-3</v>
      </c>
      <c r="H173" t="s">
        <v>186</v>
      </c>
      <c r="I173" s="1">
        <v>270.13</v>
      </c>
      <c r="J173" s="4">
        <f t="shared" si="5"/>
        <v>1.6213979384545944E-2</v>
      </c>
    </row>
    <row r="174" spans="1:10">
      <c r="A174" t="s">
        <v>187</v>
      </c>
      <c r="B174" s="1">
        <v>409.43</v>
      </c>
      <c r="C174" s="4">
        <f t="shared" si="4"/>
        <v>1.0414353051504226E-2</v>
      </c>
      <c r="H174" t="s">
        <v>187</v>
      </c>
      <c r="I174" s="1">
        <v>267.22000000000003</v>
      </c>
      <c r="J174" s="4">
        <f t="shared" si="5"/>
        <v>-1.077259097471576E-2</v>
      </c>
    </row>
    <row r="175" spans="1:10">
      <c r="A175" t="s">
        <v>188</v>
      </c>
      <c r="B175" s="1">
        <v>421.92</v>
      </c>
      <c r="C175" s="4">
        <f t="shared" si="4"/>
        <v>3.0505825171580025E-2</v>
      </c>
      <c r="H175" t="s">
        <v>188</v>
      </c>
      <c r="I175" s="1">
        <v>264.14</v>
      </c>
      <c r="J175" s="4">
        <f t="shared" si="5"/>
        <v>-1.1526083376992891E-2</v>
      </c>
    </row>
    <row r="176" spans="1:10">
      <c r="A176" t="s">
        <v>189</v>
      </c>
      <c r="B176" s="1">
        <v>423.54</v>
      </c>
      <c r="C176" s="4">
        <f t="shared" si="4"/>
        <v>3.8395904436860175E-3</v>
      </c>
      <c r="H176" t="s">
        <v>189</v>
      </c>
      <c r="I176" s="1">
        <v>264.86</v>
      </c>
      <c r="J176" s="4">
        <f t="shared" si="5"/>
        <v>2.7258272128417782E-3</v>
      </c>
    </row>
    <row r="177" spans="1:10">
      <c r="A177" t="s">
        <v>190</v>
      </c>
      <c r="B177" s="1">
        <v>417.42</v>
      </c>
      <c r="C177" s="4">
        <f t="shared" si="4"/>
        <v>-1.4449638759031035E-2</v>
      </c>
      <c r="H177" t="s">
        <v>190</v>
      </c>
      <c r="I177" s="1">
        <v>259.33999999999997</v>
      </c>
      <c r="J177" s="4">
        <f t="shared" si="5"/>
        <v>-2.084119912406569E-2</v>
      </c>
    </row>
    <row r="178" spans="1:10">
      <c r="A178" t="s">
        <v>191</v>
      </c>
      <c r="B178" s="1">
        <v>421.06</v>
      </c>
      <c r="C178" s="4">
        <f t="shared" si="4"/>
        <v>8.7202338172583643E-3</v>
      </c>
      <c r="H178" t="s">
        <v>191</v>
      </c>
      <c r="I178" s="1">
        <v>265.01</v>
      </c>
      <c r="J178" s="4">
        <f t="shared" si="5"/>
        <v>2.1863191177604751E-2</v>
      </c>
    </row>
    <row r="179" spans="1:10">
      <c r="A179" t="s">
        <v>192</v>
      </c>
      <c r="B179" s="1">
        <v>419.09</v>
      </c>
      <c r="C179" s="4">
        <f t="shared" si="4"/>
        <v>-4.6786681233079068E-3</v>
      </c>
      <c r="H179" t="s">
        <v>192</v>
      </c>
      <c r="I179" s="1">
        <v>268.45999999999998</v>
      </c>
      <c r="J179" s="4">
        <f t="shared" si="5"/>
        <v>1.3018376665031466E-2</v>
      </c>
    </row>
    <row r="180" spans="1:10">
      <c r="A180" t="s">
        <v>193</v>
      </c>
      <c r="B180" s="1">
        <v>418.57</v>
      </c>
      <c r="C180" s="4">
        <f t="shared" si="4"/>
        <v>-1.2407836025674242E-3</v>
      </c>
      <c r="H180" t="s">
        <v>193</v>
      </c>
      <c r="I180" s="1">
        <v>266.32</v>
      </c>
      <c r="J180" s="4">
        <f t="shared" si="5"/>
        <v>-7.9713923862027355E-3</v>
      </c>
    </row>
    <row r="181" spans="1:10">
      <c r="A181" t="s">
        <v>194</v>
      </c>
      <c r="B181" s="1">
        <v>416.03</v>
      </c>
      <c r="C181" s="4">
        <f t="shared" si="4"/>
        <v>-6.06828009651915E-3</v>
      </c>
      <c r="H181" t="s">
        <v>194</v>
      </c>
      <c r="I181" s="1">
        <v>265.29000000000002</v>
      </c>
      <c r="J181" s="4">
        <f t="shared" si="5"/>
        <v>-3.8675277861218564E-3</v>
      </c>
    </row>
    <row r="182" spans="1:10">
      <c r="A182" t="s">
        <v>195</v>
      </c>
      <c r="B182" s="1">
        <v>412.67</v>
      </c>
      <c r="C182" s="4">
        <f t="shared" si="4"/>
        <v>-8.076340648510821E-3</v>
      </c>
      <c r="H182" t="s">
        <v>195</v>
      </c>
      <c r="I182" s="1">
        <v>271.85000000000002</v>
      </c>
      <c r="J182" s="4">
        <f t="shared" si="5"/>
        <v>2.4727656526819713E-2</v>
      </c>
    </row>
    <row r="183" spans="1:10">
      <c r="A183" t="s">
        <v>196</v>
      </c>
      <c r="B183" s="1">
        <v>426.99</v>
      </c>
      <c r="C183" s="4">
        <f t="shared" si="4"/>
        <v>3.4700850558557671E-2</v>
      </c>
      <c r="H183" t="s">
        <v>196</v>
      </c>
      <c r="I183" s="1">
        <v>274</v>
      </c>
      <c r="J183" s="4">
        <f t="shared" si="5"/>
        <v>7.9087732205259404E-3</v>
      </c>
    </row>
    <row r="184" spans="1:10">
      <c r="A184" t="s">
        <v>197</v>
      </c>
      <c r="B184" s="1">
        <v>450.24</v>
      </c>
      <c r="C184" s="4">
        <f t="shared" si="4"/>
        <v>5.4450923909225041E-2</v>
      </c>
      <c r="H184" t="s">
        <v>197</v>
      </c>
      <c r="I184" s="1">
        <v>270.64</v>
      </c>
      <c r="J184" s="4">
        <f t="shared" si="5"/>
        <v>-1.2262773722627787E-2</v>
      </c>
    </row>
    <row r="185" spans="1:10">
      <c r="A185" t="s">
        <v>198</v>
      </c>
      <c r="B185" s="1">
        <v>460.52</v>
      </c>
      <c r="C185" s="4">
        <f t="shared" si="4"/>
        <v>2.2832267235252248E-2</v>
      </c>
      <c r="H185" t="s">
        <v>198</v>
      </c>
      <c r="I185" s="1">
        <v>261.26</v>
      </c>
      <c r="J185" s="4">
        <f t="shared" si="5"/>
        <v>-3.4658587052911603E-2</v>
      </c>
    </row>
    <row r="186" spans="1:10">
      <c r="A186" t="s">
        <v>199</v>
      </c>
      <c r="B186" s="1">
        <v>441.31</v>
      </c>
      <c r="C186" s="4">
        <f t="shared" si="4"/>
        <v>-4.1713714930947582E-2</v>
      </c>
      <c r="H186" t="s">
        <v>199</v>
      </c>
      <c r="I186" s="1">
        <v>256.52</v>
      </c>
      <c r="J186" s="4">
        <f t="shared" si="5"/>
        <v>-1.8142846206843793E-2</v>
      </c>
    </row>
    <row r="187" spans="1:10">
      <c r="A187" t="s">
        <v>200</v>
      </c>
      <c r="B187" s="1">
        <v>427.34</v>
      </c>
      <c r="C187" s="4">
        <f t="shared" si="4"/>
        <v>-3.1655752192336517E-2</v>
      </c>
      <c r="H187" t="s">
        <v>200</v>
      </c>
      <c r="I187" s="1">
        <v>250.02</v>
      </c>
      <c r="J187" s="4">
        <f t="shared" si="5"/>
        <v>-2.5339154841727631E-2</v>
      </c>
    </row>
    <row r="188" spans="1:10">
      <c r="A188" t="s">
        <v>201</v>
      </c>
      <c r="B188" s="1">
        <v>428.05</v>
      </c>
      <c r="C188" s="4">
        <f t="shared" si="4"/>
        <v>1.6614405391492404E-3</v>
      </c>
      <c r="H188" t="s">
        <v>201</v>
      </c>
      <c r="I188" s="1">
        <v>253.79</v>
      </c>
      <c r="J188" s="4">
        <f t="shared" si="5"/>
        <v>1.5078793696504207E-2</v>
      </c>
    </row>
    <row r="189" spans="1:10">
      <c r="A189" t="s">
        <v>202</v>
      </c>
      <c r="B189" s="1">
        <v>416.67</v>
      </c>
      <c r="C189" s="4">
        <f t="shared" si="4"/>
        <v>-2.6585679243079068E-2</v>
      </c>
      <c r="H189" t="s">
        <v>202</v>
      </c>
      <c r="I189" s="1">
        <v>246.03</v>
      </c>
      <c r="J189" s="4">
        <f t="shared" si="5"/>
        <v>-3.0576460853461489E-2</v>
      </c>
    </row>
    <row r="190" spans="1:10">
      <c r="A190" t="s">
        <v>203</v>
      </c>
      <c r="B190" s="1">
        <v>411.74</v>
      </c>
      <c r="C190" s="4">
        <f t="shared" si="4"/>
        <v>-1.1831905344757258E-2</v>
      </c>
      <c r="H190" t="s">
        <v>203</v>
      </c>
      <c r="I190" s="1">
        <v>245.22</v>
      </c>
      <c r="J190" s="4">
        <f t="shared" si="5"/>
        <v>-3.2922814290940222E-3</v>
      </c>
    </row>
    <row r="191" spans="1:10">
      <c r="A191" t="s">
        <v>204</v>
      </c>
      <c r="B191" s="1">
        <v>403.41</v>
      </c>
      <c r="C191" s="4">
        <f t="shared" si="4"/>
        <v>-2.0231213872832332E-2</v>
      </c>
      <c r="H191" t="s">
        <v>204</v>
      </c>
      <c r="I191" s="1">
        <v>244.19</v>
      </c>
      <c r="J191" s="4">
        <f t="shared" si="5"/>
        <v>-4.2003099257809364E-3</v>
      </c>
    </row>
    <row r="192" spans="1:10">
      <c r="A192" t="s">
        <v>205</v>
      </c>
      <c r="B192" s="1">
        <v>397.36</v>
      </c>
      <c r="C192" s="4">
        <f t="shared" si="4"/>
        <v>-1.4997149302198783E-2</v>
      </c>
      <c r="H192" t="s">
        <v>205</v>
      </c>
      <c r="I192" s="1">
        <v>238</v>
      </c>
      <c r="J192" s="4">
        <f t="shared" si="5"/>
        <v>-2.5349113395306926E-2</v>
      </c>
    </row>
    <row r="193" spans="1:10">
      <c r="A193" t="s">
        <v>206</v>
      </c>
      <c r="B193" s="1">
        <v>390.34</v>
      </c>
      <c r="C193" s="4">
        <f t="shared" si="4"/>
        <v>-1.7666599557076803E-2</v>
      </c>
      <c r="H193" t="s">
        <v>206</v>
      </c>
      <c r="I193" s="1">
        <v>241.51</v>
      </c>
      <c r="J193" s="4">
        <f t="shared" si="5"/>
        <v>1.4747899159663827E-2</v>
      </c>
    </row>
    <row r="194" spans="1:10">
      <c r="A194" t="s">
        <v>207</v>
      </c>
      <c r="B194" s="1">
        <v>390.74</v>
      </c>
      <c r="C194" s="4">
        <f t="shared" si="4"/>
        <v>1.0247476558898246E-3</v>
      </c>
      <c r="H194" t="s">
        <v>207</v>
      </c>
      <c r="I194" s="1">
        <v>238.55</v>
      </c>
      <c r="J194" s="4">
        <f t="shared" si="5"/>
        <v>-1.2256221274481303E-2</v>
      </c>
    </row>
    <row r="195" spans="1:10">
      <c r="A195" t="s">
        <v>208</v>
      </c>
      <c r="B195" s="1">
        <v>399.76</v>
      </c>
      <c r="C195" s="4">
        <f t="shared" si="4"/>
        <v>2.3084403951476637E-2</v>
      </c>
      <c r="H195" t="s">
        <v>208</v>
      </c>
      <c r="I195" s="1">
        <v>246.02</v>
      </c>
      <c r="J195" s="4">
        <f t="shared" si="5"/>
        <v>3.131418989729616E-2</v>
      </c>
    </row>
    <row r="196" spans="1:10">
      <c r="A196" t="s">
        <v>209</v>
      </c>
      <c r="B196" s="1">
        <v>393.83</v>
      </c>
      <c r="C196" s="4">
        <f t="shared" si="4"/>
        <v>-1.483390034020414E-2</v>
      </c>
      <c r="H196" t="s">
        <v>209</v>
      </c>
      <c r="I196" s="1">
        <v>246</v>
      </c>
      <c r="J196" s="4">
        <f t="shared" si="5"/>
        <v>-8.1294203723316114E-5</v>
      </c>
    </row>
    <row r="197" spans="1:10">
      <c r="A197" t="s">
        <v>210</v>
      </c>
      <c r="B197" s="1">
        <v>378.91</v>
      </c>
      <c r="C197" s="4">
        <f t="shared" si="4"/>
        <v>-3.7884366350963511E-2</v>
      </c>
      <c r="H197" t="s">
        <v>210</v>
      </c>
      <c r="I197" s="1">
        <v>237.5</v>
      </c>
      <c r="J197" s="4">
        <f t="shared" si="5"/>
        <v>-3.4552845528455285E-2</v>
      </c>
    </row>
    <row r="198" spans="1:10">
      <c r="A198" t="s">
        <v>211</v>
      </c>
      <c r="B198" s="1">
        <v>379.4</v>
      </c>
      <c r="C198" s="4">
        <f t="shared" si="4"/>
        <v>1.2931830777755989E-3</v>
      </c>
      <c r="H198" t="s">
        <v>211</v>
      </c>
      <c r="I198" s="1">
        <v>244.39</v>
      </c>
      <c r="J198" s="4">
        <f t="shared" si="5"/>
        <v>2.9010526315789417E-2</v>
      </c>
    </row>
    <row r="199" spans="1:10">
      <c r="A199" t="s">
        <v>212</v>
      </c>
      <c r="B199" s="1">
        <v>367.34</v>
      </c>
      <c r="C199" s="4">
        <f t="shared" si="4"/>
        <v>-3.1787032156035851E-2</v>
      </c>
      <c r="H199" t="s">
        <v>212</v>
      </c>
      <c r="I199" s="1">
        <v>232.79</v>
      </c>
      <c r="J199" s="4">
        <f t="shared" si="5"/>
        <v>-4.7465117230655898E-2</v>
      </c>
    </row>
    <row r="200" spans="1:10">
      <c r="A200" t="s">
        <v>213</v>
      </c>
      <c r="B200" s="1">
        <v>373.94</v>
      </c>
      <c r="C200" s="4">
        <f t="shared" si="4"/>
        <v>1.7967006043447552E-2</v>
      </c>
      <c r="H200" t="s">
        <v>213</v>
      </c>
      <c r="I200" s="1">
        <v>234.11</v>
      </c>
      <c r="J200" s="4">
        <f t="shared" si="5"/>
        <v>5.6703466643757104E-3</v>
      </c>
    </row>
    <row r="201" spans="1:10">
      <c r="A201" t="s">
        <v>214</v>
      </c>
      <c r="B201" s="1">
        <v>365.46</v>
      </c>
      <c r="C201" s="4">
        <f t="shared" si="4"/>
        <v>-2.2677434882601537E-2</v>
      </c>
      <c r="H201" t="s">
        <v>214</v>
      </c>
      <c r="I201" s="1">
        <v>234.27</v>
      </c>
      <c r="J201" s="4">
        <f t="shared" si="5"/>
        <v>6.8343940882489677E-4</v>
      </c>
    </row>
    <row r="202" spans="1:10">
      <c r="A202" t="s">
        <v>215</v>
      </c>
      <c r="B202" s="1">
        <v>352.83</v>
      </c>
      <c r="C202" s="4">
        <f t="shared" si="4"/>
        <v>-3.4559185683795755E-2</v>
      </c>
      <c r="H202" t="s">
        <v>215</v>
      </c>
      <c r="I202" s="1">
        <v>227.01</v>
      </c>
      <c r="J202" s="4">
        <f t="shared" si="5"/>
        <v>-3.0989883467793654E-2</v>
      </c>
    </row>
    <row r="203" spans="1:10">
      <c r="A203" t="s">
        <v>216</v>
      </c>
      <c r="B203" s="1">
        <v>372.97</v>
      </c>
      <c r="C203" s="4">
        <f t="shared" si="4"/>
        <v>5.7081313947226833E-2</v>
      </c>
      <c r="H203" t="s">
        <v>216</v>
      </c>
      <c r="I203" s="1">
        <v>232.69</v>
      </c>
      <c r="J203" s="4">
        <f t="shared" si="5"/>
        <v>2.5020924188361778E-2</v>
      </c>
    </row>
    <row r="204" spans="1:10">
      <c r="A204" t="s">
        <v>217</v>
      </c>
      <c r="B204" s="1">
        <v>368.57</v>
      </c>
      <c r="C204" s="4">
        <f t="shared" si="4"/>
        <v>-1.1797195484891637E-2</v>
      </c>
      <c r="H204" t="s">
        <v>217</v>
      </c>
      <c r="I204" s="1">
        <v>240.14</v>
      </c>
      <c r="J204" s="4">
        <f t="shared" si="5"/>
        <v>3.20168464480639E-2</v>
      </c>
    </row>
    <row r="205" spans="1:10">
      <c r="A205" t="s">
        <v>218</v>
      </c>
      <c r="B205" s="1">
        <v>373.02</v>
      </c>
      <c r="C205" s="4">
        <f t="shared" ref="C205:C268" si="6">(B205-B204)/B204</f>
        <v>1.2073690208101551E-2</v>
      </c>
      <c r="H205" t="s">
        <v>218</v>
      </c>
      <c r="I205" s="1">
        <v>238.34</v>
      </c>
      <c r="J205" s="4">
        <f t="shared" ref="J205:J268" si="7">(I205-I204)/I204</f>
        <v>-7.4956275505954151E-3</v>
      </c>
    </row>
    <row r="206" spans="1:10">
      <c r="A206" t="s">
        <v>219</v>
      </c>
      <c r="B206" s="1">
        <v>384.28</v>
      </c>
      <c r="C206" s="4">
        <f t="shared" si="6"/>
        <v>3.0186049005415237E-2</v>
      </c>
      <c r="H206" t="s">
        <v>219</v>
      </c>
      <c r="I206" s="1">
        <v>241.7</v>
      </c>
      <c r="J206" s="4">
        <f t="shared" si="7"/>
        <v>1.4097507762020581E-2</v>
      </c>
    </row>
    <row r="207" spans="1:10">
      <c r="A207" t="s">
        <v>220</v>
      </c>
      <c r="B207" s="1">
        <v>390.49</v>
      </c>
      <c r="C207" s="4">
        <f t="shared" si="6"/>
        <v>1.6160091599875186E-2</v>
      </c>
      <c r="H207" t="s">
        <v>220</v>
      </c>
      <c r="I207" s="1">
        <v>242.67</v>
      </c>
      <c r="J207" s="4">
        <f t="shared" si="7"/>
        <v>4.0132395531650763E-3</v>
      </c>
    </row>
    <row r="208" spans="1:10">
      <c r="A208" t="s">
        <v>221</v>
      </c>
      <c r="B208" s="1">
        <v>386.74</v>
      </c>
      <c r="C208" s="4">
        <f t="shared" si="6"/>
        <v>-9.6033189070142636E-3</v>
      </c>
      <c r="H208" t="s">
        <v>221</v>
      </c>
      <c r="I208" s="1">
        <v>244.16</v>
      </c>
      <c r="J208" s="4">
        <f t="shared" si="7"/>
        <v>6.1400255490996385E-3</v>
      </c>
    </row>
    <row r="209" spans="1:10">
      <c r="A209" t="s">
        <v>222</v>
      </c>
      <c r="B209" s="1">
        <v>388.84</v>
      </c>
      <c r="C209" s="4">
        <f t="shared" si="6"/>
        <v>5.4300046542896151E-3</v>
      </c>
      <c r="H209" t="s">
        <v>222</v>
      </c>
      <c r="I209" s="1">
        <v>245.98</v>
      </c>
      <c r="J209" s="4">
        <f t="shared" si="7"/>
        <v>7.4541284403669443E-3</v>
      </c>
    </row>
    <row r="210" spans="1:10">
      <c r="A210" t="s">
        <v>223</v>
      </c>
      <c r="B210" s="1">
        <v>383.34</v>
      </c>
      <c r="C210" s="4">
        <f t="shared" si="6"/>
        <v>-1.4144635325583788E-2</v>
      </c>
      <c r="H210" t="s">
        <v>223</v>
      </c>
      <c r="I210" s="1">
        <v>243.62</v>
      </c>
      <c r="J210" s="4">
        <f t="shared" si="7"/>
        <v>-9.5942759573948502E-3</v>
      </c>
    </row>
    <row r="211" spans="1:10">
      <c r="A211" t="s">
        <v>224</v>
      </c>
      <c r="B211" s="1">
        <v>384.36</v>
      </c>
      <c r="C211" s="4">
        <f t="shared" si="6"/>
        <v>2.6608232900298396E-3</v>
      </c>
      <c r="H211" t="s">
        <v>224</v>
      </c>
      <c r="I211" s="1">
        <v>247.04</v>
      </c>
      <c r="J211" s="4">
        <f t="shared" si="7"/>
        <v>1.4038256300796271E-2</v>
      </c>
    </row>
    <row r="212" spans="1:10">
      <c r="A212" t="s">
        <v>225</v>
      </c>
      <c r="B212" s="1">
        <v>385.1</v>
      </c>
      <c r="C212" s="4">
        <f t="shared" si="6"/>
        <v>1.9252783848475623E-3</v>
      </c>
      <c r="H212" t="s">
        <v>225</v>
      </c>
      <c r="I212" s="1">
        <v>245.34</v>
      </c>
      <c r="J212" s="4">
        <f t="shared" si="7"/>
        <v>-6.881476683937778E-3</v>
      </c>
    </row>
    <row r="213" spans="1:10">
      <c r="A213" t="s">
        <v>226</v>
      </c>
      <c r="B213" s="1">
        <v>390.99</v>
      </c>
      <c r="C213" s="4">
        <f t="shared" si="6"/>
        <v>1.5294728641911155E-2</v>
      </c>
      <c r="H213" t="s">
        <v>226</v>
      </c>
      <c r="I213" s="1">
        <v>247.31</v>
      </c>
      <c r="J213" s="4">
        <f t="shared" si="7"/>
        <v>8.0296731067090524E-3</v>
      </c>
    </row>
    <row r="214" spans="1:10">
      <c r="A214" t="s">
        <v>227</v>
      </c>
      <c r="B214" s="1">
        <v>384.93</v>
      </c>
      <c r="C214" s="4">
        <f t="shared" si="6"/>
        <v>-1.549911762449168E-2</v>
      </c>
      <c r="H214" t="s">
        <v>227</v>
      </c>
      <c r="I214" s="1">
        <v>247.49</v>
      </c>
      <c r="J214" s="4">
        <f t="shared" si="7"/>
        <v>7.2783146658043278E-4</v>
      </c>
    </row>
    <row r="215" spans="1:10">
      <c r="A215" t="s">
        <v>228</v>
      </c>
      <c r="B215" s="1">
        <v>395.63</v>
      </c>
      <c r="C215" s="4">
        <f t="shared" si="6"/>
        <v>2.7797261839815002E-2</v>
      </c>
      <c r="H215" t="s">
        <v>228</v>
      </c>
      <c r="I215" s="1">
        <v>254.96</v>
      </c>
      <c r="J215" s="4">
        <f t="shared" si="7"/>
        <v>3.0183037698492864E-2</v>
      </c>
    </row>
    <row r="216" spans="1:10">
      <c r="A216" t="s">
        <v>229</v>
      </c>
      <c r="B216" s="1">
        <v>401.1</v>
      </c>
      <c r="C216" s="4">
        <f t="shared" si="6"/>
        <v>1.3826049591790379E-2</v>
      </c>
      <c r="H216" t="s">
        <v>229</v>
      </c>
      <c r="I216" s="1">
        <v>249.89</v>
      </c>
      <c r="J216" s="4">
        <f t="shared" si="7"/>
        <v>-1.988547223093827E-2</v>
      </c>
    </row>
    <row r="217" spans="1:10">
      <c r="A217" t="s">
        <v>230</v>
      </c>
      <c r="B217" s="1">
        <v>393.82</v>
      </c>
      <c r="C217" s="4">
        <f t="shared" si="6"/>
        <v>-1.8150087260034975E-2</v>
      </c>
      <c r="H217" t="s">
        <v>230</v>
      </c>
      <c r="I217" s="1">
        <v>247.23</v>
      </c>
      <c r="J217" s="4">
        <f t="shared" si="7"/>
        <v>-1.0644683660810743E-2</v>
      </c>
    </row>
    <row r="218" spans="1:10">
      <c r="A218" t="s">
        <v>231</v>
      </c>
      <c r="B218" s="1">
        <v>402.29</v>
      </c>
      <c r="C218" s="4">
        <f t="shared" si="6"/>
        <v>2.1507287593316812E-2</v>
      </c>
      <c r="H218" t="s">
        <v>231</v>
      </c>
      <c r="I218" s="1">
        <v>249.99</v>
      </c>
      <c r="J218" s="4">
        <f t="shared" si="7"/>
        <v>1.1163693726489583E-2</v>
      </c>
    </row>
    <row r="219" spans="1:10">
      <c r="A219" t="s">
        <v>232</v>
      </c>
      <c r="B219" s="1">
        <v>397.75</v>
      </c>
      <c r="C219" s="4">
        <f t="shared" si="6"/>
        <v>-1.1285391135747894E-2</v>
      </c>
      <c r="H219" t="s">
        <v>232</v>
      </c>
      <c r="I219" s="1">
        <v>247.55</v>
      </c>
      <c r="J219" s="4">
        <f t="shared" si="7"/>
        <v>-9.7603904156166148E-3</v>
      </c>
    </row>
    <row r="220" spans="1:10">
      <c r="A220" t="s">
        <v>233</v>
      </c>
      <c r="B220" s="1">
        <v>390.34</v>
      </c>
      <c r="C220" s="4">
        <f t="shared" si="6"/>
        <v>-1.862979258328102E-2</v>
      </c>
      <c r="H220" t="s">
        <v>233</v>
      </c>
      <c r="I220" s="1">
        <v>244.85</v>
      </c>
      <c r="J220" s="4">
        <f t="shared" si="7"/>
        <v>-1.0906887497475325E-2</v>
      </c>
    </row>
    <row r="221" spans="1:10">
      <c r="A221" t="s">
        <v>234</v>
      </c>
      <c r="B221" s="1">
        <v>381.58</v>
      </c>
      <c r="C221" s="4">
        <f t="shared" si="6"/>
        <v>-2.2441973663985221E-2</v>
      </c>
      <c r="H221" t="s">
        <v>234</v>
      </c>
      <c r="I221" s="1">
        <v>233.66</v>
      </c>
      <c r="J221" s="4">
        <f t="shared" si="7"/>
        <v>-4.5701449867265667E-2</v>
      </c>
    </row>
    <row r="222" spans="1:10">
      <c r="A222" t="s">
        <v>235</v>
      </c>
      <c r="B222" s="1">
        <v>381.7</v>
      </c>
      <c r="C222" s="4">
        <f t="shared" si="6"/>
        <v>3.1448189108445034E-4</v>
      </c>
      <c r="H222" t="s">
        <v>235</v>
      </c>
      <c r="I222" s="1">
        <v>232.11</v>
      </c>
      <c r="J222" s="4">
        <f t="shared" si="7"/>
        <v>-6.6335701446545532E-3</v>
      </c>
    </row>
    <row r="223" spans="1:10">
      <c r="A223" t="s">
        <v>236</v>
      </c>
      <c r="B223" s="1">
        <v>389.1</v>
      </c>
      <c r="C223" s="4">
        <f t="shared" si="6"/>
        <v>1.9386953104532444E-2</v>
      </c>
      <c r="H223" t="s">
        <v>236</v>
      </c>
      <c r="I223" s="1">
        <v>231.39</v>
      </c>
      <c r="J223" s="4">
        <f t="shared" si="7"/>
        <v>-3.1019775106631651E-3</v>
      </c>
    </row>
    <row r="224" spans="1:10">
      <c r="A224" t="s">
        <v>237</v>
      </c>
      <c r="B224" s="1">
        <v>393.35</v>
      </c>
      <c r="C224" s="4">
        <f t="shared" si="6"/>
        <v>1.0922641994345925E-2</v>
      </c>
      <c r="H224" t="s">
        <v>237</v>
      </c>
      <c r="I224" s="1">
        <v>230.86</v>
      </c>
      <c r="J224" s="4">
        <f t="shared" si="7"/>
        <v>-2.2905052076579485E-3</v>
      </c>
    </row>
    <row r="225" spans="1:10">
      <c r="A225" t="s">
        <v>238</v>
      </c>
      <c r="B225" s="1">
        <v>390.54</v>
      </c>
      <c r="C225" s="4">
        <f t="shared" si="6"/>
        <v>-7.1437650946993827E-3</v>
      </c>
      <c r="H225" t="s">
        <v>238</v>
      </c>
      <c r="I225" s="1">
        <v>226.65</v>
      </c>
      <c r="J225" s="4">
        <f t="shared" si="7"/>
        <v>-1.8236160443558899E-2</v>
      </c>
    </row>
    <row r="226" spans="1:10">
      <c r="A226" t="s">
        <v>239</v>
      </c>
      <c r="B226" s="1">
        <v>451.1</v>
      </c>
      <c r="C226" s="4">
        <f t="shared" si="6"/>
        <v>0.15506734265376146</v>
      </c>
      <c r="H226" t="s">
        <v>239</v>
      </c>
      <c r="I226" s="1">
        <v>235.5</v>
      </c>
      <c r="J226" s="4">
        <f t="shared" si="7"/>
        <v>3.9046988749172708E-2</v>
      </c>
    </row>
    <row r="227" spans="1:10">
      <c r="A227" t="s">
        <v>240</v>
      </c>
      <c r="B227" s="1">
        <v>464.72</v>
      </c>
      <c r="C227" s="4">
        <f t="shared" si="6"/>
        <v>3.0192861893150087E-2</v>
      </c>
      <c r="H227" t="s">
        <v>240</v>
      </c>
      <c r="I227" s="1">
        <v>271.58</v>
      </c>
      <c r="J227" s="4">
        <f t="shared" si="7"/>
        <v>0.15320594479830141</v>
      </c>
    </row>
    <row r="228" spans="1:10">
      <c r="A228" t="s">
        <v>241</v>
      </c>
      <c r="B228" s="1">
        <v>487.65</v>
      </c>
      <c r="C228" s="4">
        <f t="shared" si="6"/>
        <v>4.9341538991220409E-2</v>
      </c>
      <c r="H228" t="s">
        <v>241</v>
      </c>
      <c r="I228" s="1">
        <v>284.02</v>
      </c>
      <c r="J228" s="4">
        <f t="shared" si="7"/>
        <v>4.5806024007658881E-2</v>
      </c>
    </row>
    <row r="229" spans="1:10">
      <c r="A229" t="s">
        <v>242</v>
      </c>
      <c r="B229" s="1">
        <v>492.81</v>
      </c>
      <c r="C229" s="4">
        <f t="shared" si="6"/>
        <v>1.058135958166723E-2</v>
      </c>
      <c r="H229" t="s">
        <v>242</v>
      </c>
      <c r="I229" s="1">
        <v>277.42</v>
      </c>
      <c r="J229" s="4">
        <f t="shared" si="7"/>
        <v>-2.323780015491855E-2</v>
      </c>
    </row>
    <row r="230" spans="1:10">
      <c r="A230" t="s">
        <v>243</v>
      </c>
      <c r="B230" s="1">
        <v>487.46</v>
      </c>
      <c r="C230" s="4">
        <f t="shared" si="6"/>
        <v>-1.0856110874373538E-2</v>
      </c>
      <c r="H230" t="s">
        <v>243</v>
      </c>
      <c r="I230" s="1">
        <v>272.64999999999998</v>
      </c>
      <c r="J230" s="4">
        <f t="shared" si="7"/>
        <v>-1.7194146060125579E-2</v>
      </c>
    </row>
    <row r="231" spans="1:10">
      <c r="A231" t="s">
        <v>244</v>
      </c>
      <c r="B231" s="1">
        <v>499.86</v>
      </c>
      <c r="C231" s="4">
        <f t="shared" si="6"/>
        <v>2.5437984655151263E-2</v>
      </c>
      <c r="H231" t="s">
        <v>244</v>
      </c>
      <c r="I231" s="1">
        <v>272.26</v>
      </c>
      <c r="J231" s="4">
        <f t="shared" si="7"/>
        <v>-1.430405281496374E-3</v>
      </c>
    </row>
    <row r="232" spans="1:10">
      <c r="A232" t="s">
        <v>245</v>
      </c>
      <c r="B232" s="1">
        <v>499.99</v>
      </c>
      <c r="C232" s="4">
        <f t="shared" si="6"/>
        <v>2.6007282038969999E-4</v>
      </c>
      <c r="H232" t="s">
        <v>245</v>
      </c>
      <c r="I232" s="1">
        <v>274.48</v>
      </c>
      <c r="J232" s="4">
        <f t="shared" si="7"/>
        <v>8.153970469404347E-3</v>
      </c>
    </row>
    <row r="233" spans="1:10">
      <c r="A233" t="s">
        <v>246</v>
      </c>
      <c r="B233" s="1">
        <v>506.06</v>
      </c>
      <c r="C233" s="4">
        <f t="shared" si="6"/>
        <v>1.2140242804856084E-2</v>
      </c>
      <c r="H233" t="s">
        <v>246</v>
      </c>
      <c r="I233" s="1">
        <v>278.08999999999997</v>
      </c>
      <c r="J233" s="4">
        <f t="shared" si="7"/>
        <v>1.3152142232585094E-2</v>
      </c>
    </row>
    <row r="234" spans="1:10">
      <c r="A234" t="s">
        <v>247</v>
      </c>
      <c r="B234" s="1">
        <v>503.81</v>
      </c>
      <c r="C234" s="4">
        <f t="shared" si="6"/>
        <v>-4.4461131091174961E-3</v>
      </c>
      <c r="H234" t="s">
        <v>247</v>
      </c>
      <c r="I234" s="1">
        <v>272.27</v>
      </c>
      <c r="J234" s="4">
        <f t="shared" si="7"/>
        <v>-2.0928476392534767E-2</v>
      </c>
    </row>
    <row r="235" spans="1:10">
      <c r="A235" t="s">
        <v>248</v>
      </c>
      <c r="B235" s="1">
        <v>492.43</v>
      </c>
      <c r="C235" s="4">
        <f t="shared" si="6"/>
        <v>-2.2587880351719887E-2</v>
      </c>
      <c r="H235" t="s">
        <v>248</v>
      </c>
      <c r="I235" s="1">
        <v>267.27999999999997</v>
      </c>
      <c r="J235" s="4">
        <f t="shared" si="7"/>
        <v>-1.832739559995596E-2</v>
      </c>
    </row>
    <row r="236" spans="1:10">
      <c r="A236" t="s">
        <v>249</v>
      </c>
      <c r="B236" s="1">
        <v>496.88</v>
      </c>
      <c r="C236" s="4">
        <f t="shared" si="6"/>
        <v>9.0368174156732709E-3</v>
      </c>
      <c r="H236" t="s">
        <v>249</v>
      </c>
      <c r="I236" s="1">
        <v>265.13</v>
      </c>
      <c r="J236" s="4">
        <f t="shared" si="7"/>
        <v>-8.0439988027535825E-3</v>
      </c>
    </row>
    <row r="237" spans="1:10">
      <c r="A237" t="s">
        <v>250</v>
      </c>
      <c r="B237" s="1">
        <v>495.4</v>
      </c>
      <c r="C237" s="4">
        <f t="shared" si="6"/>
        <v>-2.978586379005028E-3</v>
      </c>
      <c r="H237" t="s">
        <v>250</v>
      </c>
      <c r="I237" s="1">
        <v>262.64999999999998</v>
      </c>
      <c r="J237" s="4">
        <f t="shared" si="7"/>
        <v>-9.3539018594652364E-3</v>
      </c>
    </row>
    <row r="238" spans="1:10">
      <c r="A238" t="s">
        <v>251</v>
      </c>
      <c r="B238" s="1">
        <v>480.35</v>
      </c>
      <c r="C238" s="4">
        <f t="shared" si="6"/>
        <v>-3.0379491320145245E-2</v>
      </c>
      <c r="H238" t="s">
        <v>251</v>
      </c>
      <c r="I238" s="1">
        <v>261.31</v>
      </c>
      <c r="J238" s="4">
        <f t="shared" si="7"/>
        <v>-5.1018465638681711E-3</v>
      </c>
    </row>
    <row r="239" spans="1:10">
      <c r="A239" t="s">
        <v>252</v>
      </c>
      <c r="B239" s="1">
        <v>481.63</v>
      </c>
      <c r="C239" s="4">
        <f t="shared" si="6"/>
        <v>2.6647236390131626E-3</v>
      </c>
      <c r="H239" t="s">
        <v>252</v>
      </c>
      <c r="I239" s="1">
        <v>259.45</v>
      </c>
      <c r="J239" s="4">
        <f t="shared" si="7"/>
        <v>-7.1179824729249302E-3</v>
      </c>
    </row>
    <row r="240" spans="1:10">
      <c r="A240" t="s">
        <v>253</v>
      </c>
      <c r="B240" s="1">
        <v>484.31</v>
      </c>
      <c r="C240" s="4">
        <f t="shared" si="6"/>
        <v>5.564437431223152E-3</v>
      </c>
      <c r="H240" t="s">
        <v>253</v>
      </c>
      <c r="I240" s="1">
        <v>265.83999999999997</v>
      </c>
      <c r="J240" s="4">
        <f t="shared" si="7"/>
        <v>2.4629022933127718E-2</v>
      </c>
    </row>
    <row r="241" spans="1:10">
      <c r="A241" t="s">
        <v>254</v>
      </c>
      <c r="B241" s="1">
        <v>481.15</v>
      </c>
      <c r="C241" s="4">
        <f t="shared" si="6"/>
        <v>-6.5247465466334066E-3</v>
      </c>
      <c r="H241" t="s">
        <v>254</v>
      </c>
      <c r="I241" s="1">
        <v>260.11</v>
      </c>
      <c r="J241" s="4">
        <f t="shared" si="7"/>
        <v>-2.1554318386999557E-2</v>
      </c>
    </row>
    <row r="242" spans="1:10">
      <c r="A242" t="s">
        <v>255</v>
      </c>
      <c r="B242" s="1">
        <v>483.24</v>
      </c>
      <c r="C242" s="4">
        <f t="shared" si="6"/>
        <v>4.3437597422841777E-3</v>
      </c>
      <c r="H242" t="s">
        <v>255</v>
      </c>
      <c r="I242" s="1">
        <v>258.63</v>
      </c>
      <c r="J242" s="4">
        <f t="shared" si="7"/>
        <v>-5.6899004267426017E-3</v>
      </c>
    </row>
    <row r="243" spans="1:10">
      <c r="A243" t="s">
        <v>256</v>
      </c>
      <c r="B243" s="1">
        <v>487.31</v>
      </c>
      <c r="C243" s="4">
        <f t="shared" si="6"/>
        <v>8.4223160334409262E-3</v>
      </c>
      <c r="H243" t="s">
        <v>256</v>
      </c>
      <c r="I243" s="1">
        <v>262.07</v>
      </c>
      <c r="J243" s="4">
        <f t="shared" si="7"/>
        <v>1.3300854502571232E-2</v>
      </c>
    </row>
    <row r="244" spans="1:10">
      <c r="A244" t="s">
        <v>257</v>
      </c>
      <c r="B244" s="1">
        <v>491.71</v>
      </c>
      <c r="C244" s="4">
        <f t="shared" si="6"/>
        <v>9.02916008290406E-3</v>
      </c>
      <c r="H244" t="s">
        <v>257</v>
      </c>
      <c r="I244" s="1">
        <v>261.06</v>
      </c>
      <c r="J244" s="4">
        <f t="shared" si="7"/>
        <v>-3.8539321555309306E-3</v>
      </c>
    </row>
    <row r="245" spans="1:10">
      <c r="A245" t="s">
        <v>258</v>
      </c>
      <c r="B245" s="1">
        <v>496.37</v>
      </c>
      <c r="C245" s="4">
        <f t="shared" si="6"/>
        <v>9.4771308291473136E-3</v>
      </c>
      <c r="H245" t="s">
        <v>258</v>
      </c>
      <c r="I245" s="1">
        <v>260.27999999999997</v>
      </c>
      <c r="J245" s="4">
        <f t="shared" si="7"/>
        <v>-2.9878188922088009E-3</v>
      </c>
    </row>
    <row r="246" spans="1:10">
      <c r="A246" t="s">
        <v>259</v>
      </c>
      <c r="B246" s="1">
        <v>505.06</v>
      </c>
      <c r="C246" s="4">
        <f t="shared" si="6"/>
        <v>1.7507101557306039E-2</v>
      </c>
      <c r="H246" t="s">
        <v>259</v>
      </c>
      <c r="I246" s="1">
        <v>256.26</v>
      </c>
      <c r="J246" s="4">
        <f t="shared" si="7"/>
        <v>-1.5444905486399194E-2</v>
      </c>
    </row>
    <row r="247" spans="1:10">
      <c r="A247" t="s">
        <v>260</v>
      </c>
      <c r="B247" s="1">
        <v>513.53</v>
      </c>
      <c r="C247" s="4">
        <f t="shared" si="6"/>
        <v>1.6770284718647232E-2</v>
      </c>
      <c r="H247" t="s">
        <v>260</v>
      </c>
      <c r="I247" s="1">
        <v>266.43</v>
      </c>
      <c r="J247" s="4">
        <f t="shared" si="7"/>
        <v>3.9686256146101682E-2</v>
      </c>
    </row>
    <row r="248" spans="1:10">
      <c r="A248" t="s">
        <v>261</v>
      </c>
      <c r="B248" s="1">
        <v>507.29</v>
      </c>
      <c r="C248" s="4">
        <f t="shared" si="6"/>
        <v>-1.2151188830253252E-2</v>
      </c>
      <c r="H248" t="s">
        <v>261</v>
      </c>
      <c r="I248" s="1">
        <v>259.77</v>
      </c>
      <c r="J248" s="4">
        <f t="shared" si="7"/>
        <v>-2.4997185001689091E-2</v>
      </c>
    </row>
    <row r="249" spans="1:10">
      <c r="A249" t="s">
        <v>262</v>
      </c>
      <c r="B249" s="1">
        <v>501.02</v>
      </c>
      <c r="C249" s="4">
        <f t="shared" si="6"/>
        <v>-1.2359794200555971E-2</v>
      </c>
      <c r="H249" t="s">
        <v>262</v>
      </c>
      <c r="I249" s="1">
        <v>254.92</v>
      </c>
      <c r="J249" s="4">
        <f t="shared" si="7"/>
        <v>-1.8670362243523097E-2</v>
      </c>
    </row>
    <row r="250" spans="1:10">
      <c r="A250" t="s">
        <v>263</v>
      </c>
      <c r="B250" s="1">
        <v>496.82</v>
      </c>
      <c r="C250" s="4">
        <f t="shared" si="6"/>
        <v>-8.3828988862719826E-3</v>
      </c>
      <c r="H250" t="s">
        <v>263</v>
      </c>
      <c r="I250" s="1">
        <v>254.98</v>
      </c>
      <c r="J250" s="4">
        <f t="shared" si="7"/>
        <v>2.3536795857524823E-4</v>
      </c>
    </row>
    <row r="251" spans="1:10">
      <c r="A251" t="s">
        <v>264</v>
      </c>
      <c r="B251" s="1">
        <v>510.12</v>
      </c>
      <c r="C251" s="4">
        <f t="shared" si="6"/>
        <v>2.6770258846262249E-2</v>
      </c>
      <c r="H251" t="s">
        <v>264</v>
      </c>
      <c r="I251" s="1">
        <v>258.89999999999998</v>
      </c>
      <c r="J251" s="4">
        <f t="shared" si="7"/>
        <v>1.5373754804298327E-2</v>
      </c>
    </row>
    <row r="252" spans="1:10">
      <c r="A252" t="s">
        <v>265</v>
      </c>
      <c r="B252" s="1">
        <v>499.7</v>
      </c>
      <c r="C252" s="4">
        <f t="shared" si="6"/>
        <v>-2.0426566298125962E-2</v>
      </c>
      <c r="H252" t="s">
        <v>265</v>
      </c>
      <c r="I252" s="1">
        <v>258.51</v>
      </c>
      <c r="J252" s="4">
        <f t="shared" si="7"/>
        <v>-1.5063731170335511E-3</v>
      </c>
    </row>
    <row r="253" spans="1:10">
      <c r="A253" t="s">
        <v>266</v>
      </c>
      <c r="B253" s="1">
        <v>493.95</v>
      </c>
      <c r="C253" s="4">
        <f t="shared" si="6"/>
        <v>-1.1506904142485492E-2</v>
      </c>
      <c r="H253" t="s">
        <v>266</v>
      </c>
      <c r="I253" s="1">
        <v>256.97000000000003</v>
      </c>
      <c r="J253" s="4">
        <f t="shared" si="7"/>
        <v>-5.9572163552665805E-3</v>
      </c>
    </row>
    <row r="254" spans="1:10">
      <c r="A254" t="s">
        <v>267</v>
      </c>
      <c r="B254" s="1">
        <v>491.65</v>
      </c>
      <c r="C254" s="4">
        <f t="shared" si="6"/>
        <v>-4.6563417349934433E-3</v>
      </c>
      <c r="H254" t="s">
        <v>267</v>
      </c>
      <c r="I254" s="1">
        <v>252.4</v>
      </c>
      <c r="J254" s="4">
        <f t="shared" si="7"/>
        <v>-1.7784177141300622E-2</v>
      </c>
    </row>
    <row r="255" spans="1:10">
      <c r="A255" t="s">
        <v>268</v>
      </c>
      <c r="B255" s="1">
        <v>492.44</v>
      </c>
      <c r="C255" s="4">
        <f t="shared" si="6"/>
        <v>1.6068341299705492E-3</v>
      </c>
      <c r="H255" t="s">
        <v>268</v>
      </c>
      <c r="I255" s="1">
        <v>251.89</v>
      </c>
      <c r="J255" s="4">
        <f t="shared" si="7"/>
        <v>-2.0206022187005518E-3</v>
      </c>
    </row>
    <row r="256" spans="1:10">
      <c r="A256" t="s">
        <v>269</v>
      </c>
      <c r="B256" s="1">
        <v>495.63</v>
      </c>
      <c r="C256" s="4">
        <f t="shared" si="6"/>
        <v>6.477946551864182E-3</v>
      </c>
      <c r="H256" t="s">
        <v>269</v>
      </c>
      <c r="I256" s="1">
        <v>256.77999999999997</v>
      </c>
      <c r="J256" s="4">
        <f t="shared" si="7"/>
        <v>1.9413235936321358E-2</v>
      </c>
    </row>
    <row r="257" spans="1:10">
      <c r="A257" t="s">
        <v>270</v>
      </c>
      <c r="B257" s="1">
        <v>505.41</v>
      </c>
      <c r="C257" s="4">
        <f t="shared" si="6"/>
        <v>1.9732461715392592E-2</v>
      </c>
      <c r="H257" t="s">
        <v>270</v>
      </c>
      <c r="I257" s="1">
        <v>253.54</v>
      </c>
      <c r="J257" s="4">
        <f t="shared" si="7"/>
        <v>-1.2617805125009662E-2</v>
      </c>
    </row>
    <row r="258" spans="1:10">
      <c r="A258" t="s">
        <v>271</v>
      </c>
      <c r="B258" s="1">
        <v>497.12</v>
      </c>
      <c r="C258" s="4">
        <f t="shared" si="6"/>
        <v>-1.6402524682930731E-2</v>
      </c>
      <c r="H258" t="s">
        <v>271</v>
      </c>
      <c r="I258" s="1">
        <v>248.42</v>
      </c>
      <c r="J258" s="4">
        <f t="shared" si="7"/>
        <v>-2.0194052220556934E-2</v>
      </c>
    </row>
    <row r="259" spans="1:10">
      <c r="A259" t="s">
        <v>272</v>
      </c>
      <c r="B259" s="1">
        <v>490.3</v>
      </c>
      <c r="C259" s="4">
        <f t="shared" si="6"/>
        <v>-1.3719021564209835E-2</v>
      </c>
      <c r="H259" t="s">
        <v>272</v>
      </c>
      <c r="I259" s="1">
        <v>245.96</v>
      </c>
      <c r="J259" s="4">
        <f t="shared" si="7"/>
        <v>-9.9025843329843804E-3</v>
      </c>
    </row>
    <row r="260" spans="1:10">
      <c r="A260" t="s">
        <v>273</v>
      </c>
      <c r="B260" s="1">
        <v>497.75</v>
      </c>
      <c r="C260" s="4">
        <f t="shared" si="6"/>
        <v>1.5194778706914111E-2</v>
      </c>
      <c r="H260" t="s">
        <v>273</v>
      </c>
      <c r="I260" s="1">
        <v>251.19</v>
      </c>
      <c r="J260" s="4">
        <f t="shared" si="7"/>
        <v>2.1263620100829359E-2</v>
      </c>
    </row>
    <row r="261" spans="1:10">
      <c r="A261" t="s">
        <v>274</v>
      </c>
      <c r="B261" s="1">
        <v>493.78</v>
      </c>
      <c r="C261" s="4">
        <f t="shared" si="6"/>
        <v>-7.9758915118031681E-3</v>
      </c>
      <c r="H261" t="s">
        <v>274</v>
      </c>
      <c r="I261" s="1">
        <v>253.71</v>
      </c>
      <c r="J261" s="4">
        <f t="shared" si="7"/>
        <v>1.0032246506628489E-2</v>
      </c>
    </row>
    <row r="262" spans="1:10">
      <c r="A262" t="s">
        <v>275</v>
      </c>
      <c r="B262" s="1">
        <v>501.61</v>
      </c>
      <c r="C262" s="4">
        <f t="shared" si="6"/>
        <v>1.5857264368747299E-2</v>
      </c>
      <c r="H262" t="s">
        <v>275</v>
      </c>
      <c r="I262" s="1">
        <v>258.45</v>
      </c>
      <c r="J262" s="4">
        <f t="shared" si="7"/>
        <v>1.8682748019392143E-2</v>
      </c>
    </row>
  </sheetData>
  <mergeCells count="7">
    <mergeCell ref="A10:C10"/>
    <mergeCell ref="H10:J10"/>
    <mergeCell ref="M4:P5"/>
    <mergeCell ref="M13:P14"/>
    <mergeCell ref="M2:P2"/>
    <mergeCell ref="M10:P11"/>
    <mergeCell ref="M7:P8"/>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V265"/>
  <sheetViews>
    <sheetView workbookViewId="0"/>
  </sheetViews>
  <sheetFormatPr defaultRowHeight="15"/>
  <cols>
    <col min="1" max="1" width="25" customWidth="1"/>
    <col min="2" max="2" width="13" customWidth="1"/>
    <col min="3" max="3" width="15" customWidth="1"/>
    <col min="4" max="8" width="14" customWidth="1"/>
    <col min="9" max="9" width="4" customWidth="1"/>
    <col min="10" max="10" width="25" customWidth="1"/>
    <col min="11" max="11" width="13" customWidth="1"/>
    <col min="12" max="12" width="15" customWidth="1"/>
    <col min="13" max="17" width="14" customWidth="1"/>
    <col min="18" max="18" width="4" customWidth="1"/>
    <col min="19" max="19" width="28" customWidth="1"/>
    <col min="20" max="21" width="18" customWidth="1"/>
    <col min="22" max="22" width="34" customWidth="1"/>
  </cols>
  <sheetData>
    <row r="2" spans="1:22">
      <c r="A2" t="s">
        <v>0</v>
      </c>
      <c r="C2" s="1">
        <v>100000</v>
      </c>
      <c r="J2" t="s">
        <v>0</v>
      </c>
      <c r="L2" s="1">
        <v>100000</v>
      </c>
      <c r="S2" s="19" t="s">
        <v>287</v>
      </c>
      <c r="T2" s="18"/>
      <c r="U2" s="18"/>
      <c r="V2" s="18"/>
    </row>
    <row r="3" spans="1:22">
      <c r="A3" t="s">
        <v>2</v>
      </c>
      <c r="C3">
        <v>1</v>
      </c>
      <c r="J3" t="s">
        <v>2</v>
      </c>
      <c r="L3">
        <v>1</v>
      </c>
      <c r="S3" s="11" t="s">
        <v>288</v>
      </c>
      <c r="T3" s="8" t="s">
        <v>289</v>
      </c>
      <c r="U3" s="8" t="s">
        <v>290</v>
      </c>
      <c r="V3" s="11" t="s">
        <v>291</v>
      </c>
    </row>
    <row r="4" spans="1:22">
      <c r="A4" t="s">
        <v>4</v>
      </c>
      <c r="C4" s="3">
        <v>0.05</v>
      </c>
      <c r="J4" t="s">
        <v>4</v>
      </c>
      <c r="L4" s="3">
        <v>0.05</v>
      </c>
      <c r="S4" s="12" t="s">
        <v>292</v>
      </c>
      <c r="T4" s="13" t="s">
        <v>293</v>
      </c>
      <c r="U4" s="13" t="s">
        <v>293</v>
      </c>
      <c r="V4" s="12" t="s">
        <v>294</v>
      </c>
    </row>
    <row r="5" spans="1:22">
      <c r="A5" t="s">
        <v>6</v>
      </c>
      <c r="C5" s="3">
        <f>1-C4</f>
        <v>0.95</v>
      </c>
      <c r="J5" t="s">
        <v>6</v>
      </c>
      <c r="L5" s="3">
        <f>1-L4</f>
        <v>0.95</v>
      </c>
      <c r="S5" s="12" t="s">
        <v>283</v>
      </c>
      <c r="T5" s="13" t="s">
        <v>295</v>
      </c>
      <c r="U5" s="13" t="s">
        <v>296</v>
      </c>
      <c r="V5" s="12" t="s">
        <v>297</v>
      </c>
    </row>
    <row r="6" spans="1:22">
      <c r="A6" t="s">
        <v>283</v>
      </c>
      <c r="C6" s="4">
        <f>AVERAGE(C16:C265)</f>
        <v>1.0606535175112806E-4</v>
      </c>
      <c r="J6" t="s">
        <v>283</v>
      </c>
      <c r="L6" s="4">
        <f>AVERAGE(L16:L265)</f>
        <v>7.3856936732114335E-4</v>
      </c>
      <c r="S6" s="12" t="s">
        <v>298</v>
      </c>
      <c r="T6" s="13" t="s">
        <v>299</v>
      </c>
      <c r="U6" s="13" t="s">
        <v>300</v>
      </c>
      <c r="V6" s="12" t="s">
        <v>301</v>
      </c>
    </row>
    <row r="7" spans="1:22">
      <c r="A7" t="s">
        <v>298</v>
      </c>
      <c r="C7" s="4">
        <f>_xlfn.STDEV.S(C16:C265)</f>
        <v>2.0553884805612602E-2</v>
      </c>
      <c r="J7" t="s">
        <v>298</v>
      </c>
      <c r="L7" s="4">
        <f>_xlfn.STDEV.S(L16:L265)</f>
        <v>2.1745329439889015E-2</v>
      </c>
      <c r="S7" s="12" t="s">
        <v>302</v>
      </c>
      <c r="T7" s="13" t="s">
        <v>303</v>
      </c>
      <c r="U7" s="13" t="s">
        <v>304</v>
      </c>
      <c r="V7" s="12" t="s">
        <v>305</v>
      </c>
    </row>
    <row r="8" spans="1:22">
      <c r="A8" t="s">
        <v>9</v>
      </c>
      <c r="C8" s="5">
        <f>SQRT(C3)</f>
        <v>1</v>
      </c>
      <c r="D8" s="14" t="s">
        <v>306</v>
      </c>
      <c r="E8" s="14" t="s">
        <v>307</v>
      </c>
      <c r="F8" s="14" t="s">
        <v>308</v>
      </c>
      <c r="G8" s="14" t="s">
        <v>309</v>
      </c>
      <c r="H8" s="14" t="s">
        <v>310</v>
      </c>
      <c r="J8" t="s">
        <v>9</v>
      </c>
      <c r="L8" s="5">
        <f>SQRT(L3)</f>
        <v>1</v>
      </c>
      <c r="M8" s="14" t="s">
        <v>306</v>
      </c>
      <c r="N8" s="14" t="s">
        <v>307</v>
      </c>
      <c r="O8" s="14" t="s">
        <v>308</v>
      </c>
      <c r="P8" s="14" t="s">
        <v>309</v>
      </c>
      <c r="Q8" s="14" t="s">
        <v>310</v>
      </c>
      <c r="S8" s="12" t="s">
        <v>311</v>
      </c>
      <c r="T8" s="13" t="s">
        <v>312</v>
      </c>
      <c r="U8" s="13" t="s">
        <v>313</v>
      </c>
      <c r="V8" s="12" t="s">
        <v>314</v>
      </c>
    </row>
    <row r="9" spans="1:22">
      <c r="A9" t="s">
        <v>315</v>
      </c>
      <c r="C9" s="15">
        <f ca="1">AVERAGE(D9:H9)</f>
        <v>3.340789308728348E-2</v>
      </c>
      <c r="D9" s="4">
        <f ca="1">ABS(PERCENTILE(D16:D265, $C$4))</f>
        <v>3.5779645273970928E-2</v>
      </c>
      <c r="E9" s="4">
        <f ca="1">ABS(PERCENTILE(E16:E265, $C$4))</f>
        <v>3.4138309985206214E-2</v>
      </c>
      <c r="F9" s="4">
        <f ca="1">ABS(PERCENTILE(F16:F265, $C$4))</f>
        <v>3.249963241773484E-2</v>
      </c>
      <c r="G9" s="4">
        <f ca="1">ABS(PERCENTILE(G16:G265, $C$4))</f>
        <v>3.2272869614917751E-2</v>
      </c>
      <c r="H9" s="4">
        <f ca="1">ABS(PERCENTILE(H16:H265, $C$4))</f>
        <v>3.2349008144587674E-2</v>
      </c>
      <c r="J9" t="s">
        <v>315</v>
      </c>
      <c r="L9" s="15">
        <f ca="1">AVERAGE(M9:Q9)</f>
        <v>3.4771570719135447E-2</v>
      </c>
      <c r="M9" s="4">
        <f ca="1">ABS(PERCENTILE(M16:M265, $L$4))</f>
        <v>3.1555606252373559E-2</v>
      </c>
      <c r="N9" s="4">
        <f ca="1">ABS(PERCENTILE(N16:N265, $L$4))</f>
        <v>3.5381714855860724E-2</v>
      </c>
      <c r="O9" s="4">
        <f ca="1">ABS(PERCENTILE(O16:O265, $L$4))</f>
        <v>4.0797593877942684E-2</v>
      </c>
      <c r="P9" s="4">
        <f ca="1">ABS(PERCENTILE(P16:P265, $L$4))</f>
        <v>3.0924528597255304E-2</v>
      </c>
      <c r="Q9" s="4">
        <f ca="1">ABS(PERCENTILE(Q16:Q265, $L$4))</f>
        <v>3.5198410012244961E-2</v>
      </c>
      <c r="S9" s="12" t="s">
        <v>316</v>
      </c>
      <c r="T9" s="13" t="s">
        <v>317</v>
      </c>
      <c r="U9" s="13" t="s">
        <v>318</v>
      </c>
      <c r="V9" s="12" t="s">
        <v>319</v>
      </c>
    </row>
    <row r="10" spans="1:22">
      <c r="A10" t="s">
        <v>11</v>
      </c>
      <c r="C10" s="6">
        <f t="shared" ref="C10:H10" ca="1" si="0">$C$2*C9*$C$8</f>
        <v>3340.7893087283478</v>
      </c>
      <c r="D10" s="1">
        <f t="shared" ca="1" si="0"/>
        <v>3577.9645273970928</v>
      </c>
      <c r="E10" s="1">
        <f t="shared" ca="1" si="0"/>
        <v>3413.8309985206215</v>
      </c>
      <c r="F10" s="1">
        <f t="shared" ca="1" si="0"/>
        <v>3249.9632417734842</v>
      </c>
      <c r="G10" s="1">
        <f t="shared" ca="1" si="0"/>
        <v>3227.2869614917749</v>
      </c>
      <c r="H10" s="1">
        <f t="shared" ca="1" si="0"/>
        <v>3234.9008144587674</v>
      </c>
      <c r="J10" t="s">
        <v>11</v>
      </c>
      <c r="L10" s="6">
        <f t="shared" ref="L10:Q10" ca="1" si="1">$L$2*L9*$L$8</f>
        <v>3477.1570719135448</v>
      </c>
      <c r="M10" s="1">
        <f t="shared" ca="1" si="1"/>
        <v>3155.5606252373559</v>
      </c>
      <c r="N10" s="1">
        <f t="shared" ca="1" si="1"/>
        <v>3538.1714855860723</v>
      </c>
      <c r="O10" s="1">
        <f t="shared" ca="1" si="1"/>
        <v>4079.7593877942686</v>
      </c>
      <c r="P10" s="1">
        <f t="shared" ca="1" si="1"/>
        <v>3092.4528597255303</v>
      </c>
      <c r="Q10" s="1">
        <f t="shared" ca="1" si="1"/>
        <v>3519.8410012244963</v>
      </c>
      <c r="S10" s="12" t="s">
        <v>320</v>
      </c>
      <c r="T10" s="13" t="s">
        <v>321</v>
      </c>
      <c r="U10" s="13" t="s">
        <v>322</v>
      </c>
      <c r="V10" s="12" t="s">
        <v>323</v>
      </c>
    </row>
    <row r="11" spans="1:22">
      <c r="A11" t="s">
        <v>12</v>
      </c>
      <c r="C11" s="7">
        <f t="shared" ref="C11:H11" ca="1" si="2">$C$8*C9</f>
        <v>3.340789308728348E-2</v>
      </c>
      <c r="D11" s="3">
        <f t="shared" ca="1" si="2"/>
        <v>3.5779645273970928E-2</v>
      </c>
      <c r="E11" s="3">
        <f t="shared" ca="1" si="2"/>
        <v>3.4138309985206214E-2</v>
      </c>
      <c r="F11" s="3">
        <f t="shared" ca="1" si="2"/>
        <v>3.249963241773484E-2</v>
      </c>
      <c r="G11" s="3">
        <f t="shared" ca="1" si="2"/>
        <v>3.2272869614917751E-2</v>
      </c>
      <c r="H11" s="3">
        <f t="shared" ca="1" si="2"/>
        <v>3.2349008144587674E-2</v>
      </c>
      <c r="J11" t="s">
        <v>12</v>
      </c>
      <c r="L11" s="7">
        <f t="shared" ref="L11:Q11" ca="1" si="3">$L$8*L9</f>
        <v>3.4771570719135447E-2</v>
      </c>
      <c r="M11" s="3">
        <f t="shared" ca="1" si="3"/>
        <v>3.1555606252373559E-2</v>
      </c>
      <c r="N11" s="3">
        <f t="shared" ca="1" si="3"/>
        <v>3.5381714855860724E-2</v>
      </c>
      <c r="O11" s="3">
        <f t="shared" ca="1" si="3"/>
        <v>4.0797593877942684E-2</v>
      </c>
      <c r="P11" s="3">
        <f t="shared" ca="1" si="3"/>
        <v>3.0924528597255304E-2</v>
      </c>
      <c r="Q11" s="3">
        <f t="shared" ca="1" si="3"/>
        <v>3.5198410012244961E-2</v>
      </c>
      <c r="S11" s="12" t="s">
        <v>324</v>
      </c>
      <c r="T11" s="13" t="s">
        <v>325</v>
      </c>
      <c r="U11" s="13" t="s">
        <v>326</v>
      </c>
      <c r="V11" s="12" t="s">
        <v>327</v>
      </c>
    </row>
    <row r="12" spans="1:22">
      <c r="S12" s="12" t="s">
        <v>328</v>
      </c>
      <c r="T12" s="13" t="s">
        <v>329</v>
      </c>
      <c r="U12" s="13" t="s">
        <v>330</v>
      </c>
      <c r="V12" s="12" t="s">
        <v>323</v>
      </c>
    </row>
    <row r="13" spans="1:22">
      <c r="A13" s="19" t="s">
        <v>15</v>
      </c>
      <c r="B13" s="18"/>
      <c r="C13" s="18"/>
      <c r="D13" s="18"/>
      <c r="E13" s="18"/>
      <c r="F13" s="18"/>
      <c r="G13" s="18"/>
      <c r="H13" s="18"/>
      <c r="J13" s="19" t="s">
        <v>16</v>
      </c>
      <c r="K13" s="18"/>
      <c r="L13" s="18"/>
      <c r="M13" s="18"/>
      <c r="N13" s="18"/>
      <c r="O13" s="18"/>
      <c r="P13" s="18"/>
      <c r="Q13" s="18"/>
      <c r="S13" s="12" t="s">
        <v>331</v>
      </c>
      <c r="T13" s="13" t="s">
        <v>332</v>
      </c>
      <c r="U13" s="13" t="s">
        <v>333</v>
      </c>
      <c r="V13" s="12" t="s">
        <v>334</v>
      </c>
    </row>
    <row r="14" spans="1:22">
      <c r="A14" s="8" t="s">
        <v>17</v>
      </c>
      <c r="B14" s="8" t="s">
        <v>18</v>
      </c>
      <c r="C14" s="8" t="s">
        <v>19</v>
      </c>
      <c r="D14" s="8" t="s">
        <v>306</v>
      </c>
      <c r="E14" s="8" t="s">
        <v>307</v>
      </c>
      <c r="F14" s="8" t="s">
        <v>308</v>
      </c>
      <c r="G14" s="8" t="s">
        <v>309</v>
      </c>
      <c r="H14" s="8" t="s">
        <v>310</v>
      </c>
      <c r="J14" s="8" t="s">
        <v>17</v>
      </c>
      <c r="K14" s="8" t="s">
        <v>21</v>
      </c>
      <c r="L14" s="8" t="s">
        <v>19</v>
      </c>
      <c r="M14" s="8" t="s">
        <v>306</v>
      </c>
      <c r="N14" s="8" t="s">
        <v>307</v>
      </c>
      <c r="O14" s="8" t="s">
        <v>308</v>
      </c>
      <c r="P14" s="8" t="s">
        <v>309</v>
      </c>
      <c r="Q14" s="8" t="s">
        <v>310</v>
      </c>
      <c r="S14" s="12" t="s">
        <v>335</v>
      </c>
      <c r="T14" s="13" t="s">
        <v>336</v>
      </c>
      <c r="U14" s="13" t="s">
        <v>337</v>
      </c>
      <c r="V14" s="12" t="s">
        <v>338</v>
      </c>
    </row>
    <row r="15" spans="1:22">
      <c r="A15" t="s">
        <v>23</v>
      </c>
      <c r="B15" s="1">
        <v>514.45000000000005</v>
      </c>
      <c r="C15" s="9" t="s">
        <v>24</v>
      </c>
      <c r="D15" s="9" t="s">
        <v>24</v>
      </c>
      <c r="E15" s="9" t="s">
        <v>24</v>
      </c>
      <c r="F15" s="9" t="s">
        <v>24</v>
      </c>
      <c r="G15" s="9" t="s">
        <v>24</v>
      </c>
      <c r="H15" s="9" t="s">
        <v>24</v>
      </c>
      <c r="J15" t="s">
        <v>23</v>
      </c>
      <c r="K15" s="1">
        <v>227.63</v>
      </c>
      <c r="L15" s="9" t="s">
        <v>24</v>
      </c>
      <c r="M15" s="9" t="s">
        <v>24</v>
      </c>
      <c r="N15" s="9" t="s">
        <v>24</v>
      </c>
      <c r="O15" s="9" t="s">
        <v>24</v>
      </c>
      <c r="P15" s="9" t="s">
        <v>24</v>
      </c>
      <c r="Q15" s="9" t="s">
        <v>24</v>
      </c>
      <c r="S15" s="12" t="s">
        <v>339</v>
      </c>
      <c r="T15" s="16" t="s">
        <v>340</v>
      </c>
      <c r="U15" s="16" t="s">
        <v>340</v>
      </c>
      <c r="V15" s="12" t="s">
        <v>341</v>
      </c>
    </row>
    <row r="16" spans="1:22">
      <c r="A16" t="s">
        <v>26</v>
      </c>
      <c r="B16" s="1">
        <v>509.23</v>
      </c>
      <c r="C16" s="4">
        <f t="shared" ref="C16:C79" si="4">(B16-B15)/B15</f>
        <v>-1.0146758674312424E-2</v>
      </c>
      <c r="D16" s="4">
        <f t="shared" ref="D16:H25" ca="1" si="5">NORMINV(RAND(), $C$6, $C$7)</f>
        <v>3.9750054744287007E-2</v>
      </c>
      <c r="E16" s="4">
        <f t="shared" ca="1" si="5"/>
        <v>-2.6472159334346299E-2</v>
      </c>
      <c r="F16" s="4">
        <f t="shared" ca="1" si="5"/>
        <v>-8.1063661926387628E-3</v>
      </c>
      <c r="G16" s="4">
        <f t="shared" ca="1" si="5"/>
        <v>-2.5006650009800368E-3</v>
      </c>
      <c r="H16" s="4">
        <f t="shared" ca="1" si="5"/>
        <v>6.4849563173171709E-3</v>
      </c>
      <c r="J16" t="s">
        <v>26</v>
      </c>
      <c r="K16" s="1">
        <v>220.71</v>
      </c>
      <c r="L16" s="4">
        <f t="shared" ref="L16:L79" si="6">(K16-K15)/K15</f>
        <v>-3.0400210868514639E-2</v>
      </c>
      <c r="M16" s="4">
        <f t="shared" ref="M16:Q25" ca="1" si="7">NORMINV(RAND(), $L$6, $L$7)</f>
        <v>1.6267788415251939E-2</v>
      </c>
      <c r="N16" s="4">
        <f t="shared" ca="1" si="7"/>
        <v>-1.3936645494262902E-2</v>
      </c>
      <c r="O16" s="4">
        <f t="shared" ca="1" si="7"/>
        <v>-8.7898324255338209E-3</v>
      </c>
      <c r="P16" s="4">
        <f t="shared" ca="1" si="7"/>
        <v>4.9908564818251351E-2</v>
      </c>
      <c r="Q16" s="4">
        <f t="shared" ca="1" si="7"/>
        <v>-1.0389562430386173E-2</v>
      </c>
    </row>
    <row r="17" spans="1:22">
      <c r="A17" t="s">
        <v>27</v>
      </c>
      <c r="B17" s="1">
        <v>510.15</v>
      </c>
      <c r="C17" s="4">
        <f t="shared" si="4"/>
        <v>1.8066492547571019E-3</v>
      </c>
      <c r="D17" s="4">
        <f t="shared" ca="1" si="5"/>
        <v>-4.3289036897780284E-2</v>
      </c>
      <c r="E17" s="4">
        <f t="shared" ca="1" si="5"/>
        <v>-2.0481005200004062E-2</v>
      </c>
      <c r="F17" s="4">
        <f t="shared" ca="1" si="5"/>
        <v>2.545358174198388E-2</v>
      </c>
      <c r="G17" s="4">
        <f t="shared" ca="1" si="5"/>
        <v>2.2200978628366168E-2</v>
      </c>
      <c r="H17" s="4">
        <f t="shared" ca="1" si="5"/>
        <v>-1.0893366536711548E-2</v>
      </c>
      <c r="J17" t="s">
        <v>27</v>
      </c>
      <c r="K17" s="1">
        <v>220.21</v>
      </c>
      <c r="L17" s="4">
        <f t="shared" si="6"/>
        <v>-2.2654161569480311E-3</v>
      </c>
      <c r="M17" s="4">
        <f t="shared" ca="1" si="7"/>
        <v>-1.4976780595808224E-2</v>
      </c>
      <c r="N17" s="4">
        <f t="shared" ca="1" si="7"/>
        <v>2.6238532589914636E-2</v>
      </c>
      <c r="O17" s="4">
        <f t="shared" ca="1" si="7"/>
        <v>4.26267857567246E-3</v>
      </c>
      <c r="P17" s="4">
        <f t="shared" ca="1" si="7"/>
        <v>-7.1033862910110327E-3</v>
      </c>
      <c r="Q17" s="4">
        <f t="shared" ca="1" si="7"/>
        <v>2.6743525258846278E-2</v>
      </c>
      <c r="S17" s="19" t="s">
        <v>342</v>
      </c>
      <c r="T17" s="18"/>
      <c r="U17" s="18"/>
      <c r="V17" s="18"/>
    </row>
    <row r="18" spans="1:22">
      <c r="A18" t="s">
        <v>28</v>
      </c>
      <c r="B18" s="1">
        <v>507.03</v>
      </c>
      <c r="C18" s="4">
        <f t="shared" si="4"/>
        <v>-6.1158482799176803E-3</v>
      </c>
      <c r="D18" s="4">
        <f t="shared" ca="1" si="5"/>
        <v>2.2888013753146457E-2</v>
      </c>
      <c r="E18" s="4">
        <f t="shared" ca="1" si="5"/>
        <v>-4.6767966962013914E-2</v>
      </c>
      <c r="F18" s="4">
        <f t="shared" ca="1" si="5"/>
        <v>-1.924065269291563E-3</v>
      </c>
      <c r="G18" s="4">
        <f t="shared" ca="1" si="5"/>
        <v>1.6658113890982842E-2</v>
      </c>
      <c r="H18" s="4">
        <f t="shared" ca="1" si="5"/>
        <v>1.5588674822312529E-2</v>
      </c>
      <c r="J18" t="s">
        <v>28</v>
      </c>
      <c r="K18" s="1">
        <v>218.15</v>
      </c>
      <c r="L18" s="4">
        <f t="shared" si="6"/>
        <v>-9.3547068707143279E-3</v>
      </c>
      <c r="M18" s="4">
        <f t="shared" ca="1" si="7"/>
        <v>1.5424900085215741E-2</v>
      </c>
      <c r="N18" s="4">
        <f t="shared" ca="1" si="7"/>
        <v>-1.7341701472946822E-2</v>
      </c>
      <c r="O18" s="4">
        <f t="shared" ca="1" si="7"/>
        <v>-2.8946390634149582E-3</v>
      </c>
      <c r="P18" s="4">
        <f t="shared" ca="1" si="7"/>
        <v>-3.7373848192950539E-2</v>
      </c>
      <c r="Q18" s="4">
        <f t="shared" ca="1" si="7"/>
        <v>-2.6204571315409854E-2</v>
      </c>
      <c r="S18" s="2" t="s">
        <v>3</v>
      </c>
    </row>
    <row r="19" spans="1:22" ht="24.95" customHeight="1">
      <c r="A19" t="s">
        <v>29</v>
      </c>
      <c r="B19" s="1">
        <v>511.46</v>
      </c>
      <c r="C19" s="4">
        <f t="shared" si="4"/>
        <v>8.7371555923712735E-3</v>
      </c>
      <c r="D19" s="4">
        <f t="shared" ca="1" si="5"/>
        <v>-3.4904117265977697E-2</v>
      </c>
      <c r="E19" s="4">
        <f t="shared" ca="1" si="5"/>
        <v>-1.3476663543872607E-2</v>
      </c>
      <c r="F19" s="4">
        <f t="shared" ca="1" si="5"/>
        <v>-1.9741322136478535E-2</v>
      </c>
      <c r="G19" s="4">
        <f t="shared" ca="1" si="5"/>
        <v>1.6550922573902324E-2</v>
      </c>
      <c r="H19" s="4">
        <f t="shared" ca="1" si="5"/>
        <v>5.5946831343373906E-3</v>
      </c>
      <c r="J19" t="s">
        <v>29</v>
      </c>
      <c r="K19" s="1">
        <v>219.78</v>
      </c>
      <c r="L19" s="4">
        <f t="shared" si="6"/>
        <v>7.4719229887691748E-3</v>
      </c>
      <c r="M19" s="4">
        <f t="shared" ca="1" si="7"/>
        <v>-2.2631232183622778E-2</v>
      </c>
      <c r="N19" s="4">
        <f t="shared" ca="1" si="7"/>
        <v>1.5452857462126289E-2</v>
      </c>
      <c r="O19" s="4">
        <f t="shared" ca="1" si="7"/>
        <v>-2.3569756228738858E-2</v>
      </c>
      <c r="P19" s="4">
        <f t="shared" ca="1" si="7"/>
        <v>-1.951832154610194E-2</v>
      </c>
      <c r="Q19" s="4">
        <f t="shared" ca="1" si="7"/>
        <v>-1.9203861655148573E-2</v>
      </c>
      <c r="S19" s="17" t="s">
        <v>343</v>
      </c>
      <c r="T19" s="18"/>
      <c r="U19" s="18"/>
      <c r="V19" s="18"/>
    </row>
    <row r="20" spans="1:22" ht="24.95" customHeight="1">
      <c r="A20" t="s">
        <v>30</v>
      </c>
      <c r="B20" s="1">
        <v>514.6</v>
      </c>
      <c r="C20" s="4">
        <f t="shared" si="4"/>
        <v>6.1392875298166881E-3</v>
      </c>
      <c r="D20" s="4">
        <f t="shared" ca="1" si="5"/>
        <v>8.855649319921742E-3</v>
      </c>
      <c r="E20" s="4">
        <f t="shared" ca="1" si="5"/>
        <v>-4.5728571337441924E-3</v>
      </c>
      <c r="F20" s="4">
        <f t="shared" ca="1" si="5"/>
        <v>3.7294300567330893E-2</v>
      </c>
      <c r="G20" s="4">
        <f t="shared" ca="1" si="5"/>
        <v>-1.6989658008406839E-2</v>
      </c>
      <c r="H20" s="4">
        <f t="shared" ca="1" si="5"/>
        <v>-7.0364291744467603E-3</v>
      </c>
      <c r="J20" t="s">
        <v>30</v>
      </c>
      <c r="K20" s="1">
        <v>222.17</v>
      </c>
      <c r="L20" s="4">
        <f t="shared" si="6"/>
        <v>1.0874510874510813E-2</v>
      </c>
      <c r="M20" s="4">
        <f t="shared" ca="1" si="7"/>
        <v>1.5393384420516338E-2</v>
      </c>
      <c r="N20" s="4">
        <f t="shared" ca="1" si="7"/>
        <v>-1.5206259276160039E-2</v>
      </c>
      <c r="O20" s="4">
        <f t="shared" ca="1" si="7"/>
        <v>2.0594339354252041E-2</v>
      </c>
      <c r="P20" s="4">
        <f t="shared" ca="1" si="7"/>
        <v>1.1151019799553161E-2</v>
      </c>
      <c r="Q20" s="4">
        <f t="shared" ca="1" si="7"/>
        <v>-9.5217782672480811E-3</v>
      </c>
      <c r="S20" s="18"/>
      <c r="T20" s="18"/>
      <c r="U20" s="18"/>
      <c r="V20" s="18"/>
    </row>
    <row r="21" spans="1:22">
      <c r="A21" t="s">
        <v>31</v>
      </c>
      <c r="B21" s="1">
        <v>517.95000000000005</v>
      </c>
      <c r="C21" s="4">
        <f t="shared" si="4"/>
        <v>6.5099106101827097E-3</v>
      </c>
      <c r="D21" s="4">
        <f t="shared" ca="1" si="5"/>
        <v>2.5612490403646777E-2</v>
      </c>
      <c r="E21" s="4">
        <f t="shared" ca="1" si="5"/>
        <v>9.3210580839044131E-3</v>
      </c>
      <c r="F21" s="4">
        <f t="shared" ca="1" si="5"/>
        <v>1.4905019623005507E-2</v>
      </c>
      <c r="G21" s="4">
        <f t="shared" ca="1" si="5"/>
        <v>1.1051874676361552E-2</v>
      </c>
      <c r="H21" s="4">
        <f t="shared" ca="1" si="5"/>
        <v>2.0321906609739072E-3</v>
      </c>
      <c r="J21" t="s">
        <v>31</v>
      </c>
      <c r="K21" s="1">
        <v>219.57</v>
      </c>
      <c r="L21" s="4">
        <f t="shared" si="6"/>
        <v>-1.1702750146284352E-2</v>
      </c>
      <c r="M21" s="4">
        <f t="shared" ca="1" si="7"/>
        <v>-5.3573543686747944E-2</v>
      </c>
      <c r="N21" s="4">
        <f t="shared" ca="1" si="7"/>
        <v>3.6100836858000085E-2</v>
      </c>
      <c r="O21" s="4">
        <f t="shared" ca="1" si="7"/>
        <v>-7.8729034643287114E-3</v>
      </c>
      <c r="P21" s="4">
        <f t="shared" ca="1" si="7"/>
        <v>1.0120204269999348E-2</v>
      </c>
      <c r="Q21" s="4">
        <f t="shared" ca="1" si="7"/>
        <v>2.3994644489501147E-2</v>
      </c>
      <c r="S21" s="2" t="s">
        <v>8</v>
      </c>
    </row>
    <row r="22" spans="1:22" ht="24.95" customHeight="1">
      <c r="A22" t="s">
        <v>32</v>
      </c>
      <c r="B22" s="1">
        <v>519.71</v>
      </c>
      <c r="C22" s="4">
        <f t="shared" si="4"/>
        <v>3.3980113910608953E-3</v>
      </c>
      <c r="D22" s="4">
        <f t="shared" ca="1" si="5"/>
        <v>6.0922633966616225E-3</v>
      </c>
      <c r="E22" s="4">
        <f t="shared" ca="1" si="5"/>
        <v>-8.1066516287587043E-3</v>
      </c>
      <c r="F22" s="4">
        <f t="shared" ca="1" si="5"/>
        <v>-1.4652680691228112E-2</v>
      </c>
      <c r="G22" s="4">
        <f t="shared" ca="1" si="5"/>
        <v>-2.3256729057764013E-2</v>
      </c>
      <c r="H22" s="4">
        <f t="shared" ca="1" si="5"/>
        <v>2.0480295694432341E-2</v>
      </c>
      <c r="J22" t="s">
        <v>32</v>
      </c>
      <c r="K22" s="1">
        <v>220.63</v>
      </c>
      <c r="L22" s="4">
        <f t="shared" si="6"/>
        <v>4.8276176162499532E-3</v>
      </c>
      <c r="M22" s="4">
        <f t="shared" ca="1" si="7"/>
        <v>-5.782120833362144E-3</v>
      </c>
      <c r="N22" s="4">
        <f t="shared" ca="1" si="7"/>
        <v>1.0428216450253583E-2</v>
      </c>
      <c r="O22" s="4">
        <f t="shared" ca="1" si="7"/>
        <v>-9.0339412312373819E-3</v>
      </c>
      <c r="P22" s="4">
        <f t="shared" ca="1" si="7"/>
        <v>-8.3708146370895312E-3</v>
      </c>
      <c r="Q22" s="4">
        <f t="shared" ca="1" si="7"/>
        <v>7.1145947709040005E-3</v>
      </c>
      <c r="S22" s="17" t="s">
        <v>344</v>
      </c>
      <c r="T22" s="18"/>
      <c r="U22" s="18"/>
      <c r="V22" s="18"/>
    </row>
    <row r="23" spans="1:22" ht="24.95" customHeight="1">
      <c r="A23" t="s">
        <v>33</v>
      </c>
      <c r="B23" s="1">
        <v>515.74</v>
      </c>
      <c r="C23" s="4">
        <f t="shared" si="4"/>
        <v>-7.6388755267361164E-3</v>
      </c>
      <c r="D23" s="4">
        <f t="shared" ca="1" si="5"/>
        <v>1.1219503243404738E-2</v>
      </c>
      <c r="E23" s="4">
        <f t="shared" ca="1" si="5"/>
        <v>1.416111071914637E-2</v>
      </c>
      <c r="F23" s="4">
        <f t="shared" ca="1" si="5"/>
        <v>-2.668491005989948E-2</v>
      </c>
      <c r="G23" s="4">
        <f t="shared" ca="1" si="5"/>
        <v>1.1872413954330354E-2</v>
      </c>
      <c r="H23" s="4">
        <f t="shared" ca="1" si="5"/>
        <v>-6.7132651546568294E-3</v>
      </c>
      <c r="J23" t="s">
        <v>33</v>
      </c>
      <c r="K23" s="1">
        <v>222.41</v>
      </c>
      <c r="L23" s="4">
        <f t="shared" si="6"/>
        <v>8.0678058287630937E-3</v>
      </c>
      <c r="M23" s="4">
        <f t="shared" ca="1" si="7"/>
        <v>-6.5049945479266694E-3</v>
      </c>
      <c r="N23" s="4">
        <f t="shared" ca="1" si="7"/>
        <v>-3.7536473353879531E-2</v>
      </c>
      <c r="O23" s="4">
        <f t="shared" ca="1" si="7"/>
        <v>-1.4809898920830733E-2</v>
      </c>
      <c r="P23" s="4">
        <f t="shared" ca="1" si="7"/>
        <v>-3.9968348838887108E-3</v>
      </c>
      <c r="Q23" s="4">
        <f t="shared" ca="1" si="7"/>
        <v>4.5136997792085869E-3</v>
      </c>
      <c r="S23" s="18"/>
      <c r="T23" s="18"/>
      <c r="U23" s="18"/>
      <c r="V23" s="18"/>
    </row>
    <row r="24" spans="1:22">
      <c r="A24" t="s">
        <v>34</v>
      </c>
      <c r="B24" s="1">
        <v>517.35</v>
      </c>
      <c r="C24" s="4">
        <f t="shared" si="4"/>
        <v>3.1217280024818969E-3</v>
      </c>
      <c r="D24" s="4">
        <f t="shared" ca="1" si="5"/>
        <v>1.00243765806319E-2</v>
      </c>
      <c r="E24" s="4">
        <f t="shared" ca="1" si="5"/>
        <v>-3.1969813745099017E-2</v>
      </c>
      <c r="F24" s="4">
        <f t="shared" ca="1" si="5"/>
        <v>2.155759933581592E-2</v>
      </c>
      <c r="G24" s="4">
        <f t="shared" ca="1" si="5"/>
        <v>-3.4135099937884529E-2</v>
      </c>
      <c r="H24" s="4">
        <f t="shared" ca="1" si="5"/>
        <v>-8.0242165466080286E-3</v>
      </c>
      <c r="J24" t="s">
        <v>34</v>
      </c>
      <c r="K24" s="1">
        <v>219.51</v>
      </c>
      <c r="L24" s="4">
        <f t="shared" si="6"/>
        <v>-1.3038982060159191E-2</v>
      </c>
      <c r="M24" s="4">
        <f t="shared" ca="1" si="7"/>
        <v>-1.1590208148205413E-2</v>
      </c>
      <c r="N24" s="4">
        <f t="shared" ca="1" si="7"/>
        <v>9.9936168345033886E-3</v>
      </c>
      <c r="O24" s="4">
        <f t="shared" ca="1" si="7"/>
        <v>-1.4656543011138029E-2</v>
      </c>
      <c r="P24" s="4">
        <f t="shared" ca="1" si="7"/>
        <v>9.1216820406719041E-3</v>
      </c>
      <c r="Q24" s="4">
        <f t="shared" ca="1" si="7"/>
        <v>-1.554838387043803E-2</v>
      </c>
      <c r="S24" s="2" t="s">
        <v>345</v>
      </c>
    </row>
    <row r="25" spans="1:22" ht="24.95" customHeight="1">
      <c r="A25" t="s">
        <v>35</v>
      </c>
      <c r="B25" s="1">
        <v>528.57000000000005</v>
      </c>
      <c r="C25" s="4">
        <f t="shared" si="4"/>
        <v>2.1687445636416405E-2</v>
      </c>
      <c r="D25" s="4">
        <f t="shared" ca="1" si="5"/>
        <v>-1.0455606654348195E-2</v>
      </c>
      <c r="E25" s="4">
        <f t="shared" ca="1" si="5"/>
        <v>2.9003795416216817E-2</v>
      </c>
      <c r="F25" s="4">
        <f t="shared" ca="1" si="5"/>
        <v>9.6492692725482689E-3</v>
      </c>
      <c r="G25" s="4">
        <f t="shared" ca="1" si="5"/>
        <v>1.2053278544457143E-2</v>
      </c>
      <c r="H25" s="4">
        <f t="shared" ca="1" si="5"/>
        <v>2.2488072100220018E-2</v>
      </c>
      <c r="J25" t="s">
        <v>35</v>
      </c>
      <c r="K25" s="1">
        <v>220.9</v>
      </c>
      <c r="L25" s="4">
        <f t="shared" si="6"/>
        <v>6.3322855450777408E-3</v>
      </c>
      <c r="M25" s="4">
        <f t="shared" ca="1" si="7"/>
        <v>4.0022153784557125E-2</v>
      </c>
      <c r="N25" s="4">
        <f t="shared" ca="1" si="7"/>
        <v>-7.435928785922424E-3</v>
      </c>
      <c r="O25" s="4">
        <f t="shared" ca="1" si="7"/>
        <v>-2.9964015529854466E-2</v>
      </c>
      <c r="P25" s="4">
        <f t="shared" ca="1" si="7"/>
        <v>2.5029100503981036E-2</v>
      </c>
      <c r="Q25" s="4">
        <f t="shared" ca="1" si="7"/>
        <v>2.2721153855864103E-2</v>
      </c>
      <c r="S25" s="17" t="s">
        <v>346</v>
      </c>
      <c r="T25" s="18"/>
      <c r="U25" s="18"/>
      <c r="V25" s="18"/>
    </row>
    <row r="26" spans="1:22" ht="24.95" customHeight="1">
      <c r="A26" t="s">
        <v>36</v>
      </c>
      <c r="B26" s="1">
        <v>523.98</v>
      </c>
      <c r="C26" s="4">
        <f t="shared" si="4"/>
        <v>-8.6838072535331771E-3</v>
      </c>
      <c r="D26" s="4">
        <f t="shared" ref="D26:H35" ca="1" si="8">NORMINV(RAND(), $C$6, $C$7)</f>
        <v>6.5002149844773059E-3</v>
      </c>
      <c r="E26" s="4">
        <f t="shared" ca="1" si="8"/>
        <v>-1.3721689631781381E-2</v>
      </c>
      <c r="F26" s="4">
        <f t="shared" ca="1" si="8"/>
        <v>-2.480551003624959E-2</v>
      </c>
      <c r="G26" s="4">
        <f t="shared" ca="1" si="8"/>
        <v>-5.8117624234385358E-3</v>
      </c>
      <c r="H26" s="4">
        <f t="shared" ca="1" si="8"/>
        <v>-1.7644911883748105E-2</v>
      </c>
      <c r="J26" t="s">
        <v>36</v>
      </c>
      <c r="K26" s="1">
        <v>221.78</v>
      </c>
      <c r="L26" s="4">
        <f t="shared" si="6"/>
        <v>3.983703033046607E-3</v>
      </c>
      <c r="M26" s="4">
        <f t="shared" ref="M26:Q35" ca="1" si="9">NORMINV(RAND(), $L$6, $L$7)</f>
        <v>-7.6554047856825479E-3</v>
      </c>
      <c r="N26" s="4">
        <f t="shared" ca="1" si="9"/>
        <v>4.1916408687599091E-2</v>
      </c>
      <c r="O26" s="4">
        <f t="shared" ca="1" si="9"/>
        <v>-1.9114571483855196E-2</v>
      </c>
      <c r="P26" s="4">
        <f t="shared" ca="1" si="9"/>
        <v>-1.3343172662855484E-2</v>
      </c>
      <c r="Q26" s="4">
        <f t="shared" ca="1" si="9"/>
        <v>1.3615739802315924E-2</v>
      </c>
      <c r="S26" s="18"/>
      <c r="T26" s="18"/>
      <c r="U26" s="18"/>
      <c r="V26" s="18"/>
    </row>
    <row r="27" spans="1:22">
      <c r="A27" t="s">
        <v>37</v>
      </c>
      <c r="B27" s="1">
        <v>524.85</v>
      </c>
      <c r="C27" s="4">
        <f t="shared" si="4"/>
        <v>1.6603687163632287E-3</v>
      </c>
      <c r="D27" s="4">
        <f t="shared" ca="1" si="8"/>
        <v>2.3357698205153789E-2</v>
      </c>
      <c r="E27" s="4">
        <f t="shared" ca="1" si="8"/>
        <v>-1.4983654545735537E-2</v>
      </c>
      <c r="F27" s="4">
        <f t="shared" ca="1" si="8"/>
        <v>1.2304976512294714E-2</v>
      </c>
      <c r="G27" s="4">
        <f t="shared" ca="1" si="8"/>
        <v>7.7234419969254868E-3</v>
      </c>
      <c r="H27" s="4">
        <f t="shared" ca="1" si="8"/>
        <v>2.6632598968827238E-2</v>
      </c>
      <c r="J27" t="s">
        <v>37</v>
      </c>
      <c r="K27" s="1">
        <v>225.22</v>
      </c>
      <c r="L27" s="4">
        <f t="shared" si="6"/>
        <v>1.551086662458291E-2</v>
      </c>
      <c r="M27" s="4">
        <f t="shared" ca="1" si="9"/>
        <v>5.2853013890589891E-3</v>
      </c>
      <c r="N27" s="4">
        <f t="shared" ca="1" si="9"/>
        <v>-1.6277761746579692E-2</v>
      </c>
      <c r="O27" s="4">
        <f t="shared" ca="1" si="9"/>
        <v>1.7302881542287884E-2</v>
      </c>
      <c r="P27" s="4">
        <f t="shared" ca="1" si="9"/>
        <v>-2.1538014114913625E-2</v>
      </c>
      <c r="Q27" s="4">
        <f t="shared" ca="1" si="9"/>
        <v>5.7043288239449791E-2</v>
      </c>
      <c r="S27" s="2" t="s">
        <v>347</v>
      </c>
    </row>
    <row r="28" spans="1:22" ht="24.95" customHeight="1">
      <c r="A28" t="s">
        <v>38</v>
      </c>
      <c r="B28" s="1">
        <v>522.4</v>
      </c>
      <c r="C28" s="4">
        <f t="shared" si="4"/>
        <v>-4.6680003810613416E-3</v>
      </c>
      <c r="D28" s="4">
        <f t="shared" ca="1" si="8"/>
        <v>1.1567860214464078E-2</v>
      </c>
      <c r="E28" s="4">
        <f t="shared" ca="1" si="8"/>
        <v>-2.5915307690649692E-2</v>
      </c>
      <c r="F28" s="4">
        <f t="shared" ca="1" si="8"/>
        <v>2.0138167058650361E-2</v>
      </c>
      <c r="G28" s="4">
        <f t="shared" ca="1" si="8"/>
        <v>-1.7796627431302545E-2</v>
      </c>
      <c r="H28" s="4">
        <f t="shared" ca="1" si="8"/>
        <v>1.8939542700591117E-2</v>
      </c>
      <c r="J28" t="s">
        <v>38</v>
      </c>
      <c r="K28" s="1">
        <v>227.74</v>
      </c>
      <c r="L28" s="4">
        <f t="shared" si="6"/>
        <v>1.1189059586182444E-2</v>
      </c>
      <c r="M28" s="4">
        <f t="shared" ca="1" si="9"/>
        <v>4.7696176864611174E-2</v>
      </c>
      <c r="N28" s="4">
        <f t="shared" ca="1" si="9"/>
        <v>-2.3899576582879507E-2</v>
      </c>
      <c r="O28" s="4">
        <f t="shared" ca="1" si="9"/>
        <v>2.648289730376694E-2</v>
      </c>
      <c r="P28" s="4">
        <f t="shared" ca="1" si="9"/>
        <v>7.0327493854791673E-3</v>
      </c>
      <c r="Q28" s="4">
        <f t="shared" ca="1" si="9"/>
        <v>-2.3567690171269647E-2</v>
      </c>
      <c r="S28" s="17" t="s">
        <v>348</v>
      </c>
      <c r="T28" s="18"/>
      <c r="U28" s="18"/>
      <c r="V28" s="18"/>
    </row>
    <row r="29" spans="1:22" ht="24.95" customHeight="1">
      <c r="A29" t="s">
        <v>39</v>
      </c>
      <c r="B29" s="1">
        <v>510.96</v>
      </c>
      <c r="C29" s="4">
        <f t="shared" si="4"/>
        <v>-2.1898928024502294E-2</v>
      </c>
      <c r="D29" s="4">
        <f t="shared" ca="1" si="8"/>
        <v>1.5068816554200588E-3</v>
      </c>
      <c r="E29" s="4">
        <f t="shared" ca="1" si="8"/>
        <v>-1.4548879845740836E-2</v>
      </c>
      <c r="F29" s="4">
        <f t="shared" ca="1" si="8"/>
        <v>-3.8049572144803263E-2</v>
      </c>
      <c r="G29" s="4">
        <f t="shared" ca="1" si="8"/>
        <v>2.3425199809988233E-2</v>
      </c>
      <c r="H29" s="4">
        <f t="shared" ca="1" si="8"/>
        <v>3.0698004114665497E-2</v>
      </c>
      <c r="J29" t="s">
        <v>39</v>
      </c>
      <c r="K29" s="1">
        <v>216.37</v>
      </c>
      <c r="L29" s="4">
        <f t="shared" si="6"/>
        <v>-4.9925353473259E-2</v>
      </c>
      <c r="M29" s="4">
        <f t="shared" ca="1" si="9"/>
        <v>-2.1530072236421161E-2</v>
      </c>
      <c r="N29" s="4">
        <f t="shared" ca="1" si="9"/>
        <v>-2.3768602134865452E-2</v>
      </c>
      <c r="O29" s="4">
        <f t="shared" ca="1" si="9"/>
        <v>1.0021879795208369E-2</v>
      </c>
      <c r="P29" s="4">
        <f t="shared" ca="1" si="9"/>
        <v>2.9186433341637842E-3</v>
      </c>
      <c r="Q29" s="4">
        <f t="shared" ca="1" si="9"/>
        <v>2.2070225722553124E-2</v>
      </c>
      <c r="S29" s="18"/>
      <c r="T29" s="18"/>
      <c r="U29" s="18"/>
      <c r="V29" s="18"/>
    </row>
    <row r="30" spans="1:22">
      <c r="A30" t="s">
        <v>40</v>
      </c>
      <c r="B30" s="1">
        <v>514.04999999999995</v>
      </c>
      <c r="C30" s="4">
        <f t="shared" si="4"/>
        <v>6.0474401127289324E-3</v>
      </c>
      <c r="D30" s="4">
        <f t="shared" ca="1" si="8"/>
        <v>2.3366891687547027E-2</v>
      </c>
      <c r="E30" s="4">
        <f t="shared" ca="1" si="8"/>
        <v>-3.6200956666009892E-2</v>
      </c>
      <c r="F30" s="4">
        <f t="shared" ca="1" si="8"/>
        <v>-4.9461045420083945E-3</v>
      </c>
      <c r="G30" s="4">
        <f t="shared" ca="1" si="8"/>
        <v>9.5461485386685223E-4</v>
      </c>
      <c r="H30" s="4">
        <f t="shared" ca="1" si="8"/>
        <v>3.0199730069128319E-2</v>
      </c>
      <c r="J30" t="s">
        <v>40</v>
      </c>
      <c r="K30" s="1">
        <v>220.07</v>
      </c>
      <c r="L30" s="4">
        <f t="shared" si="6"/>
        <v>1.7100337385034841E-2</v>
      </c>
      <c r="M30" s="4">
        <f t="shared" ca="1" si="9"/>
        <v>2.432918738493739E-2</v>
      </c>
      <c r="N30" s="4">
        <f t="shared" ca="1" si="9"/>
        <v>-8.5128538538446384E-4</v>
      </c>
      <c r="O30" s="4">
        <f t="shared" ca="1" si="9"/>
        <v>-1.3721155117193941E-2</v>
      </c>
      <c r="P30" s="4">
        <f t="shared" ca="1" si="9"/>
        <v>-2.2975935367840837E-2</v>
      </c>
      <c r="Q30" s="4">
        <f t="shared" ca="1" si="9"/>
        <v>-4.8573272047524943E-3</v>
      </c>
    </row>
    <row r="31" spans="1:22">
      <c r="A31" t="s">
        <v>41</v>
      </c>
      <c r="B31" s="1">
        <v>513.57000000000005</v>
      </c>
      <c r="C31" s="4">
        <f t="shared" si="4"/>
        <v>-9.3376130726564453E-4</v>
      </c>
      <c r="D31" s="4">
        <f t="shared" ca="1" si="8"/>
        <v>2.0825964494668898E-2</v>
      </c>
      <c r="E31" s="4">
        <f t="shared" ca="1" si="8"/>
        <v>-1.8178122257778769E-2</v>
      </c>
      <c r="F31" s="4">
        <f t="shared" ca="1" si="8"/>
        <v>-2.3175587222356811E-2</v>
      </c>
      <c r="G31" s="4">
        <f t="shared" ca="1" si="8"/>
        <v>4.8868709391130319E-3</v>
      </c>
      <c r="H31" s="4">
        <f t="shared" ca="1" si="8"/>
        <v>2.0739923780590298E-2</v>
      </c>
      <c r="J31" t="s">
        <v>41</v>
      </c>
      <c r="K31" s="1">
        <v>216.39</v>
      </c>
      <c r="L31" s="4">
        <f t="shared" si="6"/>
        <v>-1.6721952106148075E-2</v>
      </c>
      <c r="M31" s="4">
        <f t="shared" ca="1" si="9"/>
        <v>-1.8937412651500049E-2</v>
      </c>
      <c r="N31" s="4">
        <f t="shared" ca="1" si="9"/>
        <v>2.66251744009697E-2</v>
      </c>
      <c r="O31" s="4">
        <f t="shared" ca="1" si="9"/>
        <v>1.2918944721735897E-2</v>
      </c>
      <c r="P31" s="4">
        <f t="shared" ca="1" si="9"/>
        <v>7.7796103058526203E-3</v>
      </c>
      <c r="Q31" s="4">
        <f t="shared" ca="1" si="9"/>
        <v>-1.0498710521710359E-2</v>
      </c>
    </row>
    <row r="32" spans="1:22">
      <c r="A32" t="s">
        <v>42</v>
      </c>
      <c r="B32" s="1">
        <v>513.42999999999995</v>
      </c>
      <c r="C32" s="4">
        <f t="shared" si="4"/>
        <v>-2.7260159277235825E-4</v>
      </c>
      <c r="D32" s="4">
        <f t="shared" ca="1" si="8"/>
        <v>-1.6940107592359161E-2</v>
      </c>
      <c r="E32" s="4">
        <f t="shared" ca="1" si="8"/>
        <v>2.0939483140970917E-2</v>
      </c>
      <c r="F32" s="4">
        <f t="shared" ca="1" si="8"/>
        <v>-1.025579235908731E-2</v>
      </c>
      <c r="G32" s="4">
        <f t="shared" ca="1" si="8"/>
        <v>-2.3255183860007425E-2</v>
      </c>
      <c r="H32" s="4">
        <f t="shared" ca="1" si="8"/>
        <v>4.7344104330942919E-3</v>
      </c>
      <c r="J32" t="s">
        <v>42</v>
      </c>
      <c r="K32" s="1">
        <v>215.57</v>
      </c>
      <c r="L32" s="4">
        <f t="shared" si="6"/>
        <v>-3.789454226165688E-3</v>
      </c>
      <c r="M32" s="4">
        <f t="shared" ca="1" si="9"/>
        <v>-6.1123495034521615E-3</v>
      </c>
      <c r="N32" s="4">
        <f t="shared" ca="1" si="9"/>
        <v>-7.9135563749954379E-3</v>
      </c>
      <c r="O32" s="4">
        <f t="shared" ca="1" si="9"/>
        <v>-3.9715260892462939E-2</v>
      </c>
      <c r="P32" s="4">
        <f t="shared" ca="1" si="9"/>
        <v>1.4044913317292991E-2</v>
      </c>
      <c r="Q32" s="4">
        <f t="shared" ca="1" si="9"/>
        <v>-4.5003905217005074E-3</v>
      </c>
    </row>
    <row r="33" spans="1:17">
      <c r="A33" t="s">
        <v>43</v>
      </c>
      <c r="B33" s="1">
        <v>511.61</v>
      </c>
      <c r="C33" s="4">
        <f t="shared" si="4"/>
        <v>-3.5447870206258623E-3</v>
      </c>
      <c r="D33" s="4">
        <f t="shared" ca="1" si="8"/>
        <v>-1.4794911467499641E-3</v>
      </c>
      <c r="E33" s="4">
        <f t="shared" ca="1" si="8"/>
        <v>-4.4020872744106695E-2</v>
      </c>
      <c r="F33" s="4">
        <f t="shared" ca="1" si="8"/>
        <v>-3.2227055135860994E-2</v>
      </c>
      <c r="G33" s="4">
        <f t="shared" ca="1" si="8"/>
        <v>-2.8768516027703824E-3</v>
      </c>
      <c r="H33" s="4">
        <f t="shared" ca="1" si="8"/>
        <v>-3.476338235475108E-3</v>
      </c>
      <c r="J33" t="s">
        <v>43</v>
      </c>
      <c r="K33" s="1">
        <v>214.47</v>
      </c>
      <c r="L33" s="4">
        <f t="shared" si="6"/>
        <v>-5.1027508465927279E-3</v>
      </c>
      <c r="M33" s="4">
        <f t="shared" ca="1" si="9"/>
        <v>8.5608022211048334E-3</v>
      </c>
      <c r="N33" s="4">
        <f t="shared" ca="1" si="9"/>
        <v>-1.490068167438283E-2</v>
      </c>
      <c r="O33" s="4">
        <f t="shared" ca="1" si="9"/>
        <v>1.9596109777259623E-3</v>
      </c>
      <c r="P33" s="4">
        <f t="shared" ca="1" si="9"/>
        <v>1.7616392989440576E-2</v>
      </c>
      <c r="Q33" s="4">
        <f t="shared" ca="1" si="9"/>
        <v>-1.8203817424035013E-2</v>
      </c>
    </row>
    <row r="34" spans="1:17">
      <c r="A34" t="s">
        <v>44</v>
      </c>
      <c r="B34" s="1">
        <v>513.58000000000004</v>
      </c>
      <c r="C34" s="4">
        <f t="shared" si="4"/>
        <v>3.8505893160806614E-3</v>
      </c>
      <c r="D34" s="4">
        <f t="shared" ca="1" si="8"/>
        <v>-1.5572205462557448E-2</v>
      </c>
      <c r="E34" s="4">
        <f t="shared" ca="1" si="8"/>
        <v>-1.7894002949439582E-2</v>
      </c>
      <c r="F34" s="4">
        <f t="shared" ca="1" si="8"/>
        <v>-5.8622128586155193E-3</v>
      </c>
      <c r="G34" s="4">
        <f t="shared" ca="1" si="8"/>
        <v>2.0565201185829936E-2</v>
      </c>
      <c r="H34" s="4">
        <f t="shared" ca="1" si="8"/>
        <v>-3.5480193641138557E-3</v>
      </c>
      <c r="J34" t="s">
        <v>44</v>
      </c>
      <c r="K34" s="1">
        <v>213.04</v>
      </c>
      <c r="L34" s="4">
        <f t="shared" si="6"/>
        <v>-6.6675991980230656E-3</v>
      </c>
      <c r="M34" s="4">
        <f t="shared" ca="1" si="9"/>
        <v>5.5900253577093658E-3</v>
      </c>
      <c r="N34" s="4">
        <f t="shared" ca="1" si="9"/>
        <v>1.6303863786389849E-3</v>
      </c>
      <c r="O34" s="4">
        <f t="shared" ca="1" si="9"/>
        <v>3.2501545326574135E-4</v>
      </c>
      <c r="P34" s="4">
        <f t="shared" ca="1" si="9"/>
        <v>-1.4602175076125603E-3</v>
      </c>
      <c r="Q34" s="4">
        <f t="shared" ca="1" si="9"/>
        <v>-1.7694871576384084E-2</v>
      </c>
    </row>
    <row r="35" spans="1:17">
      <c r="A35" t="s">
        <v>45</v>
      </c>
      <c r="B35" s="1">
        <v>516.79</v>
      </c>
      <c r="C35" s="4">
        <f t="shared" si="4"/>
        <v>6.2502433895399402E-3</v>
      </c>
      <c r="D35" s="4">
        <f t="shared" ca="1" si="8"/>
        <v>-2.4046581404139507E-2</v>
      </c>
      <c r="E35" s="4">
        <f t="shared" ca="1" si="8"/>
        <v>6.6229270369328238E-3</v>
      </c>
      <c r="F35" s="4">
        <f t="shared" ca="1" si="8"/>
        <v>3.0964288834767683E-3</v>
      </c>
      <c r="G35" s="4">
        <f t="shared" ca="1" si="8"/>
        <v>1.0268919296821577E-2</v>
      </c>
      <c r="H35" s="4">
        <f t="shared" ca="1" si="8"/>
        <v>-4.6036840431201646E-2</v>
      </c>
      <c r="J35" t="s">
        <v>45</v>
      </c>
      <c r="K35" s="1">
        <v>216.48</v>
      </c>
      <c r="L35" s="4">
        <f t="shared" si="6"/>
        <v>1.6147202403304535E-2</v>
      </c>
      <c r="M35" s="4">
        <f t="shared" ca="1" si="9"/>
        <v>-1.0381616604547214E-2</v>
      </c>
      <c r="N35" s="4">
        <f t="shared" ca="1" si="9"/>
        <v>-9.9534800735924887E-3</v>
      </c>
      <c r="O35" s="4">
        <f t="shared" ca="1" si="9"/>
        <v>4.3096110882029352E-2</v>
      </c>
      <c r="P35" s="4">
        <f t="shared" ca="1" si="9"/>
        <v>-2.7974388638396162E-2</v>
      </c>
      <c r="Q35" s="4">
        <f t="shared" ca="1" si="9"/>
        <v>-1.1331180376482638E-2</v>
      </c>
    </row>
    <row r="36" spans="1:17">
      <c r="A36" t="s">
        <v>46</v>
      </c>
      <c r="B36" s="1">
        <v>517.66</v>
      </c>
      <c r="C36" s="4">
        <f t="shared" si="4"/>
        <v>1.6834691073743776E-3</v>
      </c>
      <c r="D36" s="4">
        <f t="shared" ref="D36:H45" ca="1" si="10">NORMINV(RAND(), $C$6, $C$7)</f>
        <v>4.0314505030553442E-2</v>
      </c>
      <c r="E36" s="4">
        <f t="shared" ca="1" si="10"/>
        <v>2.6341854581441778E-2</v>
      </c>
      <c r="F36" s="4">
        <f t="shared" ca="1" si="10"/>
        <v>-1.5220690974598491E-2</v>
      </c>
      <c r="G36" s="4">
        <f t="shared" ca="1" si="10"/>
        <v>2.3506751403664154E-2</v>
      </c>
      <c r="H36" s="4">
        <f t="shared" ca="1" si="10"/>
        <v>1.1987436173200593E-2</v>
      </c>
      <c r="J36" t="s">
        <v>46</v>
      </c>
      <c r="K36" s="1">
        <v>222.03</v>
      </c>
      <c r="L36" s="4">
        <f t="shared" si="6"/>
        <v>2.56374722838138E-2</v>
      </c>
      <c r="M36" s="4">
        <f t="shared" ref="M36:Q45" ca="1" si="11">NORMINV(RAND(), $L$6, $L$7)</f>
        <v>-1.7838214723253669E-3</v>
      </c>
      <c r="N36" s="4">
        <f t="shared" ca="1" si="11"/>
        <v>-1.100043385674576E-2</v>
      </c>
      <c r="O36" s="4">
        <f t="shared" ca="1" si="11"/>
        <v>-3.3274432463652318E-2</v>
      </c>
      <c r="P36" s="4">
        <f t="shared" ca="1" si="11"/>
        <v>-5.6735156247513137E-3</v>
      </c>
      <c r="Q36" s="4">
        <f t="shared" ca="1" si="11"/>
        <v>1.727306120803453E-2</v>
      </c>
    </row>
    <row r="37" spans="1:17">
      <c r="A37" t="s">
        <v>47</v>
      </c>
      <c r="B37" s="1">
        <v>520.54</v>
      </c>
      <c r="C37" s="4">
        <f t="shared" si="4"/>
        <v>5.5634972762044496E-3</v>
      </c>
      <c r="D37" s="4">
        <f t="shared" ca="1" si="10"/>
        <v>-2.3782442820052818E-2</v>
      </c>
      <c r="E37" s="4">
        <f t="shared" ca="1" si="10"/>
        <v>3.1478315896953379E-2</v>
      </c>
      <c r="F37" s="4">
        <f t="shared" ca="1" si="10"/>
        <v>1.0892127529245467E-2</v>
      </c>
      <c r="G37" s="4">
        <f t="shared" ca="1" si="10"/>
        <v>-5.0791411908386888E-2</v>
      </c>
      <c r="H37" s="4">
        <f t="shared" ca="1" si="10"/>
        <v>-1.9117247328773561E-2</v>
      </c>
      <c r="J37" t="s">
        <v>47</v>
      </c>
      <c r="K37" s="1">
        <v>217.95</v>
      </c>
      <c r="L37" s="4">
        <f t="shared" si="6"/>
        <v>-1.8375895149304204E-2</v>
      </c>
      <c r="M37" s="4">
        <f t="shared" ca="1" si="11"/>
        <v>-2.0469060320988313E-2</v>
      </c>
      <c r="N37" s="4">
        <f t="shared" ca="1" si="11"/>
        <v>-1.5126730087749739E-2</v>
      </c>
      <c r="O37" s="4">
        <f t="shared" ca="1" si="11"/>
        <v>2.8944380438871906E-2</v>
      </c>
      <c r="P37" s="4">
        <f t="shared" ca="1" si="11"/>
        <v>4.3200020869447516E-3</v>
      </c>
      <c r="Q37" s="4">
        <f t="shared" ca="1" si="11"/>
        <v>3.5740645122040574E-2</v>
      </c>
    </row>
    <row r="38" spans="1:17">
      <c r="A38" t="s">
        <v>48</v>
      </c>
      <c r="B38" s="1">
        <v>520.55999999999995</v>
      </c>
      <c r="C38" s="4">
        <f t="shared" si="4"/>
        <v>3.8421639067087664E-5</v>
      </c>
      <c r="D38" s="4">
        <f t="shared" ca="1" si="10"/>
        <v>1.8560157542320672E-2</v>
      </c>
      <c r="E38" s="4">
        <f t="shared" ca="1" si="10"/>
        <v>-1.3834228091011988E-2</v>
      </c>
      <c r="F38" s="4">
        <f t="shared" ca="1" si="10"/>
        <v>-2.0090656969498799E-2</v>
      </c>
      <c r="G38" s="4">
        <f t="shared" ca="1" si="10"/>
        <v>2.6871713663508143E-2</v>
      </c>
      <c r="H38" s="4">
        <f t="shared" ca="1" si="10"/>
        <v>8.5728461362460824E-3</v>
      </c>
      <c r="J38" t="s">
        <v>48</v>
      </c>
      <c r="K38" s="1">
        <v>221.09</v>
      </c>
      <c r="L38" s="4">
        <f t="shared" si="6"/>
        <v>1.4406974076623147E-2</v>
      </c>
      <c r="M38" s="4">
        <f t="shared" ca="1" si="11"/>
        <v>-3.349761780635347E-2</v>
      </c>
      <c r="N38" s="4">
        <f t="shared" ca="1" si="11"/>
        <v>-2.3141159712899022E-2</v>
      </c>
      <c r="O38" s="4">
        <f t="shared" ca="1" si="11"/>
        <v>-4.4938537680095723E-2</v>
      </c>
      <c r="P38" s="4">
        <f t="shared" ca="1" si="11"/>
        <v>5.5724155781340925E-3</v>
      </c>
      <c r="Q38" s="4">
        <f t="shared" ca="1" si="11"/>
        <v>9.9460698251780996E-3</v>
      </c>
    </row>
    <row r="39" spans="1:17">
      <c r="A39" t="s">
        <v>49</v>
      </c>
      <c r="B39" s="1">
        <v>523.61</v>
      </c>
      <c r="C39" s="4">
        <f t="shared" si="4"/>
        <v>5.8590748424774634E-3</v>
      </c>
      <c r="D39" s="4">
        <f t="shared" ca="1" si="10"/>
        <v>1.1272016163211353E-2</v>
      </c>
      <c r="E39" s="4">
        <f t="shared" ca="1" si="10"/>
        <v>-2.8424231866194166E-2</v>
      </c>
      <c r="F39" s="4">
        <f t="shared" ca="1" si="10"/>
        <v>-9.9585499758011713E-3</v>
      </c>
      <c r="G39" s="4">
        <f t="shared" ca="1" si="10"/>
        <v>2.2235719099682021E-2</v>
      </c>
      <c r="H39" s="4">
        <f t="shared" ca="1" si="10"/>
        <v>1.0052479433693747E-2</v>
      </c>
      <c r="J39" t="s">
        <v>49</v>
      </c>
      <c r="K39" s="1">
        <v>224.21</v>
      </c>
      <c r="L39" s="4">
        <f t="shared" si="6"/>
        <v>1.4111900131168323E-2</v>
      </c>
      <c r="M39" s="4">
        <f t="shared" ca="1" si="11"/>
        <v>1.2058795260314573E-2</v>
      </c>
      <c r="N39" s="4">
        <f t="shared" ca="1" si="11"/>
        <v>-1.0946693661392915E-2</v>
      </c>
      <c r="O39" s="4">
        <f t="shared" ca="1" si="11"/>
        <v>-2.7583374631174083E-2</v>
      </c>
      <c r="P39" s="4">
        <f t="shared" ca="1" si="11"/>
        <v>4.6332430076612856E-2</v>
      </c>
      <c r="Q39" s="4">
        <f t="shared" ca="1" si="11"/>
        <v>1.1242866319734807E-2</v>
      </c>
    </row>
    <row r="40" spans="1:17">
      <c r="A40" t="s">
        <v>50</v>
      </c>
      <c r="B40" s="1">
        <v>531.52</v>
      </c>
      <c r="C40" s="4">
        <f t="shared" si="4"/>
        <v>1.5106663356314753E-2</v>
      </c>
      <c r="D40" s="4">
        <f t="shared" ca="1" si="10"/>
        <v>1.2797032609884721E-2</v>
      </c>
      <c r="E40" s="4">
        <f t="shared" ca="1" si="10"/>
        <v>1.531064061262254E-2</v>
      </c>
      <c r="F40" s="4">
        <f t="shared" ca="1" si="10"/>
        <v>-7.6322977099757224E-4</v>
      </c>
      <c r="G40" s="4">
        <f t="shared" ca="1" si="10"/>
        <v>-3.8244052923729961E-2</v>
      </c>
      <c r="H40" s="4">
        <f t="shared" ca="1" si="10"/>
        <v>-9.123741069528098E-3</v>
      </c>
      <c r="J40" t="s">
        <v>50</v>
      </c>
      <c r="K40" s="1">
        <v>226.97</v>
      </c>
      <c r="L40" s="4">
        <f t="shared" si="6"/>
        <v>1.2309888051380362E-2</v>
      </c>
      <c r="M40" s="4">
        <f t="shared" ca="1" si="11"/>
        <v>2.4353587953531958E-2</v>
      </c>
      <c r="N40" s="4">
        <f t="shared" ca="1" si="11"/>
        <v>-3.7443125703158909E-3</v>
      </c>
      <c r="O40" s="4">
        <f t="shared" ca="1" si="11"/>
        <v>-5.6984639708264799E-3</v>
      </c>
      <c r="P40" s="4">
        <f t="shared" ca="1" si="11"/>
        <v>2.2043399723755259E-2</v>
      </c>
      <c r="Q40" s="4">
        <f t="shared" ca="1" si="11"/>
        <v>-1.5017611800933924E-2</v>
      </c>
    </row>
    <row r="41" spans="1:17">
      <c r="A41" t="s">
        <v>51</v>
      </c>
      <c r="B41" s="1">
        <v>542.07000000000005</v>
      </c>
      <c r="C41" s="4">
        <f t="shared" si="4"/>
        <v>1.9848735701384838E-2</v>
      </c>
      <c r="D41" s="4">
        <f t="shared" ca="1" si="10"/>
        <v>2.6952982894832098E-2</v>
      </c>
      <c r="E41" s="4">
        <f t="shared" ca="1" si="10"/>
        <v>1.2568414180741481E-2</v>
      </c>
      <c r="F41" s="4">
        <f t="shared" ca="1" si="10"/>
        <v>-9.629068447750919E-3</v>
      </c>
      <c r="G41" s="4">
        <f t="shared" ca="1" si="10"/>
        <v>1.0518251959498409E-2</v>
      </c>
      <c r="H41" s="4">
        <f t="shared" ca="1" si="10"/>
        <v>-5.6956582938334204E-3</v>
      </c>
      <c r="J41" t="s">
        <v>51</v>
      </c>
      <c r="K41" s="1">
        <v>229.25</v>
      </c>
      <c r="L41" s="4">
        <f t="shared" si="6"/>
        <v>1.0045380446755082E-2</v>
      </c>
      <c r="M41" s="4">
        <f t="shared" ca="1" si="11"/>
        <v>3.9064002908133798E-2</v>
      </c>
      <c r="N41" s="4">
        <f t="shared" ca="1" si="11"/>
        <v>-1.7798016558243687E-2</v>
      </c>
      <c r="O41" s="4">
        <f t="shared" ca="1" si="11"/>
        <v>9.3875177675496052E-3</v>
      </c>
      <c r="P41" s="4">
        <f t="shared" ca="1" si="11"/>
        <v>4.8606404924960371E-2</v>
      </c>
      <c r="Q41" s="4">
        <f t="shared" ca="1" si="11"/>
        <v>-1.4487627970994742E-2</v>
      </c>
    </row>
    <row r="42" spans="1:17">
      <c r="A42" t="s">
        <v>52</v>
      </c>
      <c r="B42" s="1">
        <v>541.54999999999995</v>
      </c>
      <c r="C42" s="4">
        <f t="shared" si="4"/>
        <v>-9.5928570110888898E-4</v>
      </c>
      <c r="D42" s="4">
        <f t="shared" ca="1" si="10"/>
        <v>-4.2131738175887175E-2</v>
      </c>
      <c r="E42" s="4">
        <f t="shared" ca="1" si="10"/>
        <v>-4.0435855653941317E-2</v>
      </c>
      <c r="F42" s="4">
        <f t="shared" ca="1" si="10"/>
        <v>2.3167159588042625E-2</v>
      </c>
      <c r="G42" s="4">
        <f t="shared" ca="1" si="10"/>
        <v>-2.0459213227463559E-2</v>
      </c>
      <c r="H42" s="4">
        <f t="shared" ca="1" si="10"/>
        <v>1.1584636060370688E-2</v>
      </c>
      <c r="J42" t="s">
        <v>52</v>
      </c>
      <c r="K42" s="1">
        <v>230.3</v>
      </c>
      <c r="L42" s="4">
        <f t="shared" si="6"/>
        <v>4.5801526717557748E-3</v>
      </c>
      <c r="M42" s="4">
        <f t="shared" ca="1" si="11"/>
        <v>2.4445099200712063E-2</v>
      </c>
      <c r="N42" s="4">
        <f t="shared" ca="1" si="11"/>
        <v>3.4739508889260244E-2</v>
      </c>
      <c r="O42" s="4">
        <f t="shared" ca="1" si="11"/>
        <v>-2.155159776426839E-2</v>
      </c>
      <c r="P42" s="4">
        <f t="shared" ca="1" si="11"/>
        <v>3.7958816695931714E-2</v>
      </c>
      <c r="Q42" s="4">
        <f t="shared" ca="1" si="11"/>
        <v>-2.4400235189172177E-2</v>
      </c>
    </row>
    <row r="43" spans="1:17">
      <c r="A43" t="s">
        <v>53</v>
      </c>
      <c r="B43" s="1">
        <v>525.76</v>
      </c>
      <c r="C43" s="4">
        <f t="shared" si="4"/>
        <v>-2.915704921059914E-2</v>
      </c>
      <c r="D43" s="4">
        <f t="shared" ca="1" si="10"/>
        <v>4.4469312181170374E-2</v>
      </c>
      <c r="E43" s="4">
        <f t="shared" ca="1" si="10"/>
        <v>-2.327226379572454E-2</v>
      </c>
      <c r="F43" s="4">
        <f t="shared" ca="1" si="10"/>
        <v>-9.2800695476124885E-3</v>
      </c>
      <c r="G43" s="4">
        <f t="shared" ca="1" si="10"/>
        <v>-5.6109400414549662E-3</v>
      </c>
      <c r="H43" s="4">
        <f t="shared" ca="1" si="10"/>
        <v>-1.6274753379186005E-2</v>
      </c>
      <c r="J43" t="s">
        <v>53</v>
      </c>
      <c r="K43" s="1">
        <v>222.86</v>
      </c>
      <c r="L43" s="4">
        <f t="shared" si="6"/>
        <v>-3.2305688232739896E-2</v>
      </c>
      <c r="M43" s="4">
        <f t="shared" ca="1" si="11"/>
        <v>-4.6613146999132859E-3</v>
      </c>
      <c r="N43" s="4">
        <f t="shared" ca="1" si="11"/>
        <v>-1.5346256649124666E-3</v>
      </c>
      <c r="O43" s="4">
        <f t="shared" ca="1" si="11"/>
        <v>-1.122211818550019E-2</v>
      </c>
      <c r="P43" s="4">
        <f t="shared" ca="1" si="11"/>
        <v>-1.1423581025809624E-2</v>
      </c>
      <c r="Q43" s="4">
        <f t="shared" ca="1" si="11"/>
        <v>-1.9205264766374176E-2</v>
      </c>
    </row>
    <row r="44" spans="1:17">
      <c r="A44" t="s">
        <v>54</v>
      </c>
      <c r="B44" s="1">
        <v>517.80999999999995</v>
      </c>
      <c r="C44" s="4">
        <f t="shared" si="4"/>
        <v>-1.5120967741935571E-2</v>
      </c>
      <c r="D44" s="4">
        <f t="shared" ca="1" si="10"/>
        <v>-1.4466633618105854E-2</v>
      </c>
      <c r="E44" s="4">
        <f t="shared" ca="1" si="10"/>
        <v>9.7552447067179079E-4</v>
      </c>
      <c r="F44" s="4">
        <f t="shared" ca="1" si="10"/>
        <v>1.9219344310500285E-2</v>
      </c>
      <c r="G44" s="4">
        <f t="shared" ca="1" si="10"/>
        <v>-9.7483881664140286E-3</v>
      </c>
      <c r="H44" s="4">
        <f t="shared" ca="1" si="10"/>
        <v>-2.4298147204958047E-3</v>
      </c>
      <c r="J44" t="s">
        <v>54</v>
      </c>
      <c r="K44" s="1">
        <v>244.22</v>
      </c>
      <c r="L44" s="4">
        <f t="shared" si="6"/>
        <v>9.5844925065063202E-2</v>
      </c>
      <c r="M44" s="4">
        <f t="shared" ca="1" si="11"/>
        <v>4.9222169395935197E-2</v>
      </c>
      <c r="N44" s="4">
        <f t="shared" ca="1" si="11"/>
        <v>7.7667567747542862E-4</v>
      </c>
      <c r="O44" s="4">
        <f t="shared" ca="1" si="11"/>
        <v>7.6269334871850438E-3</v>
      </c>
      <c r="P44" s="4">
        <f t="shared" ca="1" si="11"/>
        <v>-2.6079702427848399E-2</v>
      </c>
      <c r="Q44" s="4">
        <f t="shared" ca="1" si="11"/>
        <v>2.8197255060654656E-2</v>
      </c>
    </row>
    <row r="45" spans="1:17">
      <c r="A45" t="s">
        <v>55</v>
      </c>
      <c r="B45" s="1">
        <v>517.03</v>
      </c>
      <c r="C45" s="4">
        <f t="shared" si="4"/>
        <v>-1.5063440258009169E-3</v>
      </c>
      <c r="D45" s="4">
        <f t="shared" ca="1" si="10"/>
        <v>9.1400736854453553E-3</v>
      </c>
      <c r="E45" s="4">
        <f t="shared" ca="1" si="10"/>
        <v>-3.7276216268444934E-2</v>
      </c>
      <c r="F45" s="4">
        <f t="shared" ca="1" si="10"/>
        <v>-3.7016722366360562E-2</v>
      </c>
      <c r="G45" s="4">
        <f t="shared" ca="1" si="10"/>
        <v>-6.3939405441153256E-3</v>
      </c>
      <c r="H45" s="4">
        <f t="shared" ca="1" si="10"/>
        <v>-1.9041792418650807E-2</v>
      </c>
      <c r="J45" t="s">
        <v>55</v>
      </c>
      <c r="K45" s="1">
        <v>254</v>
      </c>
      <c r="L45" s="4">
        <f t="shared" si="6"/>
        <v>4.0045860289902549E-2</v>
      </c>
      <c r="M45" s="4">
        <f t="shared" ca="1" si="11"/>
        <v>2.8266764654783959E-2</v>
      </c>
      <c r="N45" s="4">
        <f t="shared" ca="1" si="11"/>
        <v>-8.9597254764879238E-3</v>
      </c>
      <c r="O45" s="4">
        <f t="shared" ca="1" si="11"/>
        <v>1.074016611778119E-2</v>
      </c>
      <c r="P45" s="4">
        <f t="shared" ca="1" si="11"/>
        <v>2.8844781279097016E-2</v>
      </c>
      <c r="Q45" s="4">
        <f t="shared" ca="1" si="11"/>
        <v>1.2519099476143257E-2</v>
      </c>
    </row>
    <row r="46" spans="1:17">
      <c r="A46" t="s">
        <v>56</v>
      </c>
      <c r="B46" s="1">
        <v>514.33000000000004</v>
      </c>
      <c r="C46" s="4">
        <f t="shared" si="4"/>
        <v>-5.2221341121403628E-3</v>
      </c>
      <c r="D46" s="4">
        <f t="shared" ref="D46:H55" ca="1" si="12">NORMINV(RAND(), $C$6, $C$7)</f>
        <v>3.8227981552851802E-3</v>
      </c>
      <c r="E46" s="4">
        <f t="shared" ca="1" si="12"/>
        <v>-1.29179464153745E-2</v>
      </c>
      <c r="F46" s="4">
        <f t="shared" ca="1" si="12"/>
        <v>2.1628970346645848E-2</v>
      </c>
      <c r="G46" s="4">
        <f t="shared" ca="1" si="12"/>
        <v>-7.2840793616957989E-3</v>
      </c>
      <c r="H46" s="4">
        <f t="shared" ca="1" si="12"/>
        <v>-9.5914738207604593E-3</v>
      </c>
      <c r="J46" t="s">
        <v>56</v>
      </c>
      <c r="K46" s="1">
        <v>249.32</v>
      </c>
      <c r="L46" s="4">
        <f t="shared" si="6"/>
        <v>-1.8425196850393729E-2</v>
      </c>
      <c r="M46" s="4">
        <f t="shared" ref="M46:Q55" ca="1" si="13">NORMINV(RAND(), $L$6, $L$7)</f>
        <v>1.985836737413571E-2</v>
      </c>
      <c r="N46" s="4">
        <f t="shared" ca="1" si="13"/>
        <v>7.8965991689867159E-3</v>
      </c>
      <c r="O46" s="4">
        <f t="shared" ca="1" si="13"/>
        <v>1.174432108806253E-2</v>
      </c>
      <c r="P46" s="4">
        <f t="shared" ca="1" si="13"/>
        <v>9.713696349048468E-3</v>
      </c>
      <c r="Q46" s="4">
        <f t="shared" ca="1" si="13"/>
        <v>6.4288410889196271E-3</v>
      </c>
    </row>
    <row r="47" spans="1:17">
      <c r="A47" t="s">
        <v>57</v>
      </c>
      <c r="B47" s="1">
        <v>507.16</v>
      </c>
      <c r="C47" s="4">
        <f t="shared" si="4"/>
        <v>-1.3940466237629567E-2</v>
      </c>
      <c r="D47" s="4">
        <f t="shared" ca="1" si="12"/>
        <v>1.1355579233067415E-2</v>
      </c>
      <c r="E47" s="4">
        <f t="shared" ca="1" si="12"/>
        <v>4.7047227860447698E-3</v>
      </c>
      <c r="F47" s="4">
        <f t="shared" ca="1" si="12"/>
        <v>-2.8535281092883485E-2</v>
      </c>
      <c r="G47" s="4">
        <f t="shared" ca="1" si="12"/>
        <v>4.724409399931824E-2</v>
      </c>
      <c r="H47" s="4">
        <f t="shared" ca="1" si="12"/>
        <v>-3.5064302333764931E-2</v>
      </c>
      <c r="J47" t="s">
        <v>57</v>
      </c>
      <c r="K47" s="1">
        <v>250.2</v>
      </c>
      <c r="L47" s="4">
        <f t="shared" si="6"/>
        <v>3.5296005133964204E-3</v>
      </c>
      <c r="M47" s="4">
        <f t="shared" ca="1" si="13"/>
        <v>2.0297303953866707E-2</v>
      </c>
      <c r="N47" s="4">
        <f t="shared" ca="1" si="13"/>
        <v>-3.6282833625816045E-2</v>
      </c>
      <c r="O47" s="4">
        <f t="shared" ca="1" si="13"/>
        <v>-6.6536363306458804E-2</v>
      </c>
      <c r="P47" s="4">
        <f t="shared" ca="1" si="13"/>
        <v>1.0505166279196534E-3</v>
      </c>
      <c r="Q47" s="4">
        <f t="shared" ca="1" si="13"/>
        <v>1.31616076338558E-2</v>
      </c>
    </row>
    <row r="48" spans="1:17">
      <c r="A48" t="s">
        <v>58</v>
      </c>
      <c r="B48" s="1">
        <v>497.1</v>
      </c>
      <c r="C48" s="4">
        <f t="shared" si="4"/>
        <v>-1.9835949207350739E-2</v>
      </c>
      <c r="D48" s="4">
        <f t="shared" ca="1" si="12"/>
        <v>-9.0478382450307759E-3</v>
      </c>
      <c r="E48" s="4">
        <f t="shared" ca="1" si="12"/>
        <v>1.0446131400730992E-3</v>
      </c>
      <c r="F48" s="4">
        <f t="shared" ca="1" si="12"/>
        <v>1.6500593167842578E-2</v>
      </c>
      <c r="G48" s="4">
        <f t="shared" ca="1" si="12"/>
        <v>2.0381557593652202E-2</v>
      </c>
      <c r="H48" s="4">
        <f t="shared" ca="1" si="12"/>
        <v>1.4891069545322331E-2</v>
      </c>
      <c r="J48" t="s">
        <v>58</v>
      </c>
      <c r="K48" s="1">
        <v>243.04</v>
      </c>
      <c r="L48" s="4">
        <f t="shared" si="6"/>
        <v>-2.8617106314948029E-2</v>
      </c>
      <c r="M48" s="4">
        <f t="shared" ca="1" si="13"/>
        <v>9.5553180580317618E-3</v>
      </c>
      <c r="N48" s="4">
        <f t="shared" ca="1" si="13"/>
        <v>-1.4291058418589474E-2</v>
      </c>
      <c r="O48" s="4">
        <f t="shared" ca="1" si="13"/>
        <v>-2.8040289846684992E-3</v>
      </c>
      <c r="P48" s="4">
        <f t="shared" ca="1" si="13"/>
        <v>5.3544936521567277E-2</v>
      </c>
      <c r="Q48" s="4">
        <f t="shared" ca="1" si="13"/>
        <v>-1.5377347303399532E-3</v>
      </c>
    </row>
    <row r="49" spans="1:17">
      <c r="A49" t="s">
        <v>59</v>
      </c>
      <c r="B49" s="1">
        <v>496.82</v>
      </c>
      <c r="C49" s="4">
        <f t="shared" si="4"/>
        <v>-5.6326694830020028E-4</v>
      </c>
      <c r="D49" s="4">
        <f t="shared" ca="1" si="12"/>
        <v>-2.3198563904371514E-2</v>
      </c>
      <c r="E49" s="4">
        <f t="shared" ca="1" si="12"/>
        <v>-8.254775340833756E-3</v>
      </c>
      <c r="F49" s="4">
        <f t="shared" ca="1" si="12"/>
        <v>-2.492668281497917E-3</v>
      </c>
      <c r="G49" s="4">
        <f t="shared" ca="1" si="12"/>
        <v>-2.0514113044196924E-2</v>
      </c>
      <c r="H49" s="4">
        <f t="shared" ca="1" si="12"/>
        <v>8.0556021579292012E-3</v>
      </c>
      <c r="J49" t="s">
        <v>59</v>
      </c>
      <c r="K49" s="1">
        <v>244.41</v>
      </c>
      <c r="L49" s="4">
        <f t="shared" si="6"/>
        <v>5.6369321922317504E-3</v>
      </c>
      <c r="M49" s="4">
        <f t="shared" ca="1" si="13"/>
        <v>2.3632925588661535E-2</v>
      </c>
      <c r="N49" s="4">
        <f t="shared" ca="1" si="13"/>
        <v>4.9920362517893464E-3</v>
      </c>
      <c r="O49" s="4">
        <f t="shared" ca="1" si="13"/>
        <v>4.6417673710854269E-3</v>
      </c>
      <c r="P49" s="4">
        <f t="shared" ca="1" si="13"/>
        <v>1.3132154811747197E-2</v>
      </c>
      <c r="Q49" s="4">
        <f t="shared" ca="1" si="13"/>
        <v>5.8018441928278036E-3</v>
      </c>
    </row>
    <row r="50" spans="1:17">
      <c r="A50" t="s">
        <v>60</v>
      </c>
      <c r="B50" s="1">
        <v>506</v>
      </c>
      <c r="C50" s="4">
        <f t="shared" si="4"/>
        <v>1.8477517008171986E-2</v>
      </c>
      <c r="D50" s="4">
        <f t="shared" ca="1" si="12"/>
        <v>-1.4024550238070244E-2</v>
      </c>
      <c r="E50" s="4">
        <f t="shared" ca="1" si="12"/>
        <v>7.0637395054115011E-3</v>
      </c>
      <c r="F50" s="4">
        <f t="shared" ca="1" si="12"/>
        <v>3.3391885929823097E-2</v>
      </c>
      <c r="G50" s="4">
        <f t="shared" ca="1" si="12"/>
        <v>-1.1009694209116452E-2</v>
      </c>
      <c r="H50" s="4">
        <f t="shared" ca="1" si="12"/>
        <v>1.0887583938064993E-2</v>
      </c>
      <c r="J50" t="s">
        <v>60</v>
      </c>
      <c r="K50" s="1">
        <v>248.4</v>
      </c>
      <c r="L50" s="4">
        <f t="shared" si="6"/>
        <v>1.6325027617527962E-2</v>
      </c>
      <c r="M50" s="4">
        <f t="shared" ca="1" si="13"/>
        <v>-4.6215436175478276E-3</v>
      </c>
      <c r="N50" s="4">
        <f t="shared" ca="1" si="13"/>
        <v>-3.8805244723825891E-2</v>
      </c>
      <c r="O50" s="4">
        <f t="shared" ca="1" si="13"/>
        <v>-4.7929419690608092E-2</v>
      </c>
      <c r="P50" s="4">
        <f t="shared" ca="1" si="13"/>
        <v>-2.6838220408665768E-3</v>
      </c>
      <c r="Q50" s="4">
        <f t="shared" ca="1" si="13"/>
        <v>5.7463432424814552E-3</v>
      </c>
    </row>
    <row r="51" spans="1:17">
      <c r="A51" t="s">
        <v>61</v>
      </c>
      <c r="B51" s="1">
        <v>508.68</v>
      </c>
      <c r="C51" s="4">
        <f t="shared" si="4"/>
        <v>5.2964426877470487E-3</v>
      </c>
      <c r="D51" s="4">
        <f t="shared" ca="1" si="12"/>
        <v>-6.5426754794732263E-3</v>
      </c>
      <c r="E51" s="4">
        <f t="shared" ca="1" si="12"/>
        <v>-3.7795000278747783E-3</v>
      </c>
      <c r="F51" s="4">
        <f t="shared" ca="1" si="12"/>
        <v>-6.8841127233775015E-3</v>
      </c>
      <c r="G51" s="4">
        <f t="shared" ca="1" si="12"/>
        <v>-3.0218583448478804E-3</v>
      </c>
      <c r="H51" s="4">
        <f t="shared" ca="1" si="12"/>
        <v>-1.5622648819302197E-2</v>
      </c>
      <c r="J51" t="s">
        <v>61</v>
      </c>
      <c r="K51" s="1">
        <v>249.1</v>
      </c>
      <c r="L51" s="4">
        <f t="shared" si="6"/>
        <v>2.8180354267310329E-3</v>
      </c>
      <c r="M51" s="4">
        <f t="shared" ca="1" si="13"/>
        <v>4.2035071867242858E-3</v>
      </c>
      <c r="N51" s="4">
        <f t="shared" ca="1" si="13"/>
        <v>4.2153791918016215E-3</v>
      </c>
      <c r="O51" s="4">
        <f t="shared" ca="1" si="13"/>
        <v>-2.5863337479202973E-2</v>
      </c>
      <c r="P51" s="4">
        <f t="shared" ca="1" si="13"/>
        <v>-5.3247236974220524E-3</v>
      </c>
      <c r="Q51" s="4">
        <f t="shared" ca="1" si="13"/>
        <v>2.0376069244166559E-2</v>
      </c>
    </row>
    <row r="52" spans="1:17">
      <c r="A52" t="s">
        <v>62</v>
      </c>
      <c r="B52" s="1">
        <v>511.14</v>
      </c>
      <c r="C52" s="4">
        <f t="shared" si="4"/>
        <v>4.8360462373200821E-3</v>
      </c>
      <c r="D52" s="4">
        <f t="shared" ca="1" si="12"/>
        <v>-2.3735075972303669E-2</v>
      </c>
      <c r="E52" s="4">
        <f t="shared" ca="1" si="12"/>
        <v>-3.5377226691510597E-3</v>
      </c>
      <c r="F52" s="4">
        <f t="shared" ca="1" si="12"/>
        <v>-3.3171112531311657E-2</v>
      </c>
      <c r="G52" s="4">
        <f t="shared" ca="1" si="12"/>
        <v>1.0101859420247154E-2</v>
      </c>
      <c r="H52" s="4">
        <f t="shared" ca="1" si="12"/>
        <v>-1.7079838910405293E-2</v>
      </c>
      <c r="J52" t="s">
        <v>62</v>
      </c>
      <c r="K52" s="1">
        <v>244.2</v>
      </c>
      <c r="L52" s="4">
        <f t="shared" si="6"/>
        <v>-1.9670814933761566E-2</v>
      </c>
      <c r="M52" s="4">
        <f t="shared" ca="1" si="13"/>
        <v>-2.5526628663702363E-2</v>
      </c>
      <c r="N52" s="4">
        <f t="shared" ca="1" si="13"/>
        <v>1.4177877236894343E-2</v>
      </c>
      <c r="O52" s="4">
        <f t="shared" ca="1" si="13"/>
        <v>-1.8606287091246003E-2</v>
      </c>
      <c r="P52" s="4">
        <f t="shared" ca="1" si="13"/>
        <v>-6.0096333689750739E-3</v>
      </c>
      <c r="Q52" s="4">
        <f t="shared" ca="1" si="13"/>
        <v>4.2936826360121388E-3</v>
      </c>
    </row>
    <row r="53" spans="1:17">
      <c r="A53" t="s">
        <v>63</v>
      </c>
      <c r="B53" s="1">
        <v>503.29</v>
      </c>
      <c r="C53" s="4">
        <f t="shared" si="4"/>
        <v>-1.535782760104857E-2</v>
      </c>
      <c r="D53" s="4">
        <f t="shared" ca="1" si="12"/>
        <v>1.4173581176022754E-3</v>
      </c>
      <c r="E53" s="4">
        <f t="shared" ca="1" si="12"/>
        <v>3.6416159539283025E-2</v>
      </c>
      <c r="F53" s="4">
        <f t="shared" ca="1" si="12"/>
        <v>1.496169390428107E-2</v>
      </c>
      <c r="G53" s="4">
        <f t="shared" ca="1" si="12"/>
        <v>2.3271277502655535E-2</v>
      </c>
      <c r="H53" s="4">
        <f t="shared" ca="1" si="12"/>
        <v>3.7442533215498114E-3</v>
      </c>
      <c r="J53" t="s">
        <v>63</v>
      </c>
      <c r="K53" s="1">
        <v>237.58</v>
      </c>
      <c r="L53" s="4">
        <f t="shared" si="6"/>
        <v>-2.7108927108927011E-2</v>
      </c>
      <c r="M53" s="4">
        <f t="shared" ca="1" si="13"/>
        <v>-3.2303395425955588E-3</v>
      </c>
      <c r="N53" s="4">
        <f t="shared" ca="1" si="13"/>
        <v>-7.3767647250035633E-3</v>
      </c>
      <c r="O53" s="4">
        <f t="shared" ca="1" si="13"/>
        <v>4.4572771671059514E-3</v>
      </c>
      <c r="P53" s="4">
        <f t="shared" ca="1" si="13"/>
        <v>-4.7048997440797928E-3</v>
      </c>
      <c r="Q53" s="4">
        <f t="shared" ca="1" si="13"/>
        <v>-2.5239070078644297E-3</v>
      </c>
    </row>
    <row r="54" spans="1:17">
      <c r="A54" t="s">
        <v>64</v>
      </c>
      <c r="B54" s="1">
        <v>510.18</v>
      </c>
      <c r="C54" s="4">
        <f t="shared" si="4"/>
        <v>1.3689920324266299E-2</v>
      </c>
      <c r="D54" s="4">
        <f t="shared" ca="1" si="12"/>
        <v>-2.525278921089049E-2</v>
      </c>
      <c r="E54" s="4">
        <f t="shared" ca="1" si="12"/>
        <v>-7.4297756786207338E-3</v>
      </c>
      <c r="F54" s="4">
        <f t="shared" ca="1" si="12"/>
        <v>2.3646328658320091E-3</v>
      </c>
      <c r="G54" s="4">
        <f t="shared" ca="1" si="12"/>
        <v>-9.9852127878417504E-3</v>
      </c>
      <c r="H54" s="4">
        <f t="shared" ca="1" si="12"/>
        <v>-7.8240517242785333E-3</v>
      </c>
      <c r="J54" t="s">
        <v>64</v>
      </c>
      <c r="K54" s="1">
        <v>234.69</v>
      </c>
      <c r="L54" s="4">
        <f t="shared" si="6"/>
        <v>-1.2164323596262374E-2</v>
      </c>
      <c r="M54" s="4">
        <f t="shared" ca="1" si="13"/>
        <v>1.7485305078384214E-3</v>
      </c>
      <c r="N54" s="4">
        <f t="shared" ca="1" si="13"/>
        <v>-1.2100405481768984E-2</v>
      </c>
      <c r="O54" s="4">
        <f t="shared" ca="1" si="13"/>
        <v>9.0712612141500403E-3</v>
      </c>
      <c r="P54" s="4">
        <f t="shared" ca="1" si="13"/>
        <v>1.7432143953847436E-2</v>
      </c>
      <c r="Q54" s="4">
        <f t="shared" ca="1" si="13"/>
        <v>-8.1045223966810312E-3</v>
      </c>
    </row>
    <row r="55" spans="1:17">
      <c r="A55" t="s">
        <v>65</v>
      </c>
      <c r="B55" s="1">
        <v>507.49</v>
      </c>
      <c r="C55" s="4">
        <f t="shared" si="4"/>
        <v>-5.2726488690266133E-3</v>
      </c>
      <c r="D55" s="4">
        <f t="shared" ca="1" si="12"/>
        <v>-6.8811892090310947E-3</v>
      </c>
      <c r="E55" s="4">
        <f t="shared" ca="1" si="12"/>
        <v>-5.7953006747672037E-4</v>
      </c>
      <c r="F55" s="4">
        <f t="shared" ca="1" si="12"/>
        <v>2.6464473001477338E-2</v>
      </c>
      <c r="G55" s="4">
        <f t="shared" ca="1" si="12"/>
        <v>-1.4658509246010904E-2</v>
      </c>
      <c r="H55" s="4">
        <f t="shared" ca="1" si="12"/>
        <v>6.0710129188626513E-4</v>
      </c>
      <c r="J55" t="s">
        <v>65</v>
      </c>
      <c r="K55" s="1">
        <v>232.87</v>
      </c>
      <c r="L55" s="4">
        <f t="shared" si="6"/>
        <v>-7.7549107333077386E-3</v>
      </c>
      <c r="M55" s="4">
        <f t="shared" ca="1" si="13"/>
        <v>-1.0077680683242165E-2</v>
      </c>
      <c r="N55" s="4">
        <f t="shared" ca="1" si="13"/>
        <v>-1.3883890142007275E-2</v>
      </c>
      <c r="O55" s="4">
        <f t="shared" ca="1" si="13"/>
        <v>-5.7894440269234071E-2</v>
      </c>
      <c r="P55" s="4">
        <f t="shared" ca="1" si="13"/>
        <v>-4.0510375309303227E-3</v>
      </c>
      <c r="Q55" s="4">
        <f t="shared" ca="1" si="13"/>
        <v>-1.5782937971616388E-2</v>
      </c>
    </row>
    <row r="56" spans="1:17">
      <c r="A56" t="s">
        <v>66</v>
      </c>
      <c r="B56" s="1">
        <v>493.79</v>
      </c>
      <c r="C56" s="4">
        <f t="shared" si="4"/>
        <v>-2.6995605824745292E-2</v>
      </c>
      <c r="D56" s="4">
        <f t="shared" ref="D56:H65" ca="1" si="14">NORMINV(RAND(), $C$6, $C$7)</f>
        <v>-1.9996150974869117E-2</v>
      </c>
      <c r="E56" s="4">
        <f t="shared" ca="1" si="14"/>
        <v>7.1735237764048807E-3</v>
      </c>
      <c r="F56" s="4">
        <f t="shared" ca="1" si="14"/>
        <v>-5.1660626655295897E-3</v>
      </c>
      <c r="G56" s="4">
        <f t="shared" ca="1" si="14"/>
        <v>7.5500869817739964E-3</v>
      </c>
      <c r="H56" s="4">
        <f t="shared" ca="1" si="14"/>
        <v>-2.5961814538040941E-4</v>
      </c>
      <c r="J56" t="s">
        <v>66</v>
      </c>
      <c r="K56" s="1">
        <v>222.55</v>
      </c>
      <c r="L56" s="4">
        <f t="shared" si="6"/>
        <v>-4.4316571477648441E-2</v>
      </c>
      <c r="M56" s="4">
        <f t="shared" ref="M56:Q65" ca="1" si="15">NORMINV(RAND(), $L$6, $L$7)</f>
        <v>8.9231854427803039E-3</v>
      </c>
      <c r="N56" s="4">
        <f t="shared" ca="1" si="15"/>
        <v>-1.3818598833411811E-2</v>
      </c>
      <c r="O56" s="4">
        <f t="shared" ca="1" si="15"/>
        <v>1.1609166503589977E-3</v>
      </c>
      <c r="P56" s="4">
        <f t="shared" ca="1" si="15"/>
        <v>-4.9231693078948979E-2</v>
      </c>
      <c r="Q56" s="4">
        <f t="shared" ca="1" si="15"/>
        <v>8.9387156140331402E-3</v>
      </c>
    </row>
    <row r="57" spans="1:17">
      <c r="A57" t="s">
        <v>67</v>
      </c>
      <c r="B57" s="1">
        <v>487.12</v>
      </c>
      <c r="C57" s="4">
        <f t="shared" si="4"/>
        <v>-1.3507766459426104E-2</v>
      </c>
      <c r="D57" s="4">
        <f t="shared" ca="1" si="14"/>
        <v>-2.397184075676945E-2</v>
      </c>
      <c r="E57" s="4">
        <f t="shared" ca="1" si="14"/>
        <v>-1.2264003879086211E-2</v>
      </c>
      <c r="F57" s="4">
        <f t="shared" ca="1" si="14"/>
        <v>1.8542618587307057E-2</v>
      </c>
      <c r="G57" s="4">
        <f t="shared" ca="1" si="14"/>
        <v>-2.7223798349583196E-2</v>
      </c>
      <c r="H57" s="4">
        <f t="shared" ca="1" si="14"/>
        <v>-1.9555053523550286E-2</v>
      </c>
      <c r="J57" t="s">
        <v>67</v>
      </c>
      <c r="K57" s="1">
        <v>222.69</v>
      </c>
      <c r="L57" s="4">
        <f t="shared" si="6"/>
        <v>6.2907211862496678E-4</v>
      </c>
      <c r="M57" s="4">
        <f t="shared" ca="1" si="15"/>
        <v>-1.4719010915769937E-2</v>
      </c>
      <c r="N57" s="4">
        <f t="shared" ca="1" si="15"/>
        <v>-1.4140080477181738E-2</v>
      </c>
      <c r="O57" s="4">
        <f t="shared" ca="1" si="15"/>
        <v>-2.8695073413613375E-3</v>
      </c>
      <c r="P57" s="4">
        <f t="shared" ca="1" si="15"/>
        <v>1.8602227863537338E-3</v>
      </c>
      <c r="Q57" s="4">
        <f t="shared" ca="1" si="15"/>
        <v>-1.5533050418027623E-2</v>
      </c>
    </row>
    <row r="58" spans="1:17">
      <c r="A58" t="s">
        <v>68</v>
      </c>
      <c r="B58" s="1">
        <v>478.43</v>
      </c>
      <c r="C58" s="4">
        <f t="shared" si="4"/>
        <v>-1.7839546723599928E-2</v>
      </c>
      <c r="D58" s="4">
        <f t="shared" ca="1" si="14"/>
        <v>-6.7504326888261773E-3</v>
      </c>
      <c r="E58" s="4">
        <f t="shared" ca="1" si="14"/>
        <v>1.2654946722759164E-2</v>
      </c>
      <c r="F58" s="4">
        <f t="shared" ca="1" si="14"/>
        <v>3.6307436191314775E-2</v>
      </c>
      <c r="G58" s="4">
        <f t="shared" ca="1" si="14"/>
        <v>2.1077975820953117E-2</v>
      </c>
      <c r="H58" s="4">
        <f t="shared" ca="1" si="14"/>
        <v>1.526868732070976E-2</v>
      </c>
      <c r="J58" t="s">
        <v>68</v>
      </c>
      <c r="K58" s="1">
        <v>217.14</v>
      </c>
      <c r="L58" s="4">
        <f t="shared" si="6"/>
        <v>-2.4922538057389247E-2</v>
      </c>
      <c r="M58" s="4">
        <f t="shared" ca="1" si="15"/>
        <v>-1.6262937713823488E-2</v>
      </c>
      <c r="N58" s="4">
        <f t="shared" ca="1" si="15"/>
        <v>1.209780098857992E-2</v>
      </c>
      <c r="O58" s="4">
        <f t="shared" ca="1" si="15"/>
        <v>1.6100849623073482E-2</v>
      </c>
      <c r="P58" s="4">
        <f t="shared" ca="1" si="15"/>
        <v>-2.8252235982024542E-2</v>
      </c>
      <c r="Q58" s="4">
        <f t="shared" ca="1" si="15"/>
        <v>-7.9111366138812881E-4</v>
      </c>
    </row>
    <row r="59" spans="1:17">
      <c r="A59" t="s">
        <v>69</v>
      </c>
      <c r="B59" s="1">
        <v>472.12</v>
      </c>
      <c r="C59" s="4">
        <f t="shared" si="4"/>
        <v>-1.3188972263445023E-2</v>
      </c>
      <c r="D59" s="4">
        <f t="shared" ca="1" si="14"/>
        <v>-4.6816751325707748E-4</v>
      </c>
      <c r="E59" s="4">
        <f t="shared" ca="1" si="14"/>
        <v>1.4748642189121889E-2</v>
      </c>
      <c r="F59" s="4">
        <f t="shared" ca="1" si="14"/>
        <v>-3.5381231422322322E-2</v>
      </c>
      <c r="G59" s="4">
        <f t="shared" ca="1" si="14"/>
        <v>-3.1453725762068785E-2</v>
      </c>
      <c r="H59" s="4">
        <f t="shared" ca="1" si="14"/>
        <v>1.8040090612625806E-2</v>
      </c>
      <c r="J59" t="s">
        <v>69</v>
      </c>
      <c r="K59" s="1">
        <v>220.69</v>
      </c>
      <c r="L59" s="4">
        <f t="shared" si="6"/>
        <v>1.6348899327622787E-2</v>
      </c>
      <c r="M59" s="4">
        <f t="shared" ca="1" si="15"/>
        <v>1.207849026113483E-2</v>
      </c>
      <c r="N59" s="4">
        <f t="shared" ca="1" si="15"/>
        <v>-6.4619433284498892E-3</v>
      </c>
      <c r="O59" s="4">
        <f t="shared" ca="1" si="15"/>
        <v>-2.2430363778819698E-2</v>
      </c>
      <c r="P59" s="4">
        <f t="shared" ca="1" si="15"/>
        <v>4.401510050423274E-2</v>
      </c>
      <c r="Q59" s="4">
        <f t="shared" ca="1" si="15"/>
        <v>-1.5683739919190996E-2</v>
      </c>
    </row>
    <row r="60" spans="1:17">
      <c r="A60" t="s">
        <v>70</v>
      </c>
      <c r="B60" s="1">
        <v>474</v>
      </c>
      <c r="C60" s="4">
        <f t="shared" si="4"/>
        <v>3.9820384647970761E-3</v>
      </c>
      <c r="D60" s="4">
        <f t="shared" ca="1" si="14"/>
        <v>2.1263159075270641E-2</v>
      </c>
      <c r="E60" s="4">
        <f t="shared" ca="1" si="14"/>
        <v>-8.8033417224652813E-3</v>
      </c>
      <c r="F60" s="4">
        <f t="shared" ca="1" si="14"/>
        <v>2.0449473625119903E-2</v>
      </c>
      <c r="G60" s="4">
        <f t="shared" ca="1" si="14"/>
        <v>1.6229234882548804E-2</v>
      </c>
      <c r="H60" s="4">
        <f t="shared" ca="1" si="14"/>
        <v>2.2449176077220374E-2</v>
      </c>
      <c r="J60" t="s">
        <v>70</v>
      </c>
      <c r="K60" s="1">
        <v>226.28</v>
      </c>
      <c r="L60" s="4">
        <f t="shared" si="6"/>
        <v>2.5329647922425137E-2</v>
      </c>
      <c r="M60" s="4">
        <f t="shared" ca="1" si="15"/>
        <v>-2.3174413048637287E-2</v>
      </c>
      <c r="N60" s="4">
        <f t="shared" ca="1" si="15"/>
        <v>-1.9257422429821598E-3</v>
      </c>
      <c r="O60" s="4">
        <f t="shared" ca="1" si="15"/>
        <v>-2.8590661592700708E-2</v>
      </c>
      <c r="P60" s="4">
        <f t="shared" ca="1" si="15"/>
        <v>1.2472581273222634E-2</v>
      </c>
      <c r="Q60" s="4">
        <f t="shared" ca="1" si="15"/>
        <v>-9.3020175843958801E-4</v>
      </c>
    </row>
    <row r="61" spans="1:17">
      <c r="A61" t="s">
        <v>71</v>
      </c>
      <c r="B61" s="1">
        <v>476.99</v>
      </c>
      <c r="C61" s="4">
        <f t="shared" si="4"/>
        <v>6.3080168776371501E-3</v>
      </c>
      <c r="D61" s="4">
        <f t="shared" ca="1" si="14"/>
        <v>3.0079594852929787E-2</v>
      </c>
      <c r="E61" s="4">
        <f t="shared" ca="1" si="14"/>
        <v>-3.1042341049651229E-2</v>
      </c>
      <c r="F61" s="4">
        <f t="shared" ca="1" si="14"/>
        <v>-4.6003633888518775E-3</v>
      </c>
      <c r="G61" s="4">
        <f t="shared" ca="1" si="14"/>
        <v>9.6423721629975753E-3</v>
      </c>
      <c r="H61" s="4">
        <f t="shared" ca="1" si="14"/>
        <v>1.9006654461844231E-2</v>
      </c>
      <c r="J61" t="s">
        <v>71</v>
      </c>
      <c r="K61" s="1">
        <v>229.67</v>
      </c>
      <c r="L61" s="4">
        <f t="shared" si="6"/>
        <v>1.4981438925225325E-2</v>
      </c>
      <c r="M61" s="4">
        <f t="shared" ca="1" si="15"/>
        <v>-2.8089916664549887E-2</v>
      </c>
      <c r="N61" s="4">
        <f t="shared" ca="1" si="15"/>
        <v>6.8621692691554011E-4</v>
      </c>
      <c r="O61" s="4">
        <f t="shared" ca="1" si="15"/>
        <v>-2.6112670723151661E-2</v>
      </c>
      <c r="P61" s="4">
        <f t="shared" ca="1" si="15"/>
        <v>-5.8068717469416491E-3</v>
      </c>
      <c r="Q61" s="4">
        <f t="shared" ca="1" si="15"/>
        <v>5.3016276351579877E-2</v>
      </c>
    </row>
    <row r="62" spans="1:17">
      <c r="A62" t="s">
        <v>72</v>
      </c>
      <c r="B62" s="1">
        <v>485.5</v>
      </c>
      <c r="C62" s="4">
        <f t="shared" si="4"/>
        <v>1.7841044885636995E-2</v>
      </c>
      <c r="D62" s="4">
        <f t="shared" ca="1" si="14"/>
        <v>-5.6303628046950804E-3</v>
      </c>
      <c r="E62" s="4">
        <f t="shared" ca="1" si="14"/>
        <v>2.3460651805227814E-2</v>
      </c>
      <c r="F62" s="4">
        <f t="shared" ca="1" si="14"/>
        <v>2.2751739252516109E-2</v>
      </c>
      <c r="G62" s="4">
        <f t="shared" ca="1" si="14"/>
        <v>3.9243691395618729E-3</v>
      </c>
      <c r="H62" s="4">
        <f t="shared" ca="1" si="14"/>
        <v>-1.8855891122496655E-2</v>
      </c>
      <c r="J62" t="s">
        <v>72</v>
      </c>
      <c r="K62" s="1">
        <v>229.16</v>
      </c>
      <c r="L62" s="4">
        <f t="shared" si="6"/>
        <v>-2.2205773501109893E-3</v>
      </c>
      <c r="M62" s="4">
        <f t="shared" ca="1" si="15"/>
        <v>1.0944416161462103E-2</v>
      </c>
      <c r="N62" s="4">
        <f t="shared" ca="1" si="15"/>
        <v>1.6156884924934709E-2</v>
      </c>
      <c r="O62" s="4">
        <f t="shared" ca="1" si="15"/>
        <v>-4.1141206859968506E-2</v>
      </c>
      <c r="P62" s="4">
        <f t="shared" ca="1" si="15"/>
        <v>-3.0699737132347703E-2</v>
      </c>
      <c r="Q62" s="4">
        <f t="shared" ca="1" si="15"/>
        <v>2.3167045200324213E-2</v>
      </c>
    </row>
    <row r="63" spans="1:17">
      <c r="A63" t="s">
        <v>73</v>
      </c>
      <c r="B63" s="1">
        <v>492.01</v>
      </c>
      <c r="C63" s="4">
        <f t="shared" si="4"/>
        <v>1.3408856848609662E-2</v>
      </c>
      <c r="D63" s="4">
        <f t="shared" ca="1" si="14"/>
        <v>8.2943150121624638E-3</v>
      </c>
      <c r="E63" s="4">
        <f t="shared" ca="1" si="14"/>
        <v>-2.5163765198400329E-2</v>
      </c>
      <c r="F63" s="4">
        <f t="shared" ca="1" si="14"/>
        <v>-6.542266301289814E-3</v>
      </c>
      <c r="G63" s="4">
        <f t="shared" ca="1" si="14"/>
        <v>-3.424003955522259E-2</v>
      </c>
      <c r="H63" s="4">
        <f t="shared" ca="1" si="14"/>
        <v>1.7916810144838063E-2</v>
      </c>
      <c r="J63" t="s">
        <v>73</v>
      </c>
      <c r="K63" s="1">
        <v>233.22</v>
      </c>
      <c r="L63" s="4">
        <f t="shared" si="6"/>
        <v>1.7716879036481073E-2</v>
      </c>
      <c r="M63" s="4">
        <f t="shared" ca="1" si="15"/>
        <v>7.389458528125642E-3</v>
      </c>
      <c r="N63" s="4">
        <f t="shared" ca="1" si="15"/>
        <v>-2.248906786016474E-2</v>
      </c>
      <c r="O63" s="4">
        <f t="shared" ca="1" si="15"/>
        <v>-4.4592242102742922E-3</v>
      </c>
      <c r="P63" s="4">
        <f t="shared" ca="1" si="15"/>
        <v>1.6826144492044857E-2</v>
      </c>
      <c r="Q63" s="4">
        <f t="shared" ca="1" si="15"/>
        <v>-4.2148410390631059E-2</v>
      </c>
    </row>
    <row r="64" spans="1:17">
      <c r="A64" t="s">
        <v>74</v>
      </c>
      <c r="B64" s="1">
        <v>486.74</v>
      </c>
      <c r="C64" s="4">
        <f t="shared" si="4"/>
        <v>-1.0711164407227459E-2</v>
      </c>
      <c r="D64" s="4">
        <f t="shared" ca="1" si="14"/>
        <v>-1.9214470713816358E-2</v>
      </c>
      <c r="E64" s="4">
        <f t="shared" ca="1" si="14"/>
        <v>-9.9288207067550652E-4</v>
      </c>
      <c r="F64" s="4">
        <f t="shared" ca="1" si="14"/>
        <v>-4.6101733206538112E-2</v>
      </c>
      <c r="G64" s="4">
        <f t="shared" ca="1" si="14"/>
        <v>5.5023521268526963E-2</v>
      </c>
      <c r="H64" s="4">
        <f t="shared" ca="1" si="14"/>
        <v>1.6388065096067033E-2</v>
      </c>
      <c r="J64" t="s">
        <v>74</v>
      </c>
      <c r="K64" s="1">
        <v>233.88</v>
      </c>
      <c r="L64" s="4">
        <f t="shared" si="6"/>
        <v>2.8299459737586683E-3</v>
      </c>
      <c r="M64" s="4">
        <f t="shared" ca="1" si="15"/>
        <v>-3.3709574373796312E-2</v>
      </c>
      <c r="N64" s="4">
        <f t="shared" ca="1" si="15"/>
        <v>4.7691025734259186E-2</v>
      </c>
      <c r="O64" s="4">
        <f t="shared" ca="1" si="15"/>
        <v>-1.2195789683486117E-2</v>
      </c>
      <c r="P64" s="4">
        <f t="shared" ca="1" si="15"/>
        <v>1.5301207870495588E-2</v>
      </c>
      <c r="Q64" s="4">
        <f t="shared" ca="1" si="15"/>
        <v>2.5412994078474627E-2</v>
      </c>
    </row>
    <row r="65" spans="1:17">
      <c r="A65" t="s">
        <v>75</v>
      </c>
      <c r="B65" s="1">
        <v>490</v>
      </c>
      <c r="C65" s="4">
        <f t="shared" si="4"/>
        <v>6.6976209064387371E-3</v>
      </c>
      <c r="D65" s="4">
        <f t="shared" ca="1" si="14"/>
        <v>-1.2234795957284057E-2</v>
      </c>
      <c r="E65" s="4">
        <f t="shared" ca="1" si="14"/>
        <v>-3.8439918805990375E-2</v>
      </c>
      <c r="F65" s="4">
        <f t="shared" ca="1" si="14"/>
        <v>6.7340566429213442E-3</v>
      </c>
      <c r="G65" s="4">
        <f t="shared" ca="1" si="14"/>
        <v>-7.3101428157900023E-4</v>
      </c>
      <c r="H65" s="4">
        <f t="shared" ca="1" si="14"/>
        <v>-2.540019635137241E-2</v>
      </c>
      <c r="J65" t="s">
        <v>75</v>
      </c>
      <c r="K65" s="1">
        <v>234.42</v>
      </c>
      <c r="L65" s="4">
        <f t="shared" si="6"/>
        <v>2.3088763468445015E-3</v>
      </c>
      <c r="M65" s="4">
        <f t="shared" ca="1" si="15"/>
        <v>3.500908520779581E-3</v>
      </c>
      <c r="N65" s="4">
        <f t="shared" ca="1" si="15"/>
        <v>1.953212579212291E-2</v>
      </c>
      <c r="O65" s="4">
        <f t="shared" ca="1" si="15"/>
        <v>1.7691150810498171E-2</v>
      </c>
      <c r="P65" s="4">
        <f t="shared" ca="1" si="15"/>
        <v>-1.159500427181211E-2</v>
      </c>
      <c r="Q65" s="4">
        <f t="shared" ca="1" si="15"/>
        <v>1.8238534902773745E-2</v>
      </c>
    </row>
    <row r="66" spans="1:17">
      <c r="A66" t="s">
        <v>76</v>
      </c>
      <c r="B66" s="1">
        <v>477.73</v>
      </c>
      <c r="C66" s="4">
        <f t="shared" si="4"/>
        <v>-2.5040816326530574E-2</v>
      </c>
      <c r="D66" s="4">
        <f t="shared" ref="D66:H75" ca="1" si="16">NORMINV(RAND(), $C$6, $C$7)</f>
        <v>1.9449893277939858E-2</v>
      </c>
      <c r="E66" s="4">
        <f t="shared" ca="1" si="16"/>
        <v>1.3716278262021309E-2</v>
      </c>
      <c r="F66" s="4">
        <f t="shared" ca="1" si="16"/>
        <v>-1.5842366040748523E-2</v>
      </c>
      <c r="G66" s="4">
        <f t="shared" ca="1" si="16"/>
        <v>2.6841146065426858E-2</v>
      </c>
      <c r="H66" s="4">
        <f t="shared" ca="1" si="16"/>
        <v>-2.4914250192431077E-2</v>
      </c>
      <c r="J66" t="s">
        <v>76</v>
      </c>
      <c r="K66" s="1">
        <v>232.38</v>
      </c>
      <c r="L66" s="4">
        <f t="shared" si="6"/>
        <v>-8.7023291528026282E-3</v>
      </c>
      <c r="M66" s="4">
        <f t="shared" ref="M66:Q75" ca="1" si="17">NORMINV(RAND(), $L$6, $L$7)</f>
        <v>-1.9662333496377037E-2</v>
      </c>
      <c r="N66" s="4">
        <f t="shared" ca="1" si="17"/>
        <v>5.9539566331600425E-3</v>
      </c>
      <c r="O66" s="4">
        <f t="shared" ca="1" si="17"/>
        <v>-1.9726670868728355E-2</v>
      </c>
      <c r="P66" s="4">
        <f t="shared" ca="1" si="17"/>
        <v>-3.3954075503942866E-3</v>
      </c>
      <c r="Q66" s="4">
        <f t="shared" ca="1" si="17"/>
        <v>6.645045784980548E-3</v>
      </c>
    </row>
    <row r="67" spans="1:17">
      <c r="A67" t="s">
        <v>77</v>
      </c>
      <c r="B67" s="1">
        <v>480.84</v>
      </c>
      <c r="C67" s="4">
        <f t="shared" si="4"/>
        <v>6.5099533209133963E-3</v>
      </c>
      <c r="D67" s="4">
        <f t="shared" ca="1" si="16"/>
        <v>-1.1350836220511197E-2</v>
      </c>
      <c r="E67" s="4">
        <f t="shared" ca="1" si="16"/>
        <v>2.9698061190602726E-2</v>
      </c>
      <c r="F67" s="4">
        <f t="shared" ca="1" si="16"/>
        <v>4.2873341127491166E-2</v>
      </c>
      <c r="G67" s="4">
        <f t="shared" ca="1" si="16"/>
        <v>1.885596599945559E-2</v>
      </c>
      <c r="H67" s="4">
        <f t="shared" ca="1" si="16"/>
        <v>1.1418719965315136E-2</v>
      </c>
      <c r="J67" t="s">
        <v>77</v>
      </c>
      <c r="K67" s="1">
        <v>229.11</v>
      </c>
      <c r="L67" s="4">
        <f t="shared" si="6"/>
        <v>-1.4071778982700671E-2</v>
      </c>
      <c r="M67" s="4">
        <f t="shared" ca="1" si="17"/>
        <v>2.2624595508739194E-2</v>
      </c>
      <c r="N67" s="4">
        <f t="shared" ca="1" si="17"/>
        <v>2.0112836135954312E-2</v>
      </c>
      <c r="O67" s="4">
        <f t="shared" ca="1" si="17"/>
        <v>-2.8648390044213233E-2</v>
      </c>
      <c r="P67" s="4">
        <f t="shared" ca="1" si="17"/>
        <v>-4.3857459361290889E-4</v>
      </c>
      <c r="Q67" s="4">
        <f t="shared" ca="1" si="17"/>
        <v>5.1966887624805063E-3</v>
      </c>
    </row>
    <row r="68" spans="1:17">
      <c r="A68" t="s">
        <v>78</v>
      </c>
      <c r="B68" s="1">
        <v>483.16</v>
      </c>
      <c r="C68" s="4">
        <f t="shared" si="4"/>
        <v>4.8248897762250441E-3</v>
      </c>
      <c r="D68" s="4">
        <f t="shared" ca="1" si="16"/>
        <v>-1.0301203498653398E-2</v>
      </c>
      <c r="E68" s="4">
        <f t="shared" ca="1" si="16"/>
        <v>-9.1567396694437354E-3</v>
      </c>
      <c r="F68" s="4">
        <f t="shared" ca="1" si="16"/>
        <v>-1.725988890776776E-3</v>
      </c>
      <c r="G68" s="4">
        <f t="shared" ca="1" si="16"/>
        <v>1.3404960840191611E-2</v>
      </c>
      <c r="H68" s="4">
        <f t="shared" ca="1" si="16"/>
        <v>1.0180443706846823E-2</v>
      </c>
      <c r="J68" t="s">
        <v>78</v>
      </c>
      <c r="K68" s="1">
        <v>229.53</v>
      </c>
      <c r="L68" s="4">
        <f t="shared" si="6"/>
        <v>1.8331805682859214E-3</v>
      </c>
      <c r="M68" s="4">
        <f t="shared" ca="1" si="17"/>
        <v>7.5511139749909256E-3</v>
      </c>
      <c r="N68" s="4">
        <f t="shared" ca="1" si="17"/>
        <v>3.0251449028662711E-2</v>
      </c>
      <c r="O68" s="4">
        <f t="shared" ca="1" si="17"/>
        <v>-2.1735682100012952E-2</v>
      </c>
      <c r="P68" s="4">
        <f t="shared" ca="1" si="17"/>
        <v>-1.2343325800636885E-2</v>
      </c>
      <c r="Q68" s="4">
        <f t="shared" ca="1" si="17"/>
        <v>-3.0159575096982997E-3</v>
      </c>
    </row>
    <row r="69" spans="1:17">
      <c r="A69" t="s">
        <v>79</v>
      </c>
      <c r="B69" s="1">
        <v>491.02</v>
      </c>
      <c r="C69" s="4">
        <f t="shared" si="4"/>
        <v>1.6267902972100248E-2</v>
      </c>
      <c r="D69" s="4">
        <f t="shared" ca="1" si="16"/>
        <v>1.4193400537101766E-2</v>
      </c>
      <c r="E69" s="4">
        <f t="shared" ca="1" si="16"/>
        <v>-2.9191339110711425E-3</v>
      </c>
      <c r="F69" s="4">
        <f t="shared" ca="1" si="16"/>
        <v>1.5747149853417419E-2</v>
      </c>
      <c r="G69" s="4">
        <f t="shared" ca="1" si="16"/>
        <v>-9.9212770666514175E-4</v>
      </c>
      <c r="H69" s="4">
        <f t="shared" ca="1" si="16"/>
        <v>-9.6605105159284846E-3</v>
      </c>
      <c r="J69" t="s">
        <v>79</v>
      </c>
      <c r="K69" s="1">
        <v>226.89</v>
      </c>
      <c r="L69" s="4">
        <f t="shared" si="6"/>
        <v>-1.150176447523206E-2</v>
      </c>
      <c r="M69" s="4">
        <f t="shared" ca="1" si="17"/>
        <v>-8.9156834427765123E-3</v>
      </c>
      <c r="N69" s="4">
        <f t="shared" ca="1" si="17"/>
        <v>-1.6861296385345666E-2</v>
      </c>
      <c r="O69" s="4">
        <f t="shared" ca="1" si="17"/>
        <v>1.3995421377077891E-2</v>
      </c>
      <c r="P69" s="4">
        <f t="shared" ca="1" si="17"/>
        <v>-2.3250766258130415E-2</v>
      </c>
      <c r="Q69" s="4">
        <f t="shared" ca="1" si="17"/>
        <v>4.4277071548393726E-3</v>
      </c>
    </row>
    <row r="70" spans="1:17">
      <c r="A70" t="s">
        <v>80</v>
      </c>
      <c r="B70" s="1">
        <v>492.02</v>
      </c>
      <c r="C70" s="4">
        <f t="shared" si="4"/>
        <v>2.0365769215103255E-3</v>
      </c>
      <c r="D70" s="4">
        <f t="shared" ca="1" si="16"/>
        <v>1.0102825370204006E-2</v>
      </c>
      <c r="E70" s="4">
        <f t="shared" ca="1" si="16"/>
        <v>2.0174739139393248E-2</v>
      </c>
      <c r="F70" s="4">
        <f t="shared" ca="1" si="16"/>
        <v>1.5269611853820258E-2</v>
      </c>
      <c r="G70" s="4">
        <f t="shared" ca="1" si="16"/>
        <v>-2.9130023362946792E-2</v>
      </c>
      <c r="H70" s="4">
        <f t="shared" ca="1" si="16"/>
        <v>-2.907160860899231E-3</v>
      </c>
      <c r="J70" t="s">
        <v>80</v>
      </c>
      <c r="K70" s="1">
        <v>227.92</v>
      </c>
      <c r="L70" s="4">
        <f t="shared" si="6"/>
        <v>4.5396447617788412E-3</v>
      </c>
      <c r="M70" s="4">
        <f t="shared" ca="1" si="17"/>
        <v>-7.1603032094567729E-3</v>
      </c>
      <c r="N70" s="4">
        <f t="shared" ca="1" si="17"/>
        <v>8.4554246431458192E-3</v>
      </c>
      <c r="O70" s="4">
        <f t="shared" ca="1" si="17"/>
        <v>-6.9551676911239176E-3</v>
      </c>
      <c r="P70" s="4">
        <f t="shared" ca="1" si="17"/>
        <v>2.0234224316758576E-2</v>
      </c>
      <c r="Q70" s="4">
        <f t="shared" ca="1" si="17"/>
        <v>1.2917092042881925E-3</v>
      </c>
    </row>
    <row r="71" spans="1:17">
      <c r="A71" t="s">
        <v>81</v>
      </c>
      <c r="B71" s="1">
        <v>478.56</v>
      </c>
      <c r="C71" s="4">
        <f t="shared" si="4"/>
        <v>-2.7356611519856876E-2</v>
      </c>
      <c r="D71" s="4">
        <f t="shared" ca="1" si="16"/>
        <v>-1.1461140573714465E-2</v>
      </c>
      <c r="E71" s="4">
        <f t="shared" ca="1" si="16"/>
        <v>-6.5426051648669247E-3</v>
      </c>
      <c r="F71" s="4">
        <f t="shared" ca="1" si="16"/>
        <v>-1.8995421700838462E-2</v>
      </c>
      <c r="G71" s="4">
        <f t="shared" ca="1" si="16"/>
        <v>-9.607392866408701E-3</v>
      </c>
      <c r="H71" s="4">
        <f t="shared" ca="1" si="16"/>
        <v>-1.9411516736708996E-2</v>
      </c>
      <c r="J71" t="s">
        <v>81</v>
      </c>
      <c r="K71" s="1">
        <v>231.78</v>
      </c>
      <c r="L71" s="4">
        <f t="shared" si="6"/>
        <v>1.6935766935766997E-2</v>
      </c>
      <c r="M71" s="4">
        <f t="shared" ca="1" si="17"/>
        <v>7.6516718950107874E-3</v>
      </c>
      <c r="N71" s="4">
        <f t="shared" ca="1" si="17"/>
        <v>2.9886805236225993E-3</v>
      </c>
      <c r="O71" s="4">
        <f t="shared" ca="1" si="17"/>
        <v>-2.0807354815095842E-2</v>
      </c>
      <c r="P71" s="4">
        <f t="shared" ca="1" si="17"/>
        <v>-9.5634484571823653E-3</v>
      </c>
      <c r="Q71" s="4">
        <f t="shared" ca="1" si="17"/>
        <v>-5.3296566073831987E-3</v>
      </c>
    </row>
    <row r="72" spans="1:17">
      <c r="A72" t="s">
        <v>82</v>
      </c>
      <c r="B72" s="1">
        <v>483.47</v>
      </c>
      <c r="C72" s="4">
        <f t="shared" si="4"/>
        <v>1.0259946506185275E-2</v>
      </c>
      <c r="D72" s="4">
        <f t="shared" ca="1" si="16"/>
        <v>-1.178817675665211E-2</v>
      </c>
      <c r="E72" s="4">
        <f t="shared" ca="1" si="16"/>
        <v>-9.9926514770591474E-3</v>
      </c>
      <c r="F72" s="4">
        <f t="shared" ca="1" si="16"/>
        <v>1.0274981705787787E-2</v>
      </c>
      <c r="G72" s="4">
        <f t="shared" ca="1" si="16"/>
        <v>-3.6917445851521995E-3</v>
      </c>
      <c r="H72" s="4">
        <f t="shared" ca="1" si="16"/>
        <v>-2.2319925611462886E-3</v>
      </c>
      <c r="J72" t="s">
        <v>82</v>
      </c>
      <c r="K72" s="1">
        <v>230.28</v>
      </c>
      <c r="L72" s="4">
        <f t="shared" si="6"/>
        <v>-6.4716541548019675E-3</v>
      </c>
      <c r="M72" s="4">
        <f t="shared" ca="1" si="17"/>
        <v>4.8482525005269179E-2</v>
      </c>
      <c r="N72" s="4">
        <f t="shared" ca="1" si="17"/>
        <v>-7.1919259952228762E-4</v>
      </c>
      <c r="O72" s="4">
        <f t="shared" ca="1" si="17"/>
        <v>-2.035036863608607E-2</v>
      </c>
      <c r="P72" s="4">
        <f t="shared" ca="1" si="17"/>
        <v>-1.6289545470780306E-2</v>
      </c>
      <c r="Q72" s="4">
        <f t="shared" ca="1" si="17"/>
        <v>-1.9295369049479059E-2</v>
      </c>
    </row>
    <row r="73" spans="1:17">
      <c r="A73" t="s">
        <v>83</v>
      </c>
      <c r="B73" s="1">
        <v>478.53</v>
      </c>
      <c r="C73" s="4">
        <f t="shared" si="4"/>
        <v>-1.0217800484001187E-2</v>
      </c>
      <c r="D73" s="4">
        <f t="shared" ca="1" si="16"/>
        <v>-2.1077612648514252E-2</v>
      </c>
      <c r="E73" s="4">
        <f t="shared" ca="1" si="16"/>
        <v>2.3079758284308614E-2</v>
      </c>
      <c r="F73" s="4">
        <f t="shared" ca="1" si="16"/>
        <v>6.0608029636610272E-2</v>
      </c>
      <c r="G73" s="4">
        <f t="shared" ca="1" si="16"/>
        <v>-1.7973430975892208E-3</v>
      </c>
      <c r="H73" s="4">
        <f t="shared" ca="1" si="16"/>
        <v>1.1225500951808782E-2</v>
      </c>
      <c r="J73" t="s">
        <v>83</v>
      </c>
      <c r="K73" s="1">
        <v>226.19</v>
      </c>
      <c r="L73" s="4">
        <f t="shared" si="6"/>
        <v>-1.7760986624978301E-2</v>
      </c>
      <c r="M73" s="4">
        <f t="shared" ca="1" si="17"/>
        <v>-6.684616217325536E-3</v>
      </c>
      <c r="N73" s="4">
        <f t="shared" ca="1" si="17"/>
        <v>-1.9285734052312403E-2</v>
      </c>
      <c r="O73" s="4">
        <f t="shared" ca="1" si="17"/>
        <v>2.190051649741771E-2</v>
      </c>
      <c r="P73" s="4">
        <f t="shared" ca="1" si="17"/>
        <v>5.2277675818160666E-4</v>
      </c>
      <c r="Q73" s="4">
        <f t="shared" ca="1" si="17"/>
        <v>-1.1787008664910259E-2</v>
      </c>
    </row>
    <row r="74" spans="1:17">
      <c r="A74" t="s">
        <v>84</v>
      </c>
      <c r="B74" s="1">
        <v>474.82</v>
      </c>
      <c r="C74" s="4">
        <f t="shared" si="4"/>
        <v>-7.752909953398909E-3</v>
      </c>
      <c r="D74" s="4">
        <f t="shared" ca="1" si="16"/>
        <v>1.7762816377912646E-2</v>
      </c>
      <c r="E74" s="4">
        <f t="shared" ca="1" si="16"/>
        <v>-6.1954316813377739E-3</v>
      </c>
      <c r="F74" s="4">
        <f t="shared" ca="1" si="16"/>
        <v>1.827138751283669E-2</v>
      </c>
      <c r="G74" s="4">
        <f t="shared" ca="1" si="16"/>
        <v>-4.1114769377647895E-2</v>
      </c>
      <c r="H74" s="4">
        <f t="shared" ca="1" si="16"/>
        <v>-2.1141376973893469E-2</v>
      </c>
      <c r="J74" t="s">
        <v>84</v>
      </c>
      <c r="K74" s="1">
        <v>222.54</v>
      </c>
      <c r="L74" s="4">
        <f t="shared" si="6"/>
        <v>-1.6136876077633873E-2</v>
      </c>
      <c r="M74" s="4">
        <f t="shared" ca="1" si="17"/>
        <v>1.4316962017650696E-2</v>
      </c>
      <c r="N74" s="4">
        <f t="shared" ca="1" si="17"/>
        <v>-1.4399552799294215E-2</v>
      </c>
      <c r="O74" s="4">
        <f t="shared" ca="1" si="17"/>
        <v>-4.585832639064269E-2</v>
      </c>
      <c r="P74" s="4">
        <f t="shared" ca="1" si="17"/>
        <v>-1.3904930609558911E-2</v>
      </c>
      <c r="Q74" s="4">
        <f t="shared" ca="1" si="17"/>
        <v>-1.7016395823093611E-2</v>
      </c>
    </row>
    <row r="75" spans="1:17">
      <c r="A75" t="s">
        <v>85</v>
      </c>
      <c r="B75" s="1">
        <v>476.39</v>
      </c>
      <c r="C75" s="4">
        <f t="shared" si="4"/>
        <v>3.306516153489729E-3</v>
      </c>
      <c r="D75" s="4">
        <f t="shared" ca="1" si="16"/>
        <v>1.4037845913771295E-3</v>
      </c>
      <c r="E75" s="4">
        <f t="shared" ca="1" si="16"/>
        <v>-1.8347288707691433E-3</v>
      </c>
      <c r="F75" s="4">
        <f t="shared" ca="1" si="16"/>
        <v>4.9528749893056837E-3</v>
      </c>
      <c r="G75" s="4">
        <f t="shared" ca="1" si="16"/>
        <v>2.6229291813277277E-2</v>
      </c>
      <c r="H75" s="4">
        <f t="shared" ca="1" si="16"/>
        <v>-3.9452814625655717E-2</v>
      </c>
      <c r="J75" t="s">
        <v>85</v>
      </c>
      <c r="K75" s="1">
        <v>222.56</v>
      </c>
      <c r="L75" s="4">
        <f t="shared" si="6"/>
        <v>8.9871483778243154E-5</v>
      </c>
      <c r="M75" s="4">
        <f t="shared" ca="1" si="17"/>
        <v>1.1692918146666691E-2</v>
      </c>
      <c r="N75" s="4">
        <f t="shared" ca="1" si="17"/>
        <v>-1.0179399405145376E-3</v>
      </c>
      <c r="O75" s="4">
        <f t="shared" ca="1" si="17"/>
        <v>-2.1321613560113299E-2</v>
      </c>
      <c r="P75" s="4">
        <f t="shared" ca="1" si="17"/>
        <v>2.3529310903541177E-2</v>
      </c>
      <c r="Q75" s="4">
        <f t="shared" ca="1" si="17"/>
        <v>1.1454347573956377E-2</v>
      </c>
    </row>
    <row r="76" spans="1:17">
      <c r="A76" t="s">
        <v>86</v>
      </c>
      <c r="B76" s="1">
        <v>476.12</v>
      </c>
      <c r="C76" s="4">
        <f t="shared" si="4"/>
        <v>-5.6676252650135776E-4</v>
      </c>
      <c r="D76" s="4">
        <f t="shared" ref="D76:H85" ca="1" si="18">NORMINV(RAND(), $C$6, $C$7)</f>
        <v>-1.6613806263645628E-2</v>
      </c>
      <c r="E76" s="4">
        <f t="shared" ca="1" si="18"/>
        <v>-1.3501885623880926E-2</v>
      </c>
      <c r="F76" s="4">
        <f t="shared" ca="1" si="18"/>
        <v>2.1517936099762217E-2</v>
      </c>
      <c r="G76" s="4">
        <f t="shared" ca="1" si="18"/>
        <v>2.5617307455728235E-2</v>
      </c>
      <c r="H76" s="4">
        <f t="shared" ca="1" si="18"/>
        <v>1.4143919297571262E-2</v>
      </c>
      <c r="J76" t="s">
        <v>86</v>
      </c>
      <c r="K76" s="1">
        <v>221.27</v>
      </c>
      <c r="L76" s="4">
        <f t="shared" si="6"/>
        <v>-5.7961897915168583E-3</v>
      </c>
      <c r="M76" s="4">
        <f t="shared" ref="M76:Q85" ca="1" si="19">NORMINV(RAND(), $L$6, $L$7)</f>
        <v>-4.702403393459148E-2</v>
      </c>
      <c r="N76" s="4">
        <f t="shared" ca="1" si="19"/>
        <v>-7.6912886575888594E-3</v>
      </c>
      <c r="O76" s="4">
        <f t="shared" ca="1" si="19"/>
        <v>5.2421576905916374E-2</v>
      </c>
      <c r="P76" s="4">
        <f t="shared" ca="1" si="19"/>
        <v>3.0971510160792996E-3</v>
      </c>
      <c r="Q76" s="4">
        <f t="shared" ca="1" si="19"/>
        <v>-1.5861844929553723E-3</v>
      </c>
    </row>
    <row r="77" spans="1:17">
      <c r="A77" t="s">
        <v>87</v>
      </c>
      <c r="B77" s="1">
        <v>483.98</v>
      </c>
      <c r="C77" s="4">
        <f t="shared" si="4"/>
        <v>1.6508443249600969E-2</v>
      </c>
      <c r="D77" s="4">
        <f t="shared" ca="1" si="18"/>
        <v>2.213572776203117E-3</v>
      </c>
      <c r="E77" s="4">
        <f t="shared" ca="1" si="18"/>
        <v>-3.0974733631853775E-2</v>
      </c>
      <c r="F77" s="4">
        <f t="shared" ca="1" si="18"/>
        <v>-5.4536460768758975E-3</v>
      </c>
      <c r="G77" s="4">
        <f t="shared" ca="1" si="18"/>
        <v>5.5595408864867919E-2</v>
      </c>
      <c r="H77" s="4">
        <f t="shared" ca="1" si="18"/>
        <v>5.4398905139283721E-2</v>
      </c>
      <c r="J77" t="s">
        <v>87</v>
      </c>
      <c r="K77" s="1">
        <v>226.76</v>
      </c>
      <c r="L77" s="4">
        <f t="shared" si="6"/>
        <v>2.4811316491164553E-2</v>
      </c>
      <c r="M77" s="4">
        <f t="shared" ca="1" si="19"/>
        <v>-1.992568858313175E-3</v>
      </c>
      <c r="N77" s="4">
        <f t="shared" ca="1" si="19"/>
        <v>-1.6886967028613253E-2</v>
      </c>
      <c r="O77" s="4">
        <f t="shared" ca="1" si="19"/>
        <v>-5.395874568552614E-3</v>
      </c>
      <c r="P77" s="4">
        <f t="shared" ca="1" si="19"/>
        <v>3.6417240958392647E-2</v>
      </c>
      <c r="Q77" s="4">
        <f t="shared" ca="1" si="19"/>
        <v>-1.6199589844173547E-2</v>
      </c>
    </row>
    <row r="78" spans="1:17">
      <c r="A78" t="s">
        <v>88</v>
      </c>
      <c r="B78" s="1">
        <v>485.92</v>
      </c>
      <c r="C78" s="4">
        <f t="shared" si="4"/>
        <v>4.0084301004173675E-3</v>
      </c>
      <c r="D78" s="4">
        <f t="shared" ca="1" si="18"/>
        <v>4.1804205809530285E-3</v>
      </c>
      <c r="E78" s="4">
        <f t="shared" ca="1" si="18"/>
        <v>-4.2324138445351519E-3</v>
      </c>
      <c r="F78" s="4">
        <f t="shared" ca="1" si="18"/>
        <v>1.6205862476500795E-2</v>
      </c>
      <c r="G78" s="4">
        <f t="shared" ca="1" si="18"/>
        <v>7.5208787826459567E-3</v>
      </c>
      <c r="H78" s="4">
        <f t="shared" ca="1" si="18"/>
        <v>4.3301393645820127E-2</v>
      </c>
      <c r="J78" t="s">
        <v>88</v>
      </c>
      <c r="K78" s="1">
        <v>227.35</v>
      </c>
      <c r="L78" s="4">
        <f t="shared" si="6"/>
        <v>2.6018698183101229E-3</v>
      </c>
      <c r="M78" s="4">
        <f t="shared" ca="1" si="19"/>
        <v>6.2833821046270116E-3</v>
      </c>
      <c r="N78" s="4">
        <f t="shared" ca="1" si="19"/>
        <v>-3.8971942197973159E-3</v>
      </c>
      <c r="O78" s="4">
        <f t="shared" ca="1" si="19"/>
        <v>2.0351129440597755E-2</v>
      </c>
      <c r="P78" s="4">
        <f t="shared" ca="1" si="19"/>
        <v>3.2657140522900314E-2</v>
      </c>
      <c r="Q78" s="4">
        <f t="shared" ca="1" si="19"/>
        <v>8.1031754717988296E-4</v>
      </c>
    </row>
    <row r="79" spans="1:17">
      <c r="A79" t="s">
        <v>89</v>
      </c>
      <c r="B79" s="1">
        <v>484.92</v>
      </c>
      <c r="C79" s="4">
        <f t="shared" si="4"/>
        <v>-2.057951926243003E-3</v>
      </c>
      <c r="D79" s="4">
        <f t="shared" ca="1" si="18"/>
        <v>1.4737640092550882E-2</v>
      </c>
      <c r="E79" s="4">
        <f t="shared" ca="1" si="18"/>
        <v>-4.045869420296444E-3</v>
      </c>
      <c r="F79" s="4">
        <f t="shared" ca="1" si="18"/>
        <v>7.8486234764323232E-3</v>
      </c>
      <c r="G79" s="4">
        <f t="shared" ca="1" si="18"/>
        <v>-1.1739586152400458E-2</v>
      </c>
      <c r="H79" s="4">
        <f t="shared" ca="1" si="18"/>
        <v>-9.7748780200600256E-3</v>
      </c>
      <c r="J79" t="s">
        <v>89</v>
      </c>
      <c r="K79" s="1">
        <v>228.43</v>
      </c>
      <c r="L79" s="4">
        <f t="shared" si="6"/>
        <v>4.7503848691445461E-3</v>
      </c>
      <c r="M79" s="4">
        <f t="shared" ca="1" si="19"/>
        <v>1.7961482172860588E-2</v>
      </c>
      <c r="N79" s="4">
        <f t="shared" ca="1" si="19"/>
        <v>-2.5175509401866705E-2</v>
      </c>
      <c r="O79" s="4">
        <f t="shared" ca="1" si="19"/>
        <v>-4.0545945401161139E-2</v>
      </c>
      <c r="P79" s="4">
        <f t="shared" ca="1" si="19"/>
        <v>1.9214869697432406E-2</v>
      </c>
      <c r="Q79" s="4">
        <f t="shared" ca="1" si="19"/>
        <v>-1.0582281733552142E-2</v>
      </c>
    </row>
    <row r="80" spans="1:17">
      <c r="A80" t="s">
        <v>90</v>
      </c>
      <c r="B80" s="1">
        <v>486.85</v>
      </c>
      <c r="C80" s="4">
        <f t="shared" ref="C80:C143" si="20">(B80-B79)/B79</f>
        <v>3.9800379444032141E-3</v>
      </c>
      <c r="D80" s="4">
        <f t="shared" ca="1" si="18"/>
        <v>4.9970349973476177E-3</v>
      </c>
      <c r="E80" s="4">
        <f t="shared" ca="1" si="18"/>
        <v>2.0136609241536672E-2</v>
      </c>
      <c r="F80" s="4">
        <f t="shared" ca="1" si="18"/>
        <v>-3.1494141991882274E-2</v>
      </c>
      <c r="G80" s="4">
        <f t="shared" ca="1" si="18"/>
        <v>-4.7355037416728788E-3</v>
      </c>
      <c r="H80" s="4">
        <f t="shared" ca="1" si="18"/>
        <v>2.2845847165079466E-2</v>
      </c>
      <c r="J80" t="s">
        <v>90</v>
      </c>
      <c r="K80" s="1">
        <v>232.14</v>
      </c>
      <c r="L80" s="4">
        <f t="shared" ref="L80:L143" si="21">(K80-K79)/K79</f>
        <v>1.6241299303944225E-2</v>
      </c>
      <c r="M80" s="4">
        <f t="shared" ca="1" si="19"/>
        <v>7.0399346089498396E-2</v>
      </c>
      <c r="N80" s="4">
        <f t="shared" ca="1" si="19"/>
        <v>3.3208260605950826E-3</v>
      </c>
      <c r="O80" s="4">
        <f t="shared" ca="1" si="19"/>
        <v>-5.5181710625523329E-2</v>
      </c>
      <c r="P80" s="4">
        <f t="shared" ca="1" si="19"/>
        <v>-1.608068846791267E-2</v>
      </c>
      <c r="Q80" s="4">
        <f t="shared" ca="1" si="19"/>
        <v>-2.2922121446347799E-2</v>
      </c>
    </row>
    <row r="81" spans="1:17">
      <c r="A81" t="s">
        <v>91</v>
      </c>
      <c r="B81" s="1">
        <v>488.02</v>
      </c>
      <c r="C81" s="4">
        <f t="shared" si="20"/>
        <v>2.4032042723630665E-3</v>
      </c>
      <c r="D81" s="4">
        <f t="shared" ca="1" si="18"/>
        <v>3.4819255209280191E-2</v>
      </c>
      <c r="E81" s="4">
        <f t="shared" ca="1" si="18"/>
        <v>-1.0362698253750375E-2</v>
      </c>
      <c r="F81" s="4">
        <f t="shared" ca="1" si="18"/>
        <v>1.0075963726325162E-2</v>
      </c>
      <c r="G81" s="4">
        <f t="shared" ca="1" si="18"/>
        <v>-2.7438708518518332E-3</v>
      </c>
      <c r="H81" s="4">
        <f t="shared" ca="1" si="18"/>
        <v>-2.6155769045419351E-2</v>
      </c>
      <c r="J81" t="s">
        <v>91</v>
      </c>
      <c r="K81" s="1">
        <v>232.38</v>
      </c>
      <c r="L81" s="4">
        <f t="shared" si="21"/>
        <v>1.0338588782631563E-3</v>
      </c>
      <c r="M81" s="4">
        <f t="shared" ca="1" si="19"/>
        <v>7.2037481426653347E-3</v>
      </c>
      <c r="N81" s="4">
        <f t="shared" ca="1" si="19"/>
        <v>2.0428472019461729E-3</v>
      </c>
      <c r="O81" s="4">
        <f t="shared" ca="1" si="19"/>
        <v>-1.8646894471308118E-2</v>
      </c>
      <c r="P81" s="4">
        <f t="shared" ca="1" si="19"/>
        <v>1.9755919012010424E-2</v>
      </c>
      <c r="Q81" s="4">
        <f t="shared" ca="1" si="19"/>
        <v>1.3742167671139021E-2</v>
      </c>
    </row>
    <row r="82" spans="1:17">
      <c r="A82" t="s">
        <v>92</v>
      </c>
      <c r="B82" s="1">
        <v>487.71</v>
      </c>
      <c r="C82" s="4">
        <f t="shared" si="20"/>
        <v>-6.3521986803819982E-4</v>
      </c>
      <c r="D82" s="4">
        <f t="shared" ca="1" si="18"/>
        <v>2.1964120541075563E-2</v>
      </c>
      <c r="E82" s="4">
        <f t="shared" ca="1" si="18"/>
        <v>-7.7848632660852323E-3</v>
      </c>
      <c r="F82" s="4">
        <f t="shared" ca="1" si="18"/>
        <v>-1.2882648777298866E-2</v>
      </c>
      <c r="G82" s="4">
        <f t="shared" ca="1" si="18"/>
        <v>-3.284744744621082E-2</v>
      </c>
      <c r="H82" s="4">
        <f t="shared" ca="1" si="18"/>
        <v>-1.091542572111142E-2</v>
      </c>
      <c r="J82" t="s">
        <v>92</v>
      </c>
      <c r="K82" s="1">
        <v>232.52</v>
      </c>
      <c r="L82" s="4">
        <f t="shared" si="21"/>
        <v>6.0246148549795498E-4</v>
      </c>
      <c r="M82" s="4">
        <f t="shared" ca="1" si="19"/>
        <v>1.74766557763779E-2</v>
      </c>
      <c r="N82" s="4">
        <f t="shared" ca="1" si="19"/>
        <v>-2.3376939409970512E-4</v>
      </c>
      <c r="O82" s="4">
        <f t="shared" ca="1" si="19"/>
        <v>-2.6142012775143652E-3</v>
      </c>
      <c r="P82" s="4">
        <f t="shared" ca="1" si="19"/>
        <v>3.4736978954265495E-2</v>
      </c>
      <c r="Q82" s="4">
        <f t="shared" ca="1" si="19"/>
        <v>1.0796380807472E-2</v>
      </c>
    </row>
    <row r="83" spans="1:17">
      <c r="A83" t="s">
        <v>93</v>
      </c>
      <c r="B83" s="1">
        <v>487.1</v>
      </c>
      <c r="C83" s="4">
        <f t="shared" si="20"/>
        <v>-1.250743269565842E-3</v>
      </c>
      <c r="D83" s="4">
        <f t="shared" ca="1" si="18"/>
        <v>-3.1184545319417781E-2</v>
      </c>
      <c r="E83" s="4">
        <f t="shared" ca="1" si="18"/>
        <v>1.8791386124186658E-2</v>
      </c>
      <c r="F83" s="4">
        <f t="shared" ca="1" si="18"/>
        <v>-1.5325384597735785E-2</v>
      </c>
      <c r="G83" s="4">
        <f t="shared" ca="1" si="18"/>
        <v>1.2084340211721931E-2</v>
      </c>
      <c r="H83" s="4">
        <f t="shared" ca="1" si="18"/>
        <v>5.5084728045240916E-4</v>
      </c>
      <c r="J83" t="s">
        <v>93</v>
      </c>
      <c r="K83" s="1">
        <v>232.07</v>
      </c>
      <c r="L83" s="4">
        <f t="shared" si="21"/>
        <v>-1.9353173920523699E-3</v>
      </c>
      <c r="M83" s="4">
        <f t="shared" ca="1" si="19"/>
        <v>-1.1789526741018505E-2</v>
      </c>
      <c r="N83" s="4">
        <f t="shared" ca="1" si="19"/>
        <v>-3.7634796127504977E-2</v>
      </c>
      <c r="O83" s="4">
        <f t="shared" ca="1" si="19"/>
        <v>4.8155130875656028E-3</v>
      </c>
      <c r="P83" s="4">
        <f t="shared" ca="1" si="19"/>
        <v>2.7440309306692824E-4</v>
      </c>
      <c r="Q83" s="4">
        <f t="shared" ca="1" si="19"/>
        <v>1.5527185622918712E-2</v>
      </c>
    </row>
    <row r="84" spans="1:17">
      <c r="A84" t="s">
        <v>94</v>
      </c>
      <c r="B84" s="1">
        <v>487.48</v>
      </c>
      <c r="C84" s="4">
        <f t="shared" si="20"/>
        <v>7.8012728392526267E-4</v>
      </c>
      <c r="D84" s="4">
        <f t="shared" ca="1" si="18"/>
        <v>-1.2680331458186847E-2</v>
      </c>
      <c r="E84" s="4">
        <f t="shared" ca="1" si="18"/>
        <v>7.197704714956365E-3</v>
      </c>
      <c r="F84" s="4">
        <f t="shared" ca="1" si="18"/>
        <v>2.8014974818362987E-2</v>
      </c>
      <c r="G84" s="4">
        <f t="shared" ca="1" si="18"/>
        <v>-2.1311479043568178E-2</v>
      </c>
      <c r="H84" s="4">
        <f t="shared" ca="1" si="18"/>
        <v>-5.0707668175986632E-3</v>
      </c>
      <c r="J84" t="s">
        <v>94</v>
      </c>
      <c r="K84" s="1">
        <v>232.53</v>
      </c>
      <c r="L84" s="4">
        <f t="shared" si="21"/>
        <v>1.9821605550049896E-3</v>
      </c>
      <c r="M84" s="4">
        <f t="shared" ca="1" si="19"/>
        <v>-3.3946680025224982E-2</v>
      </c>
      <c r="N84" s="4">
        <f t="shared" ca="1" si="19"/>
        <v>-2.9698572201922731E-2</v>
      </c>
      <c r="O84" s="4">
        <f t="shared" ca="1" si="19"/>
        <v>-1.3042010892830695E-2</v>
      </c>
      <c r="P84" s="4">
        <f t="shared" ca="1" si="19"/>
        <v>1.5942386813064122E-2</v>
      </c>
      <c r="Q84" s="4">
        <f t="shared" ca="1" si="19"/>
        <v>-1.1189945590180406E-2</v>
      </c>
    </row>
    <row r="85" spans="1:17">
      <c r="A85" t="s">
        <v>95</v>
      </c>
      <c r="B85" s="1">
        <v>483.62</v>
      </c>
      <c r="C85" s="4">
        <f t="shared" si="20"/>
        <v>-7.9182735701977796E-3</v>
      </c>
      <c r="D85" s="4">
        <f t="shared" ca="1" si="18"/>
        <v>-8.1083278194625467E-3</v>
      </c>
      <c r="E85" s="4">
        <f t="shared" ca="1" si="18"/>
        <v>-1.7358339162331947E-2</v>
      </c>
      <c r="F85" s="4">
        <f t="shared" ca="1" si="18"/>
        <v>1.8774662957502918E-2</v>
      </c>
      <c r="G85" s="4">
        <f t="shared" ca="1" si="18"/>
        <v>-5.3912664117055729E-3</v>
      </c>
      <c r="H85" s="4">
        <f t="shared" ca="1" si="18"/>
        <v>-2.1718751147112521E-2</v>
      </c>
      <c r="J85" t="s">
        <v>95</v>
      </c>
      <c r="K85" s="1">
        <v>230.82</v>
      </c>
      <c r="L85" s="4">
        <f t="shared" si="21"/>
        <v>-7.3538898206683351E-3</v>
      </c>
      <c r="M85" s="4">
        <f t="shared" ca="1" si="19"/>
        <v>-2.6305091408384468E-2</v>
      </c>
      <c r="N85" s="4">
        <f t="shared" ca="1" si="19"/>
        <v>-5.7164857365860869E-4</v>
      </c>
      <c r="O85" s="4">
        <f t="shared" ca="1" si="19"/>
        <v>3.6995953785258877E-2</v>
      </c>
      <c r="P85" s="4">
        <f t="shared" ca="1" si="19"/>
        <v>2.9240408721338831E-2</v>
      </c>
      <c r="Q85" s="4">
        <f t="shared" ca="1" si="19"/>
        <v>5.4117214351118931E-3</v>
      </c>
    </row>
    <row r="86" spans="1:17">
      <c r="A86" t="s">
        <v>96</v>
      </c>
      <c r="B86" s="1">
        <v>472.94</v>
      </c>
      <c r="C86" s="4">
        <f t="shared" si="20"/>
        <v>-2.2083453951449498E-2</v>
      </c>
      <c r="D86" s="4">
        <f t="shared" ref="D86:H95" ca="1" si="22">NORMINV(RAND(), $C$6, $C$7)</f>
        <v>4.3157818820249584E-2</v>
      </c>
      <c r="E86" s="4">
        <f t="shared" ca="1" si="22"/>
        <v>-3.3494739270364726E-2</v>
      </c>
      <c r="F86" s="4">
        <f t="shared" ca="1" si="22"/>
        <v>-6.005293748005334E-3</v>
      </c>
      <c r="G86" s="4">
        <f t="shared" ca="1" si="22"/>
        <v>4.4836889205908609E-3</v>
      </c>
      <c r="H86" s="4">
        <f t="shared" ca="1" si="22"/>
        <v>7.7645501456271027E-3</v>
      </c>
      <c r="J86" t="s">
        <v>96</v>
      </c>
      <c r="K86" s="1">
        <v>226.5</v>
      </c>
      <c r="L86" s="4">
        <f t="shared" si="21"/>
        <v>-1.8715882505848686E-2</v>
      </c>
      <c r="M86" s="4">
        <f t="shared" ref="M86:Q95" ca="1" si="23">NORMINV(RAND(), $L$6, $L$7)</f>
        <v>2.0484122622671679E-2</v>
      </c>
      <c r="N86" s="4">
        <f t="shared" ca="1" si="23"/>
        <v>3.272948065056458E-2</v>
      </c>
      <c r="O86" s="4">
        <f t="shared" ca="1" si="23"/>
        <v>-1.8149676536970489E-2</v>
      </c>
      <c r="P86" s="4">
        <f t="shared" ca="1" si="23"/>
        <v>3.1446433630704464E-2</v>
      </c>
      <c r="Q86" s="4">
        <f t="shared" ca="1" si="23"/>
        <v>-7.1923254432361926E-4</v>
      </c>
    </row>
    <row r="87" spans="1:17">
      <c r="A87" t="s">
        <v>97</v>
      </c>
      <c r="B87" s="1">
        <v>472.85</v>
      </c>
      <c r="C87" s="4">
        <f t="shared" si="20"/>
        <v>-1.9029898084318305E-4</v>
      </c>
      <c r="D87" s="4">
        <f t="shared" ca="1" si="22"/>
        <v>-4.1164062015055659E-2</v>
      </c>
      <c r="E87" s="4">
        <f t="shared" ca="1" si="22"/>
        <v>1.9047204324154788E-3</v>
      </c>
      <c r="F87" s="4">
        <f t="shared" ca="1" si="22"/>
        <v>2.6145486524903335E-2</v>
      </c>
      <c r="G87" s="4">
        <f t="shared" ca="1" si="22"/>
        <v>-3.1570607821115121E-2</v>
      </c>
      <c r="H87" s="4">
        <f t="shared" ca="1" si="22"/>
        <v>5.6846796346302665E-3</v>
      </c>
      <c r="J87" t="s">
        <v>97</v>
      </c>
      <c r="K87" s="1">
        <v>233.06</v>
      </c>
      <c r="L87" s="4">
        <f t="shared" si="21"/>
        <v>2.8962472406181026E-2</v>
      </c>
      <c r="M87" s="4">
        <f t="shared" ca="1" si="23"/>
        <v>-3.5353869483513517E-2</v>
      </c>
      <c r="N87" s="4">
        <f t="shared" ca="1" si="23"/>
        <v>-9.6850277247315045E-3</v>
      </c>
      <c r="O87" s="4">
        <f t="shared" ca="1" si="23"/>
        <v>1.5132454470390203E-3</v>
      </c>
      <c r="P87" s="4">
        <f t="shared" ca="1" si="23"/>
        <v>-2.8744035198287072E-2</v>
      </c>
      <c r="Q87" s="4">
        <f t="shared" ca="1" si="23"/>
        <v>-1.2261319269068536E-2</v>
      </c>
    </row>
    <row r="88" spans="1:17">
      <c r="A88" t="s">
        <v>98</v>
      </c>
      <c r="B88" s="1">
        <v>478.51</v>
      </c>
      <c r="C88" s="4">
        <f t="shared" si="20"/>
        <v>1.1969969334884145E-2</v>
      </c>
      <c r="D88" s="4">
        <f t="shared" ca="1" si="22"/>
        <v>5.3367727088461693E-3</v>
      </c>
      <c r="E88" s="4">
        <f t="shared" ca="1" si="22"/>
        <v>2.8876947202465079E-2</v>
      </c>
      <c r="F88" s="4">
        <f t="shared" ca="1" si="22"/>
        <v>-2.4287092808444866E-2</v>
      </c>
      <c r="G88" s="4">
        <f t="shared" ca="1" si="22"/>
        <v>1.6459893771426589E-2</v>
      </c>
      <c r="H88" s="4">
        <f t="shared" ca="1" si="22"/>
        <v>3.2353621303177094E-2</v>
      </c>
      <c r="J88" t="s">
        <v>98</v>
      </c>
      <c r="K88" s="1">
        <v>240.93</v>
      </c>
      <c r="L88" s="4">
        <f t="shared" si="21"/>
        <v>3.3768128378958227E-2</v>
      </c>
      <c r="M88" s="4">
        <f t="shared" ca="1" si="23"/>
        <v>-8.1663504062274555E-3</v>
      </c>
      <c r="N88" s="4">
        <f t="shared" ca="1" si="23"/>
        <v>-1.2612303645764666E-2</v>
      </c>
      <c r="O88" s="4">
        <f t="shared" ca="1" si="23"/>
        <v>-1.9581124657561753E-2</v>
      </c>
      <c r="P88" s="4">
        <f t="shared" ca="1" si="23"/>
        <v>-1.4642377482785014E-3</v>
      </c>
      <c r="Q88" s="4">
        <f t="shared" ca="1" si="23"/>
        <v>-1.6504619130615805E-2</v>
      </c>
    </row>
    <row r="89" spans="1:17">
      <c r="A89" t="s">
        <v>99</v>
      </c>
      <c r="B89" s="1">
        <v>483.47</v>
      </c>
      <c r="C89" s="4">
        <f t="shared" si="20"/>
        <v>1.0365509602725202E-2</v>
      </c>
      <c r="D89" s="4">
        <f t="shared" ca="1" si="22"/>
        <v>1.2279852636016926E-2</v>
      </c>
      <c r="E89" s="4">
        <f t="shared" ca="1" si="22"/>
        <v>7.4616063108654644E-3</v>
      </c>
      <c r="F89" s="4">
        <f t="shared" ca="1" si="22"/>
        <v>-2.4656160761537135E-2</v>
      </c>
      <c r="G89" s="4">
        <f t="shared" ca="1" si="22"/>
        <v>1.886088804065477E-2</v>
      </c>
      <c r="H89" s="4">
        <f t="shared" ca="1" si="22"/>
        <v>-8.4818611943774345E-3</v>
      </c>
      <c r="J89" t="s">
        <v>99</v>
      </c>
      <c r="K89" s="1">
        <v>241.56</v>
      </c>
      <c r="L89" s="4">
        <f t="shared" si="21"/>
        <v>2.6148673888681168E-3</v>
      </c>
      <c r="M89" s="4">
        <f t="shared" ca="1" si="23"/>
        <v>1.284620435602276E-2</v>
      </c>
      <c r="N89" s="4">
        <f t="shared" ca="1" si="23"/>
        <v>2.0784346806894696E-2</v>
      </c>
      <c r="O89" s="4">
        <f t="shared" ca="1" si="23"/>
        <v>1.4158114757360089E-2</v>
      </c>
      <c r="P89" s="4">
        <f t="shared" ca="1" si="23"/>
        <v>1.6466886496445215E-2</v>
      </c>
      <c r="Q89" s="4">
        <f t="shared" ca="1" si="23"/>
        <v>1.3577590095006784E-2</v>
      </c>
    </row>
    <row r="90" spans="1:17">
      <c r="A90" t="s">
        <v>100</v>
      </c>
      <c r="B90" s="1">
        <v>478.11</v>
      </c>
      <c r="C90" s="4">
        <f t="shared" si="20"/>
        <v>-1.1086520363207673E-2</v>
      </c>
      <c r="D90" s="4">
        <f t="shared" ca="1" si="22"/>
        <v>-1.7350581614747772E-3</v>
      </c>
      <c r="E90" s="4">
        <f t="shared" ca="1" si="22"/>
        <v>-1.2437814636562496E-2</v>
      </c>
      <c r="F90" s="4">
        <f t="shared" ca="1" si="22"/>
        <v>-2.0712122419821337E-2</v>
      </c>
      <c r="G90" s="4">
        <f t="shared" ca="1" si="22"/>
        <v>-5.2007773159588027E-3</v>
      </c>
      <c r="H90" s="4">
        <f t="shared" ca="1" si="22"/>
        <v>-1.3710166970472167E-2</v>
      </c>
      <c r="J90" t="s">
        <v>100</v>
      </c>
      <c r="K90" s="1">
        <v>246.29</v>
      </c>
      <c r="L90" s="4">
        <f t="shared" si="21"/>
        <v>1.9581056466302326E-2</v>
      </c>
      <c r="M90" s="4">
        <f t="shared" ca="1" si="23"/>
        <v>-1.2854542906016791E-3</v>
      </c>
      <c r="N90" s="4">
        <f t="shared" ca="1" si="23"/>
        <v>1.7824449960530099E-2</v>
      </c>
      <c r="O90" s="4">
        <f t="shared" ca="1" si="23"/>
        <v>5.5958821654264104E-3</v>
      </c>
      <c r="P90" s="4">
        <f t="shared" ca="1" si="23"/>
        <v>-1.0242423017452087E-2</v>
      </c>
      <c r="Q90" s="4">
        <f t="shared" ca="1" si="23"/>
        <v>2.0668981395750869E-2</v>
      </c>
    </row>
    <row r="91" spans="1:17">
      <c r="A91" t="s">
        <v>101</v>
      </c>
      <c r="B91" s="1">
        <v>479.28</v>
      </c>
      <c r="C91" s="4">
        <f t="shared" si="20"/>
        <v>2.4471355964107823E-3</v>
      </c>
      <c r="D91" s="4">
        <f t="shared" ca="1" si="22"/>
        <v>-1.3854116371435106E-2</v>
      </c>
      <c r="E91" s="4">
        <f t="shared" ca="1" si="22"/>
        <v>-4.1622279769942708E-4</v>
      </c>
      <c r="F91" s="4">
        <f t="shared" ca="1" si="22"/>
        <v>-1.8543257858372394E-3</v>
      </c>
      <c r="G91" s="4">
        <f t="shared" ca="1" si="22"/>
        <v>-9.7148994255905692E-4</v>
      </c>
      <c r="H91" s="4">
        <f t="shared" ca="1" si="22"/>
        <v>9.0254936733239581E-3</v>
      </c>
      <c r="J91" t="s">
        <v>101</v>
      </c>
      <c r="K91" s="1">
        <v>247.38</v>
      </c>
      <c r="L91" s="4">
        <f t="shared" si="21"/>
        <v>4.4256770473831801E-3</v>
      </c>
      <c r="M91" s="4">
        <f t="shared" ca="1" si="23"/>
        <v>1.601624070970057E-2</v>
      </c>
      <c r="N91" s="4">
        <f t="shared" ca="1" si="23"/>
        <v>1.4283772156854517E-2</v>
      </c>
      <c r="O91" s="4">
        <f t="shared" ca="1" si="23"/>
        <v>-2.0965389367559702E-2</v>
      </c>
      <c r="P91" s="4">
        <f t="shared" ca="1" si="23"/>
        <v>-2.8727125285952879E-2</v>
      </c>
      <c r="Q91" s="4">
        <f t="shared" ca="1" si="23"/>
        <v>-1.9149148380146835E-2</v>
      </c>
    </row>
    <row r="92" spans="1:17">
      <c r="A92" t="s">
        <v>102</v>
      </c>
      <c r="B92" s="1">
        <v>477.18</v>
      </c>
      <c r="C92" s="4">
        <f t="shared" si="20"/>
        <v>-4.3815723585377362E-3</v>
      </c>
      <c r="D92" s="4">
        <f t="shared" ca="1" si="22"/>
        <v>-1.5159044027897744E-3</v>
      </c>
      <c r="E92" s="4">
        <f t="shared" ca="1" si="22"/>
        <v>2.6043777051679646E-3</v>
      </c>
      <c r="F92" s="4">
        <f t="shared" ca="1" si="22"/>
        <v>-1.7566701268003464E-2</v>
      </c>
      <c r="G92" s="4">
        <f t="shared" ca="1" si="22"/>
        <v>1.2862846556115208E-2</v>
      </c>
      <c r="H92" s="4">
        <f t="shared" ca="1" si="22"/>
        <v>6.3779337988425812E-3</v>
      </c>
      <c r="J92" t="s">
        <v>102</v>
      </c>
      <c r="K92" s="1">
        <v>246.47</v>
      </c>
      <c r="L92" s="4">
        <f t="shared" si="21"/>
        <v>-3.6785512167515425E-3</v>
      </c>
      <c r="M92" s="4">
        <f t="shared" ca="1" si="23"/>
        <v>2.2886269244163791E-2</v>
      </c>
      <c r="N92" s="4">
        <f t="shared" ca="1" si="23"/>
        <v>1.3134564645199607E-2</v>
      </c>
      <c r="O92" s="4">
        <f t="shared" ca="1" si="23"/>
        <v>-2.1030993490643329E-2</v>
      </c>
      <c r="P92" s="4">
        <f t="shared" ca="1" si="23"/>
        <v>-4.8913004960623955E-3</v>
      </c>
      <c r="Q92" s="4">
        <f t="shared" ca="1" si="23"/>
        <v>4.0733132544708475E-3</v>
      </c>
    </row>
    <row r="93" spans="1:17">
      <c r="A93" t="s">
        <v>103</v>
      </c>
      <c r="B93" s="1">
        <v>470.67</v>
      </c>
      <c r="C93" s="4">
        <f t="shared" si="20"/>
        <v>-1.3642650572111134E-2</v>
      </c>
      <c r="D93" s="4">
        <f t="shared" ca="1" si="22"/>
        <v>8.2287780790069216E-3</v>
      </c>
      <c r="E93" s="4">
        <f t="shared" ca="1" si="22"/>
        <v>3.1911171867973634E-3</v>
      </c>
      <c r="F93" s="4">
        <f t="shared" ca="1" si="22"/>
        <v>-2.8168638299599486E-3</v>
      </c>
      <c r="G93" s="4">
        <f t="shared" ca="1" si="22"/>
        <v>1.1345005039395896E-2</v>
      </c>
      <c r="H93" s="4">
        <f t="shared" ca="1" si="22"/>
        <v>-3.8805070361853433E-2</v>
      </c>
      <c r="J93" t="s">
        <v>103</v>
      </c>
      <c r="K93" s="1">
        <v>242.6</v>
      </c>
      <c r="L93" s="4">
        <f t="shared" si="21"/>
        <v>-1.5701708118635145E-2</v>
      </c>
      <c r="M93" s="4">
        <f t="shared" ca="1" si="23"/>
        <v>1.1597900645621143E-2</v>
      </c>
      <c r="N93" s="4">
        <f t="shared" ca="1" si="23"/>
        <v>-1.5442961402348701E-2</v>
      </c>
      <c r="O93" s="4">
        <f t="shared" ca="1" si="23"/>
        <v>6.5286363310432839E-3</v>
      </c>
      <c r="P93" s="4">
        <f t="shared" ca="1" si="23"/>
        <v>-3.9564282287988382E-2</v>
      </c>
      <c r="Q93" s="4">
        <f t="shared" ca="1" si="23"/>
        <v>1.8445804512395046E-2</v>
      </c>
    </row>
    <row r="94" spans="1:17">
      <c r="A94" t="s">
        <v>104</v>
      </c>
      <c r="B94" s="1">
        <v>459.38</v>
      </c>
      <c r="C94" s="4">
        <f t="shared" si="20"/>
        <v>-2.3987082244460067E-2</v>
      </c>
      <c r="D94" s="4">
        <f t="shared" ca="1" si="22"/>
        <v>2.5520992367326013E-2</v>
      </c>
      <c r="E94" s="4">
        <f t="shared" ca="1" si="22"/>
        <v>3.7341926530882899E-3</v>
      </c>
      <c r="F94" s="4">
        <f t="shared" ca="1" si="22"/>
        <v>1.0159980240863292E-2</v>
      </c>
      <c r="G94" s="4">
        <f t="shared" ca="1" si="22"/>
        <v>9.2536231077684477E-3</v>
      </c>
      <c r="H94" s="4">
        <f t="shared" ca="1" si="22"/>
        <v>-4.2078334259031125E-3</v>
      </c>
      <c r="J94" t="s">
        <v>104</v>
      </c>
      <c r="K94" s="1">
        <v>236.65</v>
      </c>
      <c r="L94" s="4">
        <f t="shared" si="21"/>
        <v>-2.4525968672712239E-2</v>
      </c>
      <c r="M94" s="4">
        <f t="shared" ca="1" si="23"/>
        <v>1.3898839347857661E-2</v>
      </c>
      <c r="N94" s="4">
        <f t="shared" ca="1" si="23"/>
        <v>1.5743347229667207E-2</v>
      </c>
      <c r="O94" s="4">
        <f t="shared" ca="1" si="23"/>
        <v>1.5105773246445251E-2</v>
      </c>
      <c r="P94" s="4">
        <f t="shared" ca="1" si="23"/>
        <v>-1.1985137591078823E-2</v>
      </c>
      <c r="Q94" s="4">
        <f t="shared" ca="1" si="23"/>
        <v>-9.5555556063562103E-3</v>
      </c>
    </row>
    <row r="95" spans="1:17">
      <c r="A95" t="s">
        <v>105</v>
      </c>
      <c r="B95" s="1">
        <v>456.66</v>
      </c>
      <c r="C95" s="4">
        <f t="shared" si="20"/>
        <v>-5.9210239888544784E-3</v>
      </c>
      <c r="D95" s="4">
        <f t="shared" ca="1" si="22"/>
        <v>2.0152255182511392E-2</v>
      </c>
      <c r="E95" s="4">
        <f t="shared" ca="1" si="22"/>
        <v>2.0447212264309851E-2</v>
      </c>
      <c r="F95" s="4">
        <f t="shared" ca="1" si="22"/>
        <v>1.6961224232994676E-2</v>
      </c>
      <c r="G95" s="4">
        <f t="shared" ca="1" si="22"/>
        <v>-1.5315797788583552E-2</v>
      </c>
      <c r="H95" s="4">
        <f t="shared" ca="1" si="22"/>
        <v>1.7654992292208418E-2</v>
      </c>
      <c r="J95" t="s">
        <v>105</v>
      </c>
      <c r="K95" s="1">
        <v>238.18</v>
      </c>
      <c r="L95" s="4">
        <f t="shared" si="21"/>
        <v>6.4652440312698125E-3</v>
      </c>
      <c r="M95" s="4">
        <f t="shared" ca="1" si="23"/>
        <v>-1.4356982613294478E-2</v>
      </c>
      <c r="N95" s="4">
        <f t="shared" ca="1" si="23"/>
        <v>2.4630180263954418E-3</v>
      </c>
      <c r="O95" s="4">
        <f t="shared" ca="1" si="23"/>
        <v>2.7247286355208927E-2</v>
      </c>
      <c r="P95" s="4">
        <f t="shared" ca="1" si="23"/>
        <v>-1.1744486106383255E-2</v>
      </c>
      <c r="Q95" s="4">
        <f t="shared" ca="1" si="23"/>
        <v>-2.8482601793106358E-2</v>
      </c>
    </row>
    <row r="96" spans="1:17">
      <c r="A96" t="s">
        <v>106</v>
      </c>
      <c r="B96" s="1">
        <v>459.86</v>
      </c>
      <c r="C96" s="4">
        <f t="shared" si="20"/>
        <v>7.0074015679060754E-3</v>
      </c>
      <c r="D96" s="4">
        <f t="shared" ref="D96:H105" ca="1" si="24">NORMINV(RAND(), $C$6, $C$7)</f>
        <v>-3.4755820601716884E-3</v>
      </c>
      <c r="E96" s="4">
        <f t="shared" ca="1" si="24"/>
        <v>5.9412337748640711E-3</v>
      </c>
      <c r="F96" s="4">
        <f t="shared" ca="1" si="24"/>
        <v>1.5264975275782196E-2</v>
      </c>
      <c r="G96" s="4">
        <f t="shared" ca="1" si="24"/>
        <v>-2.7669620874780417E-2</v>
      </c>
      <c r="H96" s="4">
        <f t="shared" ca="1" si="24"/>
        <v>4.28705687508162E-3</v>
      </c>
      <c r="J96" t="s">
        <v>106</v>
      </c>
      <c r="K96" s="1">
        <v>239.12</v>
      </c>
      <c r="L96" s="4">
        <f t="shared" si="21"/>
        <v>3.9465950121756561E-3</v>
      </c>
      <c r="M96" s="4">
        <f t="shared" ref="M96:Q105" ca="1" si="25">NORMINV(RAND(), $L$6, $L$7)</f>
        <v>1.5628736474340699E-2</v>
      </c>
      <c r="N96" s="4">
        <f t="shared" ca="1" si="25"/>
        <v>-6.0554975055805781E-2</v>
      </c>
      <c r="O96" s="4">
        <f t="shared" ca="1" si="25"/>
        <v>-3.7596667062773419E-2</v>
      </c>
      <c r="P96" s="4">
        <f t="shared" ca="1" si="25"/>
        <v>1.1560159743556257E-2</v>
      </c>
      <c r="Q96" s="4">
        <f t="shared" ca="1" si="25"/>
        <v>4.9871154018039501E-2</v>
      </c>
    </row>
    <row r="97" spans="1:17">
      <c r="A97" t="s">
        <v>107</v>
      </c>
      <c r="B97" s="1">
        <v>454.52</v>
      </c>
      <c r="C97" s="4">
        <f t="shared" si="20"/>
        <v>-1.1612229809072396E-2</v>
      </c>
      <c r="D97" s="4">
        <f t="shared" ca="1" si="24"/>
        <v>1.2906491446051827E-3</v>
      </c>
      <c r="E97" s="4">
        <f t="shared" ca="1" si="24"/>
        <v>-1.9642276803644942E-2</v>
      </c>
      <c r="F97" s="4">
        <f t="shared" ca="1" si="24"/>
        <v>1.29054680054077E-2</v>
      </c>
      <c r="G97" s="4">
        <f t="shared" ca="1" si="24"/>
        <v>-9.0172625423477464E-3</v>
      </c>
      <c r="H97" s="4">
        <f t="shared" ca="1" si="24"/>
        <v>2.0399017653659622E-3</v>
      </c>
      <c r="J97" t="s">
        <v>107</v>
      </c>
      <c r="K97" s="1">
        <v>231</v>
      </c>
      <c r="L97" s="4">
        <f t="shared" si="21"/>
        <v>-3.3957845433255286E-2</v>
      </c>
      <c r="M97" s="4">
        <f t="shared" ca="1" si="25"/>
        <v>-2.6965806188851141E-2</v>
      </c>
      <c r="N97" s="4">
        <f t="shared" ca="1" si="25"/>
        <v>6.7161306932346054E-4</v>
      </c>
      <c r="O97" s="4">
        <f t="shared" ca="1" si="25"/>
        <v>-4.5046385414536892E-3</v>
      </c>
      <c r="P97" s="4">
        <f t="shared" ca="1" si="25"/>
        <v>-1.9857021489293105E-2</v>
      </c>
      <c r="Q97" s="4">
        <f t="shared" ca="1" si="25"/>
        <v>-3.4325028145721283E-2</v>
      </c>
    </row>
    <row r="98" spans="1:17">
      <c r="A98" t="s">
        <v>108</v>
      </c>
      <c r="B98" s="1">
        <v>444.11</v>
      </c>
      <c r="C98" s="4">
        <f t="shared" si="20"/>
        <v>-2.2903282583824625E-2</v>
      </c>
      <c r="D98" s="4">
        <f t="shared" ca="1" si="24"/>
        <v>-3.892183799208331E-3</v>
      </c>
      <c r="E98" s="4">
        <f t="shared" ca="1" si="24"/>
        <v>7.6400083703413663E-3</v>
      </c>
      <c r="F98" s="4">
        <f t="shared" ca="1" si="24"/>
        <v>9.4011283190281927E-3</v>
      </c>
      <c r="G98" s="4">
        <f t="shared" ca="1" si="24"/>
        <v>2.5605483201598413E-2</v>
      </c>
      <c r="H98" s="4">
        <f t="shared" ca="1" si="24"/>
        <v>-8.1625756982633326E-3</v>
      </c>
      <c r="J98" t="s">
        <v>108</v>
      </c>
      <c r="K98" s="1">
        <v>231.31</v>
      </c>
      <c r="L98" s="4">
        <f t="shared" si="21"/>
        <v>1.3419913419913517E-3</v>
      </c>
      <c r="M98" s="4">
        <f t="shared" ca="1" si="25"/>
        <v>-7.5029715151172932E-3</v>
      </c>
      <c r="N98" s="4">
        <f t="shared" ca="1" si="25"/>
        <v>-2.4211116455903698E-2</v>
      </c>
      <c r="O98" s="4">
        <f t="shared" ca="1" si="25"/>
        <v>-2.0566868618106842E-2</v>
      </c>
      <c r="P98" s="4">
        <f t="shared" ca="1" si="25"/>
        <v>3.7708470963821648E-2</v>
      </c>
      <c r="Q98" s="4">
        <f t="shared" ca="1" si="25"/>
        <v>9.1298952694661324E-3</v>
      </c>
    </row>
    <row r="99" spans="1:17">
      <c r="A99" t="s">
        <v>109</v>
      </c>
      <c r="B99" s="1">
        <v>451.14</v>
      </c>
      <c r="C99" s="4">
        <f t="shared" si="20"/>
        <v>1.582941163225321E-2</v>
      </c>
      <c r="D99" s="4">
        <f t="shared" ca="1" si="24"/>
        <v>1.1347282342963786E-2</v>
      </c>
      <c r="E99" s="4">
        <f t="shared" ca="1" si="24"/>
        <v>1.1024638380120881E-2</v>
      </c>
      <c r="F99" s="4">
        <f t="shared" ca="1" si="24"/>
        <v>-1.8558721725489221E-2</v>
      </c>
      <c r="G99" s="4">
        <f t="shared" ca="1" si="24"/>
        <v>-1.3651179982910305E-2</v>
      </c>
      <c r="H99" s="4">
        <f t="shared" ca="1" si="24"/>
        <v>-7.5432537010978549E-3</v>
      </c>
      <c r="J99" t="s">
        <v>109</v>
      </c>
      <c r="K99" s="1">
        <v>234.34</v>
      </c>
      <c r="L99" s="4">
        <f t="shared" si="21"/>
        <v>1.3099303964376816E-2</v>
      </c>
      <c r="M99" s="4">
        <f t="shared" ca="1" si="25"/>
        <v>-2.6414297092944034E-3</v>
      </c>
      <c r="N99" s="4">
        <f t="shared" ca="1" si="25"/>
        <v>3.3061688188101936E-2</v>
      </c>
      <c r="O99" s="4">
        <f t="shared" ca="1" si="25"/>
        <v>1.9621346340763627E-2</v>
      </c>
      <c r="P99" s="4">
        <f t="shared" ca="1" si="25"/>
        <v>-1.5687748314208726E-2</v>
      </c>
      <c r="Q99" s="4">
        <f t="shared" ca="1" si="25"/>
        <v>-1.7292770562168363E-2</v>
      </c>
    </row>
    <row r="100" spans="1:17">
      <c r="A100" t="s">
        <v>110</v>
      </c>
      <c r="B100" s="1">
        <v>465.95</v>
      </c>
      <c r="C100" s="4">
        <f t="shared" si="20"/>
        <v>3.2827946978764913E-2</v>
      </c>
      <c r="D100" s="4">
        <f t="shared" ca="1" si="24"/>
        <v>1.0197309690907224E-2</v>
      </c>
      <c r="E100" s="4">
        <f t="shared" ca="1" si="24"/>
        <v>2.2412979100612261E-2</v>
      </c>
      <c r="F100" s="4">
        <f t="shared" ca="1" si="24"/>
        <v>3.2788988385330647E-2</v>
      </c>
      <c r="G100" s="4">
        <f t="shared" ca="1" si="24"/>
        <v>-7.0607585376168437E-3</v>
      </c>
      <c r="H100" s="4">
        <f t="shared" ca="1" si="24"/>
        <v>5.7709712038065981E-3</v>
      </c>
      <c r="J100" t="s">
        <v>110</v>
      </c>
      <c r="K100" s="1">
        <v>239.16</v>
      </c>
      <c r="L100" s="4">
        <f t="shared" si="21"/>
        <v>2.0568404881795652E-2</v>
      </c>
      <c r="M100" s="4">
        <f t="shared" ca="1" si="25"/>
        <v>-1.5484709420703461E-2</v>
      </c>
      <c r="N100" s="4">
        <f t="shared" ca="1" si="25"/>
        <v>2.975081398313934E-3</v>
      </c>
      <c r="O100" s="4">
        <f t="shared" ca="1" si="25"/>
        <v>-8.4379117466681017E-3</v>
      </c>
      <c r="P100" s="4">
        <f t="shared" ca="1" si="25"/>
        <v>1.6615560767470833E-3</v>
      </c>
      <c r="Q100" s="4">
        <f t="shared" ca="1" si="25"/>
        <v>-4.197263365268886E-3</v>
      </c>
    </row>
    <row r="101" spans="1:17">
      <c r="A101" t="s">
        <v>111</v>
      </c>
      <c r="B101" s="1">
        <v>470.28</v>
      </c>
      <c r="C101" s="4">
        <f t="shared" si="20"/>
        <v>9.2928425796758966E-3</v>
      </c>
      <c r="D101" s="4">
        <f t="shared" ca="1" si="24"/>
        <v>1.0497084694475512E-2</v>
      </c>
      <c r="E101" s="4">
        <f t="shared" ca="1" si="24"/>
        <v>-2.4596278785633599E-2</v>
      </c>
      <c r="F101" s="4">
        <f t="shared" ca="1" si="24"/>
        <v>7.6259229447943047E-3</v>
      </c>
      <c r="G101" s="4">
        <f t="shared" ca="1" si="24"/>
        <v>9.3571532353979008E-3</v>
      </c>
      <c r="H101" s="4">
        <f t="shared" ca="1" si="24"/>
        <v>-2.7109720796160804E-2</v>
      </c>
      <c r="J101" t="s">
        <v>111</v>
      </c>
      <c r="K101" s="1">
        <v>238.42</v>
      </c>
      <c r="L101" s="4">
        <f t="shared" si="21"/>
        <v>-3.0941629034956057E-3</v>
      </c>
      <c r="M101" s="4">
        <f t="shared" ca="1" si="25"/>
        <v>6.3492105880146475E-3</v>
      </c>
      <c r="N101" s="4">
        <f t="shared" ca="1" si="25"/>
        <v>-2.4433236161386124E-2</v>
      </c>
      <c r="O101" s="4">
        <f t="shared" ca="1" si="25"/>
        <v>-3.4697298207622886E-2</v>
      </c>
      <c r="P101" s="4">
        <f t="shared" ca="1" si="25"/>
        <v>-1.6884990256695976E-2</v>
      </c>
      <c r="Q101" s="4">
        <f t="shared" ca="1" si="25"/>
        <v>1.5634066122522886E-2</v>
      </c>
    </row>
    <row r="102" spans="1:17">
      <c r="A102" t="s">
        <v>112</v>
      </c>
      <c r="B102" s="1">
        <v>480.58</v>
      </c>
      <c r="C102" s="4">
        <f t="shared" si="20"/>
        <v>2.1901845708939379E-2</v>
      </c>
      <c r="D102" s="4">
        <f t="shared" ca="1" si="24"/>
        <v>-9.9599286170490315E-3</v>
      </c>
      <c r="E102" s="4">
        <f t="shared" ca="1" si="24"/>
        <v>1.6358887157971264E-2</v>
      </c>
      <c r="F102" s="4">
        <f t="shared" ca="1" si="24"/>
        <v>-1.463368218703057E-2</v>
      </c>
      <c r="G102" s="4">
        <f t="shared" ca="1" si="24"/>
        <v>3.0137860740290692E-2</v>
      </c>
      <c r="H102" s="4">
        <f t="shared" ca="1" si="24"/>
        <v>-5.4394024683169255E-3</v>
      </c>
      <c r="J102" t="s">
        <v>112</v>
      </c>
      <c r="K102" s="1">
        <v>244.68</v>
      </c>
      <c r="L102" s="4">
        <f t="shared" si="21"/>
        <v>2.6256186561530157E-2</v>
      </c>
      <c r="M102" s="4">
        <f t="shared" ca="1" si="25"/>
        <v>-6.8979885287988501E-3</v>
      </c>
      <c r="N102" s="4">
        <f t="shared" ca="1" si="25"/>
        <v>2.030287778389691E-2</v>
      </c>
      <c r="O102" s="4">
        <f t="shared" ca="1" si="25"/>
        <v>4.7463347949808039E-3</v>
      </c>
      <c r="P102" s="4">
        <f t="shared" ca="1" si="25"/>
        <v>-1.8423722907662882E-2</v>
      </c>
      <c r="Q102" s="4">
        <f t="shared" ca="1" si="25"/>
        <v>-1.8461751657504744E-2</v>
      </c>
    </row>
    <row r="103" spans="1:17">
      <c r="A103" t="s">
        <v>113</v>
      </c>
      <c r="B103" s="1">
        <v>481.63</v>
      </c>
      <c r="C103" s="4">
        <f t="shared" si="20"/>
        <v>2.1848599608806263E-3</v>
      </c>
      <c r="D103" s="4">
        <f t="shared" ca="1" si="24"/>
        <v>-5.3029580643754445E-2</v>
      </c>
      <c r="E103" s="4">
        <f t="shared" ca="1" si="24"/>
        <v>-2.818527521358939E-3</v>
      </c>
      <c r="F103" s="4">
        <f t="shared" ca="1" si="24"/>
        <v>4.6865080521225873E-3</v>
      </c>
      <c r="G103" s="4">
        <f t="shared" ca="1" si="24"/>
        <v>-6.0215735252664316E-3</v>
      </c>
      <c r="H103" s="4">
        <f t="shared" ca="1" si="24"/>
        <v>-4.3347907975455188E-5</v>
      </c>
      <c r="J103" t="s">
        <v>113</v>
      </c>
      <c r="K103" s="1">
        <v>243.01</v>
      </c>
      <c r="L103" s="4">
        <f t="shared" si="21"/>
        <v>-6.8252411312735651E-3</v>
      </c>
      <c r="M103" s="4">
        <f t="shared" ca="1" si="25"/>
        <v>-1.2024896216667342E-2</v>
      </c>
      <c r="N103" s="4">
        <f t="shared" ca="1" si="25"/>
        <v>-5.2141852826791353E-2</v>
      </c>
      <c r="O103" s="4">
        <f t="shared" ca="1" si="25"/>
        <v>-5.8796934719749436E-3</v>
      </c>
      <c r="P103" s="4">
        <f t="shared" ca="1" si="25"/>
        <v>-8.08813531911203E-3</v>
      </c>
      <c r="Q103" s="4">
        <f t="shared" ca="1" si="25"/>
        <v>4.3988973938211837E-3</v>
      </c>
    </row>
    <row r="104" spans="1:17">
      <c r="A104" t="s">
        <v>114</v>
      </c>
      <c r="B104" s="1">
        <v>433.5</v>
      </c>
      <c r="C104" s="4">
        <f t="shared" si="20"/>
        <v>-9.9931482673421501E-2</v>
      </c>
      <c r="D104" s="4">
        <f t="shared" ca="1" si="24"/>
        <v>2.1731757196988253E-2</v>
      </c>
      <c r="E104" s="4">
        <f t="shared" ca="1" si="24"/>
        <v>1.7469744059336197E-3</v>
      </c>
      <c r="F104" s="4">
        <f t="shared" ca="1" si="24"/>
        <v>-3.7537619396665336E-5</v>
      </c>
      <c r="G104" s="4">
        <f t="shared" ca="1" si="24"/>
        <v>1.3198074532892384E-2</v>
      </c>
      <c r="H104" s="4">
        <f t="shared" ca="1" si="24"/>
        <v>1.0120929181183749E-2</v>
      </c>
      <c r="J104" t="s">
        <v>114</v>
      </c>
      <c r="K104" s="1">
        <v>241.73</v>
      </c>
      <c r="L104" s="4">
        <f t="shared" si="21"/>
        <v>-5.2672729517303863E-3</v>
      </c>
      <c r="M104" s="4">
        <f t="shared" ca="1" si="25"/>
        <v>-2.0539971781969209E-3</v>
      </c>
      <c r="N104" s="4">
        <f t="shared" ca="1" si="25"/>
        <v>-3.1934588191803418E-3</v>
      </c>
      <c r="O104" s="4">
        <f t="shared" ca="1" si="25"/>
        <v>5.9035194634302783E-2</v>
      </c>
      <c r="P104" s="4">
        <f t="shared" ca="1" si="25"/>
        <v>1.1101662074808175E-2</v>
      </c>
      <c r="Q104" s="4">
        <f t="shared" ca="1" si="25"/>
        <v>7.0584308930969585E-3</v>
      </c>
    </row>
    <row r="105" spans="1:17">
      <c r="A105" t="s">
        <v>115</v>
      </c>
      <c r="B105" s="1">
        <v>430.29</v>
      </c>
      <c r="C105" s="4">
        <f t="shared" si="20"/>
        <v>-7.4048442906573921E-3</v>
      </c>
      <c r="D105" s="4">
        <f t="shared" ca="1" si="24"/>
        <v>-2.7932334214847365E-2</v>
      </c>
      <c r="E105" s="4">
        <f t="shared" ca="1" si="24"/>
        <v>-5.8155559702137705E-3</v>
      </c>
      <c r="F105" s="4">
        <f t="shared" ca="1" si="24"/>
        <v>3.7203343938279738E-2</v>
      </c>
      <c r="G105" s="4">
        <f t="shared" ca="1" si="24"/>
        <v>3.2366852993920461E-2</v>
      </c>
      <c r="H105" s="4">
        <f t="shared" ca="1" si="24"/>
        <v>1.7500862654308481E-2</v>
      </c>
      <c r="J105" t="s">
        <v>115</v>
      </c>
      <c r="K105" s="1">
        <v>239.3</v>
      </c>
      <c r="L105" s="4">
        <f t="shared" si="21"/>
        <v>-1.0052537955570175E-2</v>
      </c>
      <c r="M105" s="4">
        <f t="shared" ca="1" si="25"/>
        <v>2.5911731947538888E-2</v>
      </c>
      <c r="N105" s="4">
        <f t="shared" ca="1" si="25"/>
        <v>1.3679570471650429E-2</v>
      </c>
      <c r="O105" s="4">
        <f t="shared" ca="1" si="25"/>
        <v>6.4014131698094268E-3</v>
      </c>
      <c r="P105" s="4">
        <f t="shared" ca="1" si="25"/>
        <v>-4.1962374016515395E-3</v>
      </c>
      <c r="Q105" s="4">
        <f t="shared" ca="1" si="25"/>
        <v>-1.1679664419010072E-2</v>
      </c>
    </row>
    <row r="106" spans="1:17">
      <c r="A106" t="s">
        <v>116</v>
      </c>
      <c r="B106" s="1">
        <v>423.37</v>
      </c>
      <c r="C106" s="4">
        <f t="shared" si="20"/>
        <v>-1.6082177136349941E-2</v>
      </c>
      <c r="D106" s="4">
        <f t="shared" ref="D106:H115" ca="1" si="26">NORMINV(RAND(), $C$6, $C$7)</f>
        <v>-4.6433036532519201E-3</v>
      </c>
      <c r="E106" s="4">
        <f t="shared" ca="1" si="26"/>
        <v>1.7342776859105393E-3</v>
      </c>
      <c r="F106" s="4">
        <f t="shared" ca="1" si="26"/>
        <v>-1.5227889480577803E-2</v>
      </c>
      <c r="G106" s="4">
        <f t="shared" ca="1" si="26"/>
        <v>-1.788912751772876E-2</v>
      </c>
      <c r="H106" s="4">
        <f t="shared" ca="1" si="26"/>
        <v>1.8336663295886499E-2</v>
      </c>
      <c r="J106" t="s">
        <v>116</v>
      </c>
      <c r="K106" s="1">
        <v>242.96</v>
      </c>
      <c r="L106" s="4">
        <f t="shared" si="21"/>
        <v>1.5294609277058072E-2</v>
      </c>
      <c r="M106" s="4">
        <f t="shared" ref="M106:Q115" ca="1" si="27">NORMINV(RAND(), $L$6, $L$7)</f>
        <v>4.6614926081500179E-3</v>
      </c>
      <c r="N106" s="4">
        <f t="shared" ca="1" si="27"/>
        <v>3.4879102619809421E-2</v>
      </c>
      <c r="O106" s="4">
        <f t="shared" ca="1" si="27"/>
        <v>1.6782001888806825E-2</v>
      </c>
      <c r="P106" s="4">
        <f t="shared" ca="1" si="27"/>
        <v>7.3131835945180371E-2</v>
      </c>
      <c r="Q106" s="4">
        <f t="shared" ca="1" si="27"/>
        <v>2.0038532327061469E-2</v>
      </c>
    </row>
    <row r="107" spans="1:17">
      <c r="A107" t="s">
        <v>117</v>
      </c>
      <c r="B107" s="1">
        <v>411.21</v>
      </c>
      <c r="C107" s="4">
        <f t="shared" si="20"/>
        <v>-2.8721921723315363E-2</v>
      </c>
      <c r="D107" s="4">
        <f t="shared" ca="1" si="26"/>
        <v>3.0906139525987895E-2</v>
      </c>
      <c r="E107" s="4">
        <f t="shared" ca="1" si="26"/>
        <v>-1.475408943877142E-2</v>
      </c>
      <c r="F107" s="4">
        <f t="shared" ca="1" si="26"/>
        <v>7.7163054405585919E-3</v>
      </c>
      <c r="G107" s="4">
        <f t="shared" ca="1" si="26"/>
        <v>-2.2575017824994256E-2</v>
      </c>
      <c r="H107" s="4">
        <f t="shared" ca="1" si="26"/>
        <v>3.1320026599623706E-2</v>
      </c>
      <c r="J107" t="s">
        <v>117</v>
      </c>
      <c r="K107" s="1">
        <v>238.62</v>
      </c>
      <c r="L107" s="4">
        <f t="shared" si="21"/>
        <v>-1.7863022719789279E-2</v>
      </c>
      <c r="M107" s="4">
        <f t="shared" ca="1" si="27"/>
        <v>-2.5147945601049427E-2</v>
      </c>
      <c r="N107" s="4">
        <f t="shared" ca="1" si="27"/>
        <v>2.789412481363663E-2</v>
      </c>
      <c r="O107" s="4">
        <f t="shared" ca="1" si="27"/>
        <v>7.695642251519013E-3</v>
      </c>
      <c r="P107" s="4">
        <f t="shared" ca="1" si="27"/>
        <v>1.4551814898819418E-2</v>
      </c>
      <c r="Q107" s="4">
        <f t="shared" ca="1" si="27"/>
        <v>5.458800385413437E-3</v>
      </c>
    </row>
    <row r="108" spans="1:17">
      <c r="A108" t="s">
        <v>118</v>
      </c>
      <c r="B108" s="1">
        <v>414.19</v>
      </c>
      <c r="C108" s="4">
        <f t="shared" si="20"/>
        <v>7.2469054740887098E-3</v>
      </c>
      <c r="D108" s="4">
        <f t="shared" ca="1" si="26"/>
        <v>-1.9391477558358167E-3</v>
      </c>
      <c r="E108" s="4">
        <f t="shared" ca="1" si="26"/>
        <v>-7.8003768398707844E-3</v>
      </c>
      <c r="F108" s="4">
        <f t="shared" ca="1" si="26"/>
        <v>7.7194644511779009E-7</v>
      </c>
      <c r="G108" s="4">
        <f t="shared" ca="1" si="26"/>
        <v>1.7408126426969851E-2</v>
      </c>
      <c r="H108" s="4">
        <f t="shared" ca="1" si="26"/>
        <v>-1.4333386043541035E-2</v>
      </c>
      <c r="J108" t="s">
        <v>118</v>
      </c>
      <c r="K108" s="1">
        <v>232.99</v>
      </c>
      <c r="L108" s="4">
        <f t="shared" si="21"/>
        <v>-2.3593998826586183E-2</v>
      </c>
      <c r="M108" s="4">
        <f t="shared" ca="1" si="27"/>
        <v>3.7806843139595689E-2</v>
      </c>
      <c r="N108" s="4">
        <f t="shared" ca="1" si="27"/>
        <v>-1.965267468933124E-2</v>
      </c>
      <c r="O108" s="4">
        <f t="shared" ca="1" si="27"/>
        <v>-2.5379908991023072E-2</v>
      </c>
      <c r="P108" s="4">
        <f t="shared" ca="1" si="27"/>
        <v>-1.8254909328927701E-2</v>
      </c>
      <c r="Q108" s="4">
        <f t="shared" ca="1" si="27"/>
        <v>1.0665776931136028E-2</v>
      </c>
    </row>
    <row r="109" spans="1:17">
      <c r="A109" t="s">
        <v>119</v>
      </c>
      <c r="B109" s="1">
        <v>393.67</v>
      </c>
      <c r="C109" s="4">
        <f t="shared" si="20"/>
        <v>-4.9542480504116422E-2</v>
      </c>
      <c r="D109" s="4">
        <f t="shared" ca="1" si="26"/>
        <v>-7.4625025004799572E-3</v>
      </c>
      <c r="E109" s="4">
        <f t="shared" ca="1" si="26"/>
        <v>4.3711341750181348E-2</v>
      </c>
      <c r="F109" s="4">
        <f t="shared" ca="1" si="26"/>
        <v>3.8846770699701759E-3</v>
      </c>
      <c r="G109" s="4">
        <f t="shared" ca="1" si="26"/>
        <v>9.0420413475226537E-3</v>
      </c>
      <c r="H109" s="4">
        <f t="shared" ca="1" si="26"/>
        <v>-1.7696608539741317E-2</v>
      </c>
      <c r="J109" t="s">
        <v>119</v>
      </c>
      <c r="K109" s="1">
        <v>222.69</v>
      </c>
      <c r="L109" s="4">
        <f t="shared" si="21"/>
        <v>-4.4207905918709003E-2</v>
      </c>
      <c r="M109" s="4">
        <f t="shared" ca="1" si="27"/>
        <v>1.3498551044925805E-3</v>
      </c>
      <c r="N109" s="4">
        <f t="shared" ca="1" si="27"/>
        <v>1.9208064748459087E-2</v>
      </c>
      <c r="O109" s="4">
        <f t="shared" ca="1" si="27"/>
        <v>-4.6744568557580968E-2</v>
      </c>
      <c r="P109" s="4">
        <f t="shared" ca="1" si="27"/>
        <v>2.8221039194863809E-2</v>
      </c>
      <c r="Q109" s="4">
        <f t="shared" ca="1" si="27"/>
        <v>-4.805939112424217E-3</v>
      </c>
    </row>
    <row r="110" spans="1:17">
      <c r="A110" t="s">
        <v>120</v>
      </c>
      <c r="B110" s="1">
        <v>401.14</v>
      </c>
      <c r="C110" s="4">
        <f t="shared" si="20"/>
        <v>1.897528386719834E-2</v>
      </c>
      <c r="D110" s="4">
        <f t="shared" ca="1" si="26"/>
        <v>2.4632636151418724E-2</v>
      </c>
      <c r="E110" s="4">
        <f t="shared" ca="1" si="26"/>
        <v>9.9376915504341932E-3</v>
      </c>
      <c r="F110" s="4">
        <f t="shared" ca="1" si="26"/>
        <v>-2.2242471322247541E-2</v>
      </c>
      <c r="G110" s="4">
        <f t="shared" ca="1" si="26"/>
        <v>-1.3076018053008944E-2</v>
      </c>
      <c r="H110" s="4">
        <f t="shared" ca="1" si="26"/>
        <v>8.597627390167591E-3</v>
      </c>
      <c r="J110" t="s">
        <v>120</v>
      </c>
      <c r="K110" s="1">
        <v>210.32</v>
      </c>
      <c r="L110" s="4">
        <f t="shared" si="21"/>
        <v>-5.5548071309892699E-2</v>
      </c>
      <c r="M110" s="4">
        <f t="shared" ca="1" si="27"/>
        <v>2.7736516996454783E-2</v>
      </c>
      <c r="N110" s="4">
        <f t="shared" ca="1" si="27"/>
        <v>-9.8161117490027901E-4</v>
      </c>
      <c r="O110" s="4">
        <f t="shared" ca="1" si="27"/>
        <v>2.5465756520696735E-2</v>
      </c>
      <c r="P110" s="4">
        <f t="shared" ca="1" si="27"/>
        <v>6.1253418417915768E-4</v>
      </c>
      <c r="Q110" s="4">
        <f t="shared" ca="1" si="27"/>
        <v>1.1200513344127394E-2</v>
      </c>
    </row>
    <row r="111" spans="1:17">
      <c r="A111" t="s">
        <v>121</v>
      </c>
      <c r="B111" s="1">
        <v>413.6</v>
      </c>
      <c r="C111" s="4">
        <f t="shared" si="20"/>
        <v>3.1061474796829129E-2</v>
      </c>
      <c r="D111" s="4">
        <f t="shared" ca="1" si="26"/>
        <v>-2.7938013992861665E-3</v>
      </c>
      <c r="E111" s="4">
        <f t="shared" ca="1" si="26"/>
        <v>-4.8292594525503529E-3</v>
      </c>
      <c r="F111" s="4">
        <f t="shared" ca="1" si="26"/>
        <v>-7.3391461961273144E-3</v>
      </c>
      <c r="G111" s="4">
        <f t="shared" ca="1" si="26"/>
        <v>-2.4959856203998772E-2</v>
      </c>
      <c r="H111" s="4">
        <f t="shared" ca="1" si="26"/>
        <v>-1.8024769816130042E-2</v>
      </c>
      <c r="J111" t="s">
        <v>121</v>
      </c>
      <c r="K111" s="1">
        <v>208.72</v>
      </c>
      <c r="L111" s="4">
        <f t="shared" si="21"/>
        <v>-7.6074553062000496E-3</v>
      </c>
      <c r="M111" s="4">
        <f t="shared" ca="1" si="27"/>
        <v>-6.1550232162033243E-3</v>
      </c>
      <c r="N111" s="4">
        <f t="shared" ca="1" si="27"/>
        <v>4.3009737859959788E-3</v>
      </c>
      <c r="O111" s="4">
        <f t="shared" ca="1" si="27"/>
        <v>1.7656075554197223E-2</v>
      </c>
      <c r="P111" s="4">
        <f t="shared" ca="1" si="27"/>
        <v>2.3975039999556629E-2</v>
      </c>
      <c r="Q111" s="4">
        <f t="shared" ca="1" si="27"/>
        <v>-1.080284421239958E-2</v>
      </c>
    </row>
    <row r="112" spans="1:17">
      <c r="A112" t="s">
        <v>122</v>
      </c>
      <c r="B112" s="1">
        <v>413.27</v>
      </c>
      <c r="C112" s="4">
        <f t="shared" si="20"/>
        <v>-7.9787234042563086E-4</v>
      </c>
      <c r="D112" s="4">
        <f t="shared" ca="1" si="26"/>
        <v>3.1463469651171784E-2</v>
      </c>
      <c r="E112" s="4">
        <f t="shared" ca="1" si="26"/>
        <v>-3.1078157406738145E-2</v>
      </c>
      <c r="F112" s="4">
        <f t="shared" ca="1" si="26"/>
        <v>-2.9653954417590729E-2</v>
      </c>
      <c r="G112" s="4">
        <f t="shared" ca="1" si="26"/>
        <v>-1.8081078759115698E-2</v>
      </c>
      <c r="H112" s="4">
        <f t="shared" ca="1" si="26"/>
        <v>2.2155837885829338E-2</v>
      </c>
      <c r="J112" t="s">
        <v>122</v>
      </c>
      <c r="K112" s="1">
        <v>206.96</v>
      </c>
      <c r="L112" s="4">
        <f t="shared" si="21"/>
        <v>-8.4323495592180473E-3</v>
      </c>
      <c r="M112" s="4">
        <f t="shared" ca="1" si="27"/>
        <v>-3.4627319431669051E-2</v>
      </c>
      <c r="N112" s="4">
        <f t="shared" ca="1" si="27"/>
        <v>-7.2717955550883982E-3</v>
      </c>
      <c r="O112" s="4">
        <f t="shared" ca="1" si="27"/>
        <v>2.8649952255866105E-2</v>
      </c>
      <c r="P112" s="4">
        <f t="shared" ca="1" si="27"/>
        <v>1.5172501327487669E-2</v>
      </c>
      <c r="Q112" s="4">
        <f t="shared" ca="1" si="27"/>
        <v>-1.5602685260161325E-2</v>
      </c>
    </row>
    <row r="113" spans="1:17">
      <c r="A113" t="s">
        <v>123</v>
      </c>
      <c r="B113" s="1">
        <v>404.37</v>
      </c>
      <c r="C113" s="4">
        <f t="shared" si="20"/>
        <v>-2.1535557867737743E-2</v>
      </c>
      <c r="D113" s="4">
        <f t="shared" ca="1" si="26"/>
        <v>-1.2911674950612361E-2</v>
      </c>
      <c r="E113" s="4">
        <f t="shared" ca="1" si="26"/>
        <v>-2.0379729537801438E-2</v>
      </c>
      <c r="F113" s="4">
        <f t="shared" ca="1" si="26"/>
        <v>-8.8166632838817954E-3</v>
      </c>
      <c r="G113" s="4">
        <f t="shared" ca="1" si="26"/>
        <v>-4.3148746483196394E-2</v>
      </c>
      <c r="H113" s="4">
        <f t="shared" ca="1" si="26"/>
        <v>1.5569239619098152E-3</v>
      </c>
      <c r="J113" t="s">
        <v>123</v>
      </c>
      <c r="K113" s="1">
        <v>204.08</v>
      </c>
      <c r="L113" s="4">
        <f t="shared" si="21"/>
        <v>-1.391573250869731E-2</v>
      </c>
      <c r="M113" s="4">
        <f t="shared" ca="1" si="27"/>
        <v>-1.1180551282437587E-3</v>
      </c>
      <c r="N113" s="4">
        <f t="shared" ca="1" si="27"/>
        <v>2.1033036068993445E-3</v>
      </c>
      <c r="O113" s="4">
        <f t="shared" ca="1" si="27"/>
        <v>-3.4887641293033581E-2</v>
      </c>
      <c r="P113" s="4">
        <f t="shared" ca="1" si="27"/>
        <v>2.0610460537943548E-3</v>
      </c>
      <c r="Q113" s="4">
        <f t="shared" ca="1" si="27"/>
        <v>1.6672834968820681E-2</v>
      </c>
    </row>
    <row r="114" spans="1:17">
      <c r="A114" t="s">
        <v>124</v>
      </c>
      <c r="B114" s="1">
        <v>401.84</v>
      </c>
      <c r="C114" s="4">
        <f t="shared" si="20"/>
        <v>-6.2566461409106254E-3</v>
      </c>
      <c r="D114" s="4">
        <f t="shared" ca="1" si="26"/>
        <v>-1.0586923159928714E-2</v>
      </c>
      <c r="E114" s="4">
        <f t="shared" ca="1" si="26"/>
        <v>2.756191077348973E-3</v>
      </c>
      <c r="F114" s="4">
        <f t="shared" ca="1" si="26"/>
        <v>1.331489566246887E-2</v>
      </c>
      <c r="G114" s="4">
        <f t="shared" ca="1" si="26"/>
        <v>-2.7106013677428237E-2</v>
      </c>
      <c r="H114" s="4">
        <f t="shared" ca="1" si="26"/>
        <v>-1.6367225529664062E-2</v>
      </c>
      <c r="J114" t="s">
        <v>124</v>
      </c>
      <c r="K114" s="1">
        <v>199.6</v>
      </c>
      <c r="L114" s="4">
        <f t="shared" si="21"/>
        <v>-2.1952175617405027E-2</v>
      </c>
      <c r="M114" s="4">
        <f t="shared" ca="1" si="27"/>
        <v>-7.95444604726539E-3</v>
      </c>
      <c r="N114" s="4">
        <f t="shared" ca="1" si="27"/>
        <v>2.4641944406192929E-2</v>
      </c>
      <c r="O114" s="4">
        <f t="shared" ca="1" si="27"/>
        <v>-1.8368429457355912E-2</v>
      </c>
      <c r="P114" s="4">
        <f t="shared" ca="1" si="27"/>
        <v>-1.6787482411145794E-2</v>
      </c>
      <c r="Q114" s="4">
        <f t="shared" ca="1" si="27"/>
        <v>6.7023647516805491E-3</v>
      </c>
    </row>
    <row r="115" spans="1:17">
      <c r="A115" t="s">
        <v>125</v>
      </c>
      <c r="B115" s="1">
        <v>401.32</v>
      </c>
      <c r="C115" s="4">
        <f t="shared" si="20"/>
        <v>-1.2940473820425588E-3</v>
      </c>
      <c r="D115" s="4">
        <f t="shared" ca="1" si="26"/>
        <v>-1.0602666155820282E-2</v>
      </c>
      <c r="E115" s="4">
        <f t="shared" ca="1" si="26"/>
        <v>-1.3101700611687734E-2</v>
      </c>
      <c r="F115" s="4">
        <f t="shared" ca="1" si="26"/>
        <v>-3.1748215289402757E-3</v>
      </c>
      <c r="G115" s="4">
        <f t="shared" ca="1" si="26"/>
        <v>4.3666705806058081E-2</v>
      </c>
      <c r="H115" s="4">
        <f t="shared" ca="1" si="26"/>
        <v>-4.1491043522111247E-3</v>
      </c>
      <c r="J115" t="s">
        <v>125</v>
      </c>
      <c r="K115" s="1">
        <v>198.79</v>
      </c>
      <c r="L115" s="4">
        <f t="shared" si="21"/>
        <v>-4.058116232464941E-3</v>
      </c>
      <c r="M115" s="4">
        <f t="shared" ca="1" si="27"/>
        <v>6.4017168703570677E-3</v>
      </c>
      <c r="N115" s="4">
        <f t="shared" ca="1" si="27"/>
        <v>-1.1069649326937665E-2</v>
      </c>
      <c r="O115" s="4">
        <f t="shared" ca="1" si="27"/>
        <v>1.0824240185633877E-2</v>
      </c>
      <c r="P115" s="4">
        <f t="shared" ca="1" si="27"/>
        <v>-2.2533084479042998E-2</v>
      </c>
      <c r="Q115" s="4">
        <f t="shared" ca="1" si="27"/>
        <v>-3.6955807932634574E-2</v>
      </c>
    </row>
    <row r="116" spans="1:17">
      <c r="A116" t="s">
        <v>126</v>
      </c>
      <c r="B116" s="1">
        <v>396.86</v>
      </c>
      <c r="C116" s="4">
        <f t="shared" si="20"/>
        <v>-1.1113326024120351E-2</v>
      </c>
      <c r="D116" s="4">
        <f t="shared" ref="D116:H125" ca="1" si="28">NORMINV(RAND(), $C$6, $C$7)</f>
        <v>-1.1380510872687761E-2</v>
      </c>
      <c r="E116" s="4">
        <f t="shared" ca="1" si="28"/>
        <v>-1.7980102928251775E-2</v>
      </c>
      <c r="F116" s="4">
        <f t="shared" ca="1" si="28"/>
        <v>4.7544692392797851E-3</v>
      </c>
      <c r="G116" s="4">
        <f t="shared" ca="1" si="28"/>
        <v>3.4932149631595161E-2</v>
      </c>
      <c r="H116" s="4">
        <f t="shared" ca="1" si="28"/>
        <v>3.6235526905971753E-3</v>
      </c>
      <c r="J116" t="s">
        <v>126</v>
      </c>
      <c r="K116" s="1">
        <v>201.15</v>
      </c>
      <c r="L116" s="4">
        <f t="shared" si="21"/>
        <v>1.1871824538457738E-2</v>
      </c>
      <c r="M116" s="4">
        <f t="shared" ref="M116:Q125" ca="1" si="29">NORMINV(RAND(), $L$6, $L$7)</f>
        <v>-1.645977712831757E-2</v>
      </c>
      <c r="N116" s="4">
        <f t="shared" ca="1" si="29"/>
        <v>-2.7167181568250289E-2</v>
      </c>
      <c r="O116" s="4">
        <f t="shared" ca="1" si="29"/>
        <v>9.9524387892420876E-3</v>
      </c>
      <c r="P116" s="4">
        <f t="shared" ca="1" si="29"/>
        <v>2.837742808402257E-2</v>
      </c>
      <c r="Q116" s="4">
        <f t="shared" ca="1" si="29"/>
        <v>1.6470413665496498E-2</v>
      </c>
    </row>
    <row r="117" spans="1:17">
      <c r="A117" t="s">
        <v>127</v>
      </c>
      <c r="B117" s="1">
        <v>399.6</v>
      </c>
      <c r="C117" s="4">
        <f t="shared" si="20"/>
        <v>6.9041979539384395E-3</v>
      </c>
      <c r="D117" s="4">
        <f t="shared" ca="1" si="28"/>
        <v>4.9009691940366988E-3</v>
      </c>
      <c r="E117" s="4">
        <f t="shared" ca="1" si="28"/>
        <v>8.3053055213593747E-3</v>
      </c>
      <c r="F117" s="4">
        <f t="shared" ca="1" si="28"/>
        <v>1.9744009354491391E-2</v>
      </c>
      <c r="G117" s="4">
        <f t="shared" ca="1" si="28"/>
        <v>1.8764462218161431E-3</v>
      </c>
      <c r="H117" s="4">
        <f t="shared" ca="1" si="28"/>
        <v>2.936311564649445E-2</v>
      </c>
      <c r="J117" t="s">
        <v>127</v>
      </c>
      <c r="K117" s="1">
        <v>204.79</v>
      </c>
      <c r="L117" s="4">
        <f t="shared" si="21"/>
        <v>1.8095948297290512E-2</v>
      </c>
      <c r="M117" s="4">
        <f t="shared" ca="1" si="29"/>
        <v>1.974242029897701E-2</v>
      </c>
      <c r="N117" s="4">
        <f t="shared" ca="1" si="29"/>
        <v>-8.3438589034787042E-3</v>
      </c>
      <c r="O117" s="4">
        <f t="shared" ca="1" si="29"/>
        <v>-2.2627139799332278E-2</v>
      </c>
      <c r="P117" s="4">
        <f t="shared" ca="1" si="29"/>
        <v>3.1395394626585783E-2</v>
      </c>
      <c r="Q117" s="4">
        <f t="shared" ca="1" si="29"/>
        <v>2.8912911063266843E-2</v>
      </c>
    </row>
    <row r="118" spans="1:17">
      <c r="A118" t="s">
        <v>128</v>
      </c>
      <c r="B118" s="1">
        <v>398.46</v>
      </c>
      <c r="C118" s="4">
        <f t="shared" si="20"/>
        <v>-2.8528528528529609E-3</v>
      </c>
      <c r="D118" s="4">
        <f t="shared" ca="1" si="28"/>
        <v>1.1957008124254423E-2</v>
      </c>
      <c r="E118" s="4">
        <f t="shared" ca="1" si="28"/>
        <v>1.2914851595408531E-2</v>
      </c>
      <c r="F118" s="4">
        <f t="shared" ca="1" si="28"/>
        <v>-6.3190246196553682E-3</v>
      </c>
      <c r="G118" s="4">
        <f t="shared" ca="1" si="28"/>
        <v>1.7010761397081352E-3</v>
      </c>
      <c r="H118" s="4">
        <f t="shared" ca="1" si="28"/>
        <v>-4.2333113609517893E-3</v>
      </c>
      <c r="J118" t="s">
        <v>128</v>
      </c>
      <c r="K118" s="1">
        <v>204.86</v>
      </c>
      <c r="L118" s="4">
        <f t="shared" si="21"/>
        <v>3.4181356511558963E-4</v>
      </c>
      <c r="M118" s="4">
        <f t="shared" ca="1" si="29"/>
        <v>3.7787979826034625E-3</v>
      </c>
      <c r="N118" s="4">
        <f t="shared" ca="1" si="29"/>
        <v>-1.2422777225103617E-2</v>
      </c>
      <c r="O118" s="4">
        <f t="shared" ca="1" si="29"/>
        <v>-1.6997257494424895E-2</v>
      </c>
      <c r="P118" s="4">
        <f t="shared" ca="1" si="29"/>
        <v>-5.0765715381743733E-3</v>
      </c>
      <c r="Q118" s="4">
        <f t="shared" ca="1" si="29"/>
        <v>1.8065194513374554E-2</v>
      </c>
    </row>
    <row r="119" spans="1:17">
      <c r="A119" t="s">
        <v>129</v>
      </c>
      <c r="B119" s="1">
        <v>397.23</v>
      </c>
      <c r="C119" s="4">
        <f t="shared" si="20"/>
        <v>-3.0868845053454836E-3</v>
      </c>
      <c r="D119" s="4">
        <f t="shared" ca="1" si="28"/>
        <v>1.8384359918997572E-2</v>
      </c>
      <c r="E119" s="4">
        <f t="shared" ca="1" si="28"/>
        <v>1.0183004606355206E-2</v>
      </c>
      <c r="F119" s="4">
        <f t="shared" ca="1" si="28"/>
        <v>1.6471518359749457E-2</v>
      </c>
      <c r="G119" s="4">
        <f t="shared" ca="1" si="28"/>
        <v>-5.7943898545567626E-3</v>
      </c>
      <c r="H119" s="4">
        <f t="shared" ca="1" si="28"/>
        <v>3.7040365783718276E-2</v>
      </c>
      <c r="J119" t="s">
        <v>129</v>
      </c>
      <c r="K119" s="1">
        <v>210.11</v>
      </c>
      <c r="L119" s="4">
        <f t="shared" si="21"/>
        <v>2.5627257639363465E-2</v>
      </c>
      <c r="M119" s="4">
        <f t="shared" ca="1" si="29"/>
        <v>5.3008622636549763E-2</v>
      </c>
      <c r="N119" s="4">
        <f t="shared" ca="1" si="29"/>
        <v>1.4004209021144264E-2</v>
      </c>
      <c r="O119" s="4">
        <f t="shared" ca="1" si="29"/>
        <v>1.4587067484333622E-2</v>
      </c>
      <c r="P119" s="4">
        <f t="shared" ca="1" si="29"/>
        <v>2.769839053072673E-2</v>
      </c>
      <c r="Q119" s="4">
        <f t="shared" ca="1" si="29"/>
        <v>3.8749719224142415E-2</v>
      </c>
    </row>
    <row r="120" spans="1:17">
      <c r="A120" t="s">
        <v>130</v>
      </c>
      <c r="B120" s="1">
        <v>384.47</v>
      </c>
      <c r="C120" s="4">
        <f t="shared" si="20"/>
        <v>-3.2122447952068048E-2</v>
      </c>
      <c r="D120" s="4">
        <f t="shared" ca="1" si="28"/>
        <v>-7.8024061509207069E-3</v>
      </c>
      <c r="E120" s="4">
        <f t="shared" ca="1" si="28"/>
        <v>1.9184506666363311E-3</v>
      </c>
      <c r="F120" s="4">
        <f t="shared" ca="1" si="28"/>
        <v>-1.6740371347212089E-2</v>
      </c>
      <c r="G120" s="4">
        <f t="shared" ca="1" si="28"/>
        <v>3.9579429651525931E-3</v>
      </c>
      <c r="H120" s="4">
        <f t="shared" ca="1" si="28"/>
        <v>1.444374850329155E-2</v>
      </c>
      <c r="J120" t="s">
        <v>130</v>
      </c>
      <c r="K120" s="1">
        <v>205.27</v>
      </c>
      <c r="L120" s="4">
        <f t="shared" si="21"/>
        <v>-2.3035552805673234E-2</v>
      </c>
      <c r="M120" s="4">
        <f t="shared" ca="1" si="29"/>
        <v>1.516228269291303E-2</v>
      </c>
      <c r="N120" s="4">
        <f t="shared" ca="1" si="29"/>
        <v>9.0901871689937578E-3</v>
      </c>
      <c r="O120" s="4">
        <f t="shared" ca="1" si="29"/>
        <v>-8.5174716659784655E-3</v>
      </c>
      <c r="P120" s="4">
        <f t="shared" ca="1" si="29"/>
        <v>-5.4493340684324144E-3</v>
      </c>
      <c r="Q120" s="4">
        <f t="shared" ca="1" si="29"/>
        <v>-4.9458150866777224E-3</v>
      </c>
    </row>
    <row r="121" spans="1:17">
      <c r="A121" t="s">
        <v>131</v>
      </c>
      <c r="B121" s="1">
        <v>389</v>
      </c>
      <c r="C121" s="4">
        <f t="shared" si="20"/>
        <v>1.1782453767524053E-2</v>
      </c>
      <c r="D121" s="4">
        <f t="shared" ca="1" si="28"/>
        <v>-2.0994058588234877E-2</v>
      </c>
      <c r="E121" s="4">
        <f t="shared" ca="1" si="28"/>
        <v>-3.9430285081316171E-2</v>
      </c>
      <c r="F121" s="4">
        <f t="shared" ca="1" si="28"/>
        <v>1.2805059164177839E-2</v>
      </c>
      <c r="G121" s="4">
        <f t="shared" ca="1" si="28"/>
        <v>-4.532920989284807E-3</v>
      </c>
      <c r="H121" s="4">
        <f t="shared" ca="1" si="28"/>
        <v>8.9942642255713967E-3</v>
      </c>
      <c r="J121" t="s">
        <v>131</v>
      </c>
      <c r="K121" s="1">
        <v>208.56</v>
      </c>
      <c r="L121" s="4">
        <f t="shared" si="21"/>
        <v>1.602767087250934E-2</v>
      </c>
      <c r="M121" s="4">
        <f t="shared" ca="1" si="29"/>
        <v>-1.0487874890345117E-2</v>
      </c>
      <c r="N121" s="4">
        <f t="shared" ca="1" si="29"/>
        <v>2.7733759243211108E-2</v>
      </c>
      <c r="O121" s="4">
        <f t="shared" ca="1" si="29"/>
        <v>-2.6144610319625665E-2</v>
      </c>
      <c r="P121" s="4">
        <f t="shared" ca="1" si="29"/>
        <v>-3.1108448886725159E-2</v>
      </c>
      <c r="Q121" s="4">
        <f t="shared" ca="1" si="29"/>
        <v>8.7957776729735461E-3</v>
      </c>
    </row>
    <row r="122" spans="1:17">
      <c r="A122" t="s">
        <v>132</v>
      </c>
      <c r="B122" s="1">
        <v>400.6</v>
      </c>
      <c r="C122" s="4">
        <f t="shared" si="20"/>
        <v>2.9820051413881807E-2</v>
      </c>
      <c r="D122" s="4">
        <f t="shared" ca="1" si="28"/>
        <v>-4.9478617737603273E-2</v>
      </c>
      <c r="E122" s="4">
        <f t="shared" ca="1" si="28"/>
        <v>1.7458565992005563E-2</v>
      </c>
      <c r="F122" s="4">
        <f t="shared" ca="1" si="28"/>
        <v>-9.5005194288758608E-3</v>
      </c>
      <c r="G122" s="4">
        <f t="shared" ca="1" si="28"/>
        <v>2.5063796703375947E-2</v>
      </c>
      <c r="H122" s="4">
        <f t="shared" ca="1" si="28"/>
        <v>4.7305291812935754E-3</v>
      </c>
      <c r="J122" t="s">
        <v>132</v>
      </c>
      <c r="K122" s="1">
        <v>210.64</v>
      </c>
      <c r="L122" s="4">
        <f t="shared" si="21"/>
        <v>9.9731492136554672E-3</v>
      </c>
      <c r="M122" s="4">
        <f t="shared" ca="1" si="29"/>
        <v>-6.4545456710716617E-3</v>
      </c>
      <c r="N122" s="4">
        <f t="shared" ca="1" si="29"/>
        <v>-7.2083230150516864E-3</v>
      </c>
      <c r="O122" s="4">
        <f t="shared" ca="1" si="29"/>
        <v>-6.6038404550004787E-2</v>
      </c>
      <c r="P122" s="4">
        <f t="shared" ca="1" si="29"/>
        <v>-5.8399308243230483E-3</v>
      </c>
      <c r="Q122" s="4">
        <f t="shared" ca="1" si="29"/>
        <v>-1.9068554666039711E-2</v>
      </c>
    </row>
    <row r="123" spans="1:17">
      <c r="A123" t="s">
        <v>133</v>
      </c>
      <c r="B123" s="1">
        <v>401.72</v>
      </c>
      <c r="C123" s="4">
        <f t="shared" si="20"/>
        <v>2.7958062905641648E-3</v>
      </c>
      <c r="D123" s="4">
        <f t="shared" ca="1" si="28"/>
        <v>1.4695077096844257E-2</v>
      </c>
      <c r="E123" s="4">
        <f t="shared" ca="1" si="28"/>
        <v>1.2262601285552873E-2</v>
      </c>
      <c r="F123" s="4">
        <f t="shared" ca="1" si="28"/>
        <v>1.9244909659727878E-2</v>
      </c>
      <c r="G123" s="4">
        <f t="shared" ca="1" si="28"/>
        <v>-6.3750947127692151E-2</v>
      </c>
      <c r="H123" s="4">
        <f t="shared" ca="1" si="28"/>
        <v>-1.3032835743777681E-2</v>
      </c>
      <c r="J123" t="s">
        <v>133</v>
      </c>
      <c r="K123" s="1">
        <v>207.92</v>
      </c>
      <c r="L123" s="4">
        <f t="shared" si="21"/>
        <v>-1.2913026965438659E-2</v>
      </c>
      <c r="M123" s="4">
        <f t="shared" ca="1" si="29"/>
        <v>-2.4671215291506104E-2</v>
      </c>
      <c r="N123" s="4">
        <f t="shared" ca="1" si="29"/>
        <v>-1.8692870408651394E-2</v>
      </c>
      <c r="O123" s="4">
        <f t="shared" ca="1" si="29"/>
        <v>1.2351287026078746E-2</v>
      </c>
      <c r="P123" s="4">
        <f t="shared" ca="1" si="29"/>
        <v>-1.0034311190682097E-2</v>
      </c>
      <c r="Q123" s="4">
        <f t="shared" ca="1" si="29"/>
        <v>-2.2475614598861061E-3</v>
      </c>
    </row>
    <row r="124" spans="1:17">
      <c r="A124" t="s">
        <v>134</v>
      </c>
      <c r="B124" s="1">
        <v>392.74</v>
      </c>
      <c r="C124" s="4">
        <f t="shared" si="20"/>
        <v>-2.235387832321024E-2</v>
      </c>
      <c r="D124" s="4">
        <f t="shared" ca="1" si="28"/>
        <v>1.4900320191236906E-2</v>
      </c>
      <c r="E124" s="4">
        <f t="shared" ca="1" si="28"/>
        <v>2.5072885869873641E-2</v>
      </c>
      <c r="F124" s="4">
        <f t="shared" ca="1" si="28"/>
        <v>1.8616320691311847E-2</v>
      </c>
      <c r="G124" s="4">
        <f t="shared" ca="1" si="28"/>
        <v>-2.4011024918055748E-2</v>
      </c>
      <c r="H124" s="4">
        <f t="shared" ca="1" si="28"/>
        <v>1.830580461866701E-4</v>
      </c>
      <c r="J124" t="s">
        <v>134</v>
      </c>
      <c r="K124" s="1">
        <v>210</v>
      </c>
      <c r="L124" s="4">
        <f t="shared" si="21"/>
        <v>1.0003847633705333E-2</v>
      </c>
      <c r="M124" s="4">
        <f t="shared" ca="1" si="29"/>
        <v>-1.2678064662476601E-2</v>
      </c>
      <c r="N124" s="4">
        <f t="shared" ca="1" si="29"/>
        <v>2.5968769176524496E-2</v>
      </c>
      <c r="O124" s="4">
        <f t="shared" ca="1" si="29"/>
        <v>1.8684680471470587E-2</v>
      </c>
      <c r="P124" s="4">
        <f t="shared" ca="1" si="29"/>
        <v>5.9032117798389688E-3</v>
      </c>
      <c r="Q124" s="4">
        <f t="shared" ca="1" si="29"/>
        <v>-3.7491881012527463E-2</v>
      </c>
    </row>
    <row r="125" spans="1:17">
      <c r="A125" t="s">
        <v>135</v>
      </c>
      <c r="B125" s="1">
        <v>398.55</v>
      </c>
      <c r="C125" s="4">
        <f t="shared" si="20"/>
        <v>1.4793502062433168E-2</v>
      </c>
      <c r="D125" s="4">
        <f t="shared" ca="1" si="28"/>
        <v>-1.441214481902149E-2</v>
      </c>
      <c r="E125" s="4">
        <f t="shared" ca="1" si="28"/>
        <v>-4.7061473965049928E-3</v>
      </c>
      <c r="F125" s="4">
        <f t="shared" ca="1" si="28"/>
        <v>1.3323306957219691E-2</v>
      </c>
      <c r="G125" s="4">
        <f t="shared" ca="1" si="28"/>
        <v>6.6833938820216807E-2</v>
      </c>
      <c r="H125" s="4">
        <f t="shared" ca="1" si="28"/>
        <v>-3.887643469630434E-3</v>
      </c>
      <c r="J125" t="s">
        <v>135</v>
      </c>
      <c r="K125" s="1">
        <v>208.39</v>
      </c>
      <c r="L125" s="4">
        <f t="shared" si="21"/>
        <v>-7.6666666666667313E-3</v>
      </c>
      <c r="M125" s="4">
        <f t="shared" ca="1" si="29"/>
        <v>1.7776738626096869E-2</v>
      </c>
      <c r="N125" s="4">
        <f t="shared" ca="1" si="29"/>
        <v>-6.1401683391923007E-3</v>
      </c>
      <c r="O125" s="4">
        <f t="shared" ca="1" si="29"/>
        <v>7.6961610556392618E-5</v>
      </c>
      <c r="P125" s="4">
        <f t="shared" ca="1" si="29"/>
        <v>1.900915933185534E-2</v>
      </c>
      <c r="Q125" s="4">
        <f t="shared" ca="1" si="29"/>
        <v>1.7135057828409055E-2</v>
      </c>
    </row>
    <row r="126" spans="1:17">
      <c r="A126" t="s">
        <v>136</v>
      </c>
      <c r="B126" s="1">
        <v>403.93</v>
      </c>
      <c r="C126" s="4">
        <f t="shared" si="20"/>
        <v>1.3498933634424778E-2</v>
      </c>
      <c r="D126" s="4">
        <f t="shared" ref="D126:H135" ca="1" si="30">NORMINV(RAND(), $C$6, $C$7)</f>
        <v>3.3109832150699847E-2</v>
      </c>
      <c r="E126" s="4">
        <f t="shared" ca="1" si="30"/>
        <v>-5.2488117396723277E-3</v>
      </c>
      <c r="F126" s="4">
        <f t="shared" ca="1" si="30"/>
        <v>-2.2858652455797008E-2</v>
      </c>
      <c r="G126" s="4">
        <f t="shared" ca="1" si="30"/>
        <v>2.1725505262276092E-2</v>
      </c>
      <c r="H126" s="4">
        <f t="shared" ca="1" si="30"/>
        <v>3.0142016435816495E-2</v>
      </c>
      <c r="J126" t="s">
        <v>136</v>
      </c>
      <c r="K126" s="1">
        <v>208.73</v>
      </c>
      <c r="L126" s="4">
        <f t="shared" si="21"/>
        <v>1.6315562167090716E-3</v>
      </c>
      <c r="M126" s="4">
        <f t="shared" ref="M126:Q135" ca="1" si="31">NORMINV(RAND(), $L$6, $L$7)</f>
        <v>2.1055808286938343E-2</v>
      </c>
      <c r="N126" s="4">
        <f t="shared" ca="1" si="31"/>
        <v>-1.8661555115406233E-2</v>
      </c>
      <c r="O126" s="4">
        <f t="shared" ca="1" si="31"/>
        <v>1.7482701797947212E-2</v>
      </c>
      <c r="P126" s="4">
        <f t="shared" ca="1" si="31"/>
        <v>2.7338930455238025E-2</v>
      </c>
      <c r="Q126" s="4">
        <f t="shared" ca="1" si="31"/>
        <v>6.6737927851428583E-2</v>
      </c>
    </row>
    <row r="127" spans="1:17">
      <c r="A127" t="s">
        <v>137</v>
      </c>
      <c r="B127" s="1">
        <v>405.2</v>
      </c>
      <c r="C127" s="4">
        <f t="shared" si="20"/>
        <v>3.1441091278191315E-3</v>
      </c>
      <c r="D127" s="4">
        <f t="shared" ca="1" si="30"/>
        <v>-3.8580867290316227E-2</v>
      </c>
      <c r="E127" s="4">
        <f t="shared" ca="1" si="30"/>
        <v>-1.9792440787635809E-2</v>
      </c>
      <c r="F127" s="4">
        <f t="shared" ca="1" si="30"/>
        <v>-4.3589978476219335E-3</v>
      </c>
      <c r="G127" s="4">
        <f t="shared" ca="1" si="30"/>
        <v>-2.0977133943192443E-2</v>
      </c>
      <c r="H127" s="4">
        <f t="shared" ca="1" si="30"/>
        <v>1.0614003896350449E-2</v>
      </c>
      <c r="J127" t="s">
        <v>137</v>
      </c>
      <c r="K127" s="1">
        <v>216.82</v>
      </c>
      <c r="L127" s="4">
        <f t="shared" si="21"/>
        <v>3.8758204378862661E-2</v>
      </c>
      <c r="M127" s="4">
        <f t="shared" ca="1" si="31"/>
        <v>-1.2427650611531426E-2</v>
      </c>
      <c r="N127" s="4">
        <f t="shared" ca="1" si="31"/>
        <v>-2.316319477964833E-2</v>
      </c>
      <c r="O127" s="4">
        <f t="shared" ca="1" si="31"/>
        <v>1.7178632300765318E-2</v>
      </c>
      <c r="P127" s="4">
        <f t="shared" ca="1" si="31"/>
        <v>-1.5769117637415012E-2</v>
      </c>
      <c r="Q127" s="4">
        <f t="shared" ca="1" si="31"/>
        <v>7.4969099346033638E-3</v>
      </c>
    </row>
    <row r="128" spans="1:17">
      <c r="A128" t="s">
        <v>138</v>
      </c>
      <c r="B128" s="1">
        <v>410.68</v>
      </c>
      <c r="C128" s="4">
        <f t="shared" si="20"/>
        <v>1.3524185587364309E-2</v>
      </c>
      <c r="D128" s="4">
        <f t="shared" ca="1" si="30"/>
        <v>7.7477163358950739E-3</v>
      </c>
      <c r="E128" s="4">
        <f t="shared" ca="1" si="30"/>
        <v>-4.2056718685210652E-2</v>
      </c>
      <c r="F128" s="4">
        <f t="shared" ca="1" si="30"/>
        <v>-3.9115397811328237E-2</v>
      </c>
      <c r="G128" s="4">
        <f t="shared" ca="1" si="30"/>
        <v>2.1825754339354756E-3</v>
      </c>
      <c r="H128" s="4">
        <f t="shared" ca="1" si="30"/>
        <v>7.9657142560085846E-3</v>
      </c>
      <c r="J128" t="s">
        <v>138</v>
      </c>
      <c r="K128" s="1">
        <v>218.94</v>
      </c>
      <c r="L128" s="4">
        <f t="shared" si="21"/>
        <v>9.7776957845217439E-3</v>
      </c>
      <c r="M128" s="4">
        <f t="shared" ca="1" si="31"/>
        <v>1.0656900450562445E-2</v>
      </c>
      <c r="N128" s="4">
        <f t="shared" ca="1" si="31"/>
        <v>1.6556597960444301E-3</v>
      </c>
      <c r="O128" s="4">
        <f t="shared" ca="1" si="31"/>
        <v>-3.0985424538959357E-3</v>
      </c>
      <c r="P128" s="4">
        <f t="shared" ca="1" si="31"/>
        <v>6.6841152284825645E-3</v>
      </c>
      <c r="Q128" s="4">
        <f t="shared" ca="1" si="31"/>
        <v>-3.1030958849059495E-3</v>
      </c>
    </row>
    <row r="129" spans="1:17">
      <c r="A129" t="s">
        <v>139</v>
      </c>
      <c r="B129" s="1">
        <v>408.96</v>
      </c>
      <c r="C129" s="4">
        <f t="shared" si="20"/>
        <v>-4.1881757085809566E-3</v>
      </c>
      <c r="D129" s="4">
        <f t="shared" ca="1" si="30"/>
        <v>1.5637460914197078E-2</v>
      </c>
      <c r="E129" s="4">
        <f t="shared" ca="1" si="30"/>
        <v>2.2943359712603383E-2</v>
      </c>
      <c r="F129" s="4">
        <f t="shared" ca="1" si="30"/>
        <v>-8.2652322588114245E-3</v>
      </c>
      <c r="G129" s="4">
        <f t="shared" ca="1" si="30"/>
        <v>5.4925587385568015E-3</v>
      </c>
      <c r="H129" s="4">
        <f t="shared" ca="1" si="30"/>
        <v>-2.0704646101215511E-3</v>
      </c>
      <c r="J129" t="s">
        <v>139</v>
      </c>
      <c r="K129" s="1">
        <v>213.21</v>
      </c>
      <c r="L129" s="4">
        <f t="shared" si="21"/>
        <v>-2.6171553850369917E-2</v>
      </c>
      <c r="M129" s="4">
        <f t="shared" ca="1" si="31"/>
        <v>1.4011353318859061E-2</v>
      </c>
      <c r="N129" s="4">
        <f t="shared" ca="1" si="31"/>
        <v>4.9517600794881517E-2</v>
      </c>
      <c r="O129" s="4">
        <f t="shared" ca="1" si="31"/>
        <v>1.3315807000611387E-2</v>
      </c>
      <c r="P129" s="4">
        <f t="shared" ca="1" si="31"/>
        <v>-3.2499894522495999E-2</v>
      </c>
      <c r="Q129" s="4">
        <f t="shared" ca="1" si="31"/>
        <v>-3.9440419072636713E-2</v>
      </c>
    </row>
    <row r="130" spans="1:17">
      <c r="A130" t="s">
        <v>140</v>
      </c>
      <c r="B130" s="1">
        <v>409.41</v>
      </c>
      <c r="C130" s="4">
        <f t="shared" si="20"/>
        <v>1.1003521126761676E-3</v>
      </c>
      <c r="D130" s="4">
        <f t="shared" ca="1" si="30"/>
        <v>2.6102572645082693E-2</v>
      </c>
      <c r="E130" s="4">
        <f t="shared" ca="1" si="30"/>
        <v>-2.8444202396070758E-2</v>
      </c>
      <c r="F130" s="4">
        <f t="shared" ca="1" si="30"/>
        <v>-5.2263306033958692E-3</v>
      </c>
      <c r="G130" s="4">
        <f t="shared" ca="1" si="30"/>
        <v>-1.5121989940963042E-2</v>
      </c>
      <c r="H130" s="4">
        <f t="shared" ca="1" si="30"/>
        <v>-1.7585986695914331E-2</v>
      </c>
      <c r="J130" t="s">
        <v>140</v>
      </c>
      <c r="K130" s="1">
        <v>213.49</v>
      </c>
      <c r="L130" s="4">
        <f t="shared" si="21"/>
        <v>1.3132592279911878E-3</v>
      </c>
      <c r="M130" s="4">
        <f t="shared" ca="1" si="31"/>
        <v>-1.8021758278171564E-2</v>
      </c>
      <c r="N130" s="4">
        <f t="shared" ca="1" si="31"/>
        <v>3.3726235808209645E-2</v>
      </c>
      <c r="O130" s="4">
        <f t="shared" ca="1" si="31"/>
        <v>-1.9732369233143369E-2</v>
      </c>
      <c r="P130" s="4">
        <f t="shared" ca="1" si="31"/>
        <v>-2.4785913190517473E-3</v>
      </c>
      <c r="Q130" s="4">
        <f t="shared" ca="1" si="31"/>
        <v>2.0802545018469901E-2</v>
      </c>
    </row>
    <row r="131" spans="1:17">
      <c r="A131" t="s">
        <v>141</v>
      </c>
      <c r="B131" s="1">
        <v>405.76</v>
      </c>
      <c r="C131" s="4">
        <f t="shared" si="20"/>
        <v>-8.915268312938214E-3</v>
      </c>
      <c r="D131" s="4">
        <f t="shared" ca="1" si="30"/>
        <v>6.0369678910631537E-3</v>
      </c>
      <c r="E131" s="4">
        <f t="shared" ca="1" si="30"/>
        <v>1.0912960655760154E-2</v>
      </c>
      <c r="F131" s="4">
        <f t="shared" ca="1" si="30"/>
        <v>1.1651214065086834E-2</v>
      </c>
      <c r="G131" s="4">
        <f t="shared" ca="1" si="30"/>
        <v>-1.2876676568235296E-2</v>
      </c>
      <c r="H131" s="4">
        <f t="shared" ca="1" si="30"/>
        <v>2.0656003064568459E-3</v>
      </c>
      <c r="J131" t="s">
        <v>141</v>
      </c>
      <c r="K131" s="1">
        <v>214.33</v>
      </c>
      <c r="L131" s="4">
        <f t="shared" si="21"/>
        <v>3.9346105203990978E-3</v>
      </c>
      <c r="M131" s="4">
        <f t="shared" ca="1" si="31"/>
        <v>1.2350646457075287E-2</v>
      </c>
      <c r="N131" s="4">
        <f t="shared" ca="1" si="31"/>
        <v>-1.9434309143782916E-2</v>
      </c>
      <c r="O131" s="4">
        <f t="shared" ca="1" si="31"/>
        <v>5.700077968658214E-3</v>
      </c>
      <c r="P131" s="4">
        <f t="shared" ca="1" si="31"/>
        <v>3.2374848795790785E-3</v>
      </c>
      <c r="Q131" s="4">
        <f t="shared" ca="1" si="31"/>
        <v>-1.6418167413006109E-2</v>
      </c>
    </row>
    <row r="132" spans="1:17">
      <c r="A132" t="s">
        <v>142</v>
      </c>
      <c r="B132" s="1">
        <v>404.88</v>
      </c>
      <c r="C132" s="4">
        <f t="shared" si="20"/>
        <v>-2.1687697160883168E-3</v>
      </c>
      <c r="D132" s="4">
        <f t="shared" ca="1" si="30"/>
        <v>9.18206387451472E-3</v>
      </c>
      <c r="E132" s="4">
        <f t="shared" ca="1" si="30"/>
        <v>-2.6610835524093095E-2</v>
      </c>
      <c r="F132" s="4">
        <f t="shared" ca="1" si="30"/>
        <v>-1.7089098476011585E-2</v>
      </c>
      <c r="G132" s="4">
        <f t="shared" ca="1" si="30"/>
        <v>9.7928428638258506E-3</v>
      </c>
      <c r="H132" s="4">
        <f t="shared" ca="1" si="30"/>
        <v>-2.3816061527359642E-2</v>
      </c>
      <c r="J132" t="s">
        <v>142</v>
      </c>
      <c r="K132" s="1">
        <v>212.65</v>
      </c>
      <c r="L132" s="4">
        <f t="shared" si="21"/>
        <v>-7.8383800681192869E-3</v>
      </c>
      <c r="M132" s="4">
        <f t="shared" ca="1" si="31"/>
        <v>-7.5324580015572167E-3</v>
      </c>
      <c r="N132" s="4">
        <f t="shared" ca="1" si="31"/>
        <v>-1.3410227332647221E-2</v>
      </c>
      <c r="O132" s="4">
        <f t="shared" ca="1" si="31"/>
        <v>5.9401070543067761E-3</v>
      </c>
      <c r="P132" s="4">
        <f t="shared" ca="1" si="31"/>
        <v>-3.2212315407911273E-3</v>
      </c>
      <c r="Q132" s="4">
        <f t="shared" ca="1" si="31"/>
        <v>1.8065117466408463E-2</v>
      </c>
    </row>
    <row r="133" spans="1:17">
      <c r="A133" t="s">
        <v>143</v>
      </c>
      <c r="B133" s="1">
        <v>401.86</v>
      </c>
      <c r="C133" s="4">
        <f t="shared" si="20"/>
        <v>-7.4590001975893645E-3</v>
      </c>
      <c r="D133" s="4">
        <f t="shared" ca="1" si="30"/>
        <v>2.176147134885547E-2</v>
      </c>
      <c r="E133" s="4">
        <f t="shared" ca="1" si="30"/>
        <v>-4.1146558373395302E-3</v>
      </c>
      <c r="F133" s="4">
        <f t="shared" ca="1" si="30"/>
        <v>1.782398930735602E-3</v>
      </c>
      <c r="G133" s="4">
        <f t="shared" ca="1" si="30"/>
        <v>5.7770905831665597E-3</v>
      </c>
      <c r="H133" s="4">
        <f t="shared" ca="1" si="30"/>
        <v>-9.7203259502754331E-3</v>
      </c>
      <c r="J133" t="s">
        <v>143</v>
      </c>
      <c r="K133" s="1">
        <v>209.53</v>
      </c>
      <c r="L133" s="4">
        <f t="shared" si="21"/>
        <v>-1.4671996237949703E-2</v>
      </c>
      <c r="M133" s="4">
        <f t="shared" ca="1" si="31"/>
        <v>3.8154779605874419E-3</v>
      </c>
      <c r="N133" s="4">
        <f t="shared" ca="1" si="31"/>
        <v>-5.2259990001617893E-2</v>
      </c>
      <c r="O133" s="4">
        <f t="shared" ca="1" si="31"/>
        <v>-8.917460408125898E-3</v>
      </c>
      <c r="P133" s="4">
        <f t="shared" ca="1" si="31"/>
        <v>3.2129793170182296E-2</v>
      </c>
      <c r="Q133" s="4">
        <f t="shared" ca="1" si="31"/>
        <v>-1.7681988424715512E-2</v>
      </c>
    </row>
    <row r="134" spans="1:17">
      <c r="A134" t="s">
        <v>144</v>
      </c>
      <c r="B134" s="1">
        <v>395.55</v>
      </c>
      <c r="C134" s="4">
        <f t="shared" si="20"/>
        <v>-1.5701985766187233E-2</v>
      </c>
      <c r="D134" s="4">
        <f t="shared" ca="1" si="30"/>
        <v>-2.3814730179250393E-3</v>
      </c>
      <c r="E134" s="4">
        <f t="shared" ca="1" si="30"/>
        <v>-2.3523845320086872E-2</v>
      </c>
      <c r="F134" s="4">
        <f t="shared" ca="1" si="30"/>
        <v>-1.531876792389888E-2</v>
      </c>
      <c r="G134" s="4">
        <f t="shared" ca="1" si="30"/>
        <v>3.0406156008895818E-2</v>
      </c>
      <c r="H134" s="4">
        <f t="shared" ca="1" si="30"/>
        <v>1.5972265023068283E-3</v>
      </c>
      <c r="J134" t="s">
        <v>144</v>
      </c>
      <c r="K134" s="1">
        <v>207.67</v>
      </c>
      <c r="L134" s="4">
        <f t="shared" si="21"/>
        <v>-8.8770104519639847E-3</v>
      </c>
      <c r="M134" s="4">
        <f t="shared" ca="1" si="31"/>
        <v>-1.0134846454029052E-2</v>
      </c>
      <c r="N134" s="4">
        <f t="shared" ca="1" si="31"/>
        <v>-6.0264480418235613E-3</v>
      </c>
      <c r="O134" s="4">
        <f t="shared" ca="1" si="31"/>
        <v>-2.5894955629525984E-3</v>
      </c>
      <c r="P134" s="4">
        <f t="shared" ca="1" si="31"/>
        <v>-2.1170866380166069E-2</v>
      </c>
      <c r="Q134" s="4">
        <f t="shared" ca="1" si="31"/>
        <v>2.7869650028401177E-2</v>
      </c>
    </row>
    <row r="135" spans="1:17">
      <c r="A135" t="s">
        <v>145</v>
      </c>
      <c r="B135" s="1">
        <v>399.95</v>
      </c>
      <c r="C135" s="4">
        <f t="shared" si="20"/>
        <v>1.1123751738086151E-2</v>
      </c>
      <c r="D135" s="4">
        <f t="shared" ca="1" si="30"/>
        <v>-1.7398373375173214E-2</v>
      </c>
      <c r="E135" s="4">
        <f t="shared" ca="1" si="30"/>
        <v>-3.1163140848674848E-3</v>
      </c>
      <c r="F135" s="4">
        <f t="shared" ca="1" si="30"/>
        <v>-6.4041502376814257E-3</v>
      </c>
      <c r="G135" s="4">
        <f t="shared" ca="1" si="30"/>
        <v>7.1534999457339927E-3</v>
      </c>
      <c r="H135" s="4">
        <f t="shared" ca="1" si="30"/>
        <v>-2.1204575166988562E-2</v>
      </c>
      <c r="J135" t="s">
        <v>145</v>
      </c>
      <c r="K135" s="1">
        <v>211.74</v>
      </c>
      <c r="L135" s="4">
        <f t="shared" si="21"/>
        <v>1.9598401309770416E-2</v>
      </c>
      <c r="M135" s="4">
        <f t="shared" ca="1" si="31"/>
        <v>-2.3353293094765838E-2</v>
      </c>
      <c r="N135" s="4">
        <f t="shared" ca="1" si="31"/>
        <v>2.9210930698905808E-2</v>
      </c>
      <c r="O135" s="4">
        <f t="shared" ca="1" si="31"/>
        <v>-4.5262304821608113E-3</v>
      </c>
      <c r="P135" s="4">
        <f t="shared" ca="1" si="31"/>
        <v>-8.5535233623047283E-3</v>
      </c>
      <c r="Q135" s="4">
        <f t="shared" ca="1" si="31"/>
        <v>1.2966460729034667E-2</v>
      </c>
    </row>
    <row r="136" spans="1:17">
      <c r="A136" t="s">
        <v>146</v>
      </c>
      <c r="B136" s="1">
        <v>399.41</v>
      </c>
      <c r="C136" s="4">
        <f t="shared" si="20"/>
        <v>-1.3501687710962961E-3</v>
      </c>
      <c r="D136" s="4">
        <f t="shared" ref="D136:H145" ca="1" si="32">NORMINV(RAND(), $C$6, $C$7)</f>
        <v>3.4056879188608016E-2</v>
      </c>
      <c r="E136" s="4">
        <f t="shared" ca="1" si="32"/>
        <v>-1.7328762460529112E-2</v>
      </c>
      <c r="F136" s="4">
        <f t="shared" ca="1" si="32"/>
        <v>1.6151280783626729E-3</v>
      </c>
      <c r="G136" s="4">
        <f t="shared" ca="1" si="32"/>
        <v>-1.4661598733712637E-2</v>
      </c>
      <c r="H136" s="4">
        <f t="shared" ca="1" si="32"/>
        <v>2.0525205626864305E-2</v>
      </c>
      <c r="J136" t="s">
        <v>146</v>
      </c>
      <c r="K136" s="1">
        <v>215.2</v>
      </c>
      <c r="L136" s="4">
        <f t="shared" si="21"/>
        <v>1.6340795315008875E-2</v>
      </c>
      <c r="M136" s="4">
        <f t="shared" ref="M136:Q145" ca="1" si="33">NORMINV(RAND(), $L$6, $L$7)</f>
        <v>2.4769347856208167E-2</v>
      </c>
      <c r="N136" s="4">
        <f t="shared" ca="1" si="33"/>
        <v>-3.9509664448865688E-3</v>
      </c>
      <c r="O136" s="4">
        <f t="shared" ca="1" si="33"/>
        <v>1.1908933888358371E-2</v>
      </c>
      <c r="P136" s="4">
        <f t="shared" ca="1" si="33"/>
        <v>-1.1229513264533116E-2</v>
      </c>
      <c r="Q136" s="4">
        <f t="shared" ca="1" si="33"/>
        <v>-1.4414091116246435E-2</v>
      </c>
    </row>
    <row r="137" spans="1:17">
      <c r="A137" t="s">
        <v>147</v>
      </c>
      <c r="B137" s="1">
        <v>391.79</v>
      </c>
      <c r="C137" s="4">
        <f t="shared" si="20"/>
        <v>-1.9078140256878907E-2</v>
      </c>
      <c r="D137" s="4">
        <f t="shared" ca="1" si="32"/>
        <v>1.1594103765751681E-2</v>
      </c>
      <c r="E137" s="4">
        <f t="shared" ca="1" si="32"/>
        <v>-4.8177400556699577E-2</v>
      </c>
      <c r="F137" s="4">
        <f t="shared" ca="1" si="32"/>
        <v>4.3759870537827253E-3</v>
      </c>
      <c r="G137" s="4">
        <f t="shared" ca="1" si="32"/>
        <v>-1.1983221604889866E-2</v>
      </c>
      <c r="H137" s="4">
        <f t="shared" ca="1" si="32"/>
        <v>-2.5350644588702332E-2</v>
      </c>
      <c r="J137" t="s">
        <v>147</v>
      </c>
      <c r="K137" s="1">
        <v>209.87</v>
      </c>
      <c r="L137" s="4">
        <f t="shared" si="21"/>
        <v>-2.4767657992564984E-2</v>
      </c>
      <c r="M137" s="4">
        <f t="shared" ca="1" si="33"/>
        <v>2.3730355711585865E-2</v>
      </c>
      <c r="N137" s="4">
        <f t="shared" ca="1" si="33"/>
        <v>-2.517961632177618E-3</v>
      </c>
      <c r="O137" s="4">
        <f t="shared" ca="1" si="33"/>
        <v>1.9761264046789409E-3</v>
      </c>
      <c r="P137" s="4">
        <f t="shared" ca="1" si="33"/>
        <v>-1.4296642078673307E-2</v>
      </c>
      <c r="Q137" s="4">
        <f t="shared" ca="1" si="33"/>
        <v>-2.7933843944576951E-3</v>
      </c>
    </row>
    <row r="138" spans="1:17">
      <c r="A138" t="s">
        <v>148</v>
      </c>
      <c r="B138" s="1">
        <v>389.02</v>
      </c>
      <c r="C138" s="4">
        <f t="shared" si="20"/>
        <v>-7.0701140917329144E-3</v>
      </c>
      <c r="D138" s="4">
        <f t="shared" ca="1" si="32"/>
        <v>-7.181253516835101E-3</v>
      </c>
      <c r="E138" s="4">
        <f t="shared" ca="1" si="32"/>
        <v>2.5710953123707147E-2</v>
      </c>
      <c r="F138" s="4">
        <f t="shared" ca="1" si="32"/>
        <v>1.2135292284756434E-2</v>
      </c>
      <c r="G138" s="4">
        <f t="shared" ca="1" si="32"/>
        <v>-2.894386042900024E-2</v>
      </c>
      <c r="H138" s="4">
        <f t="shared" ca="1" si="32"/>
        <v>1.6505373205257912E-2</v>
      </c>
      <c r="J138" t="s">
        <v>148</v>
      </c>
      <c r="K138" s="1">
        <v>208.76</v>
      </c>
      <c r="L138" s="4">
        <f t="shared" si="21"/>
        <v>-5.2889884214037909E-3</v>
      </c>
      <c r="M138" s="4">
        <f t="shared" ca="1" si="33"/>
        <v>6.7827358999400181E-3</v>
      </c>
      <c r="N138" s="4">
        <f t="shared" ca="1" si="33"/>
        <v>1.3992614019289643E-2</v>
      </c>
      <c r="O138" s="4">
        <f t="shared" ca="1" si="33"/>
        <v>-3.490224543843392E-2</v>
      </c>
      <c r="P138" s="4">
        <f t="shared" ca="1" si="33"/>
        <v>-1.3758686248075067E-3</v>
      </c>
      <c r="Q138" s="4">
        <f t="shared" ca="1" si="33"/>
        <v>3.9321296863026271E-3</v>
      </c>
    </row>
    <row r="139" spans="1:17">
      <c r="A139" t="s">
        <v>149</v>
      </c>
      <c r="B139" s="1">
        <v>381.87</v>
      </c>
      <c r="C139" s="4">
        <f t="shared" si="20"/>
        <v>-1.8379517762582842E-2</v>
      </c>
      <c r="D139" s="4">
        <f t="shared" ca="1" si="32"/>
        <v>4.755470290924743E-3</v>
      </c>
      <c r="E139" s="4">
        <f t="shared" ca="1" si="32"/>
        <v>6.5099420348454862E-3</v>
      </c>
      <c r="F139" s="4">
        <f t="shared" ca="1" si="32"/>
        <v>-8.6588281746965735E-3</v>
      </c>
      <c r="G139" s="4">
        <f t="shared" ca="1" si="32"/>
        <v>-3.0389428832689651E-4</v>
      </c>
      <c r="H139" s="4">
        <f t="shared" ca="1" si="32"/>
        <v>-1.095359549843735E-2</v>
      </c>
      <c r="J139" t="s">
        <v>149</v>
      </c>
      <c r="K139" s="1">
        <v>205.37</v>
      </c>
      <c r="L139" s="4">
        <f t="shared" si="21"/>
        <v>-1.6238743054224881E-2</v>
      </c>
      <c r="M139" s="4">
        <f t="shared" ca="1" si="33"/>
        <v>-1.457730768097229E-2</v>
      </c>
      <c r="N139" s="4">
        <f t="shared" ca="1" si="33"/>
        <v>1.9997556334057844E-2</v>
      </c>
      <c r="O139" s="4">
        <f t="shared" ca="1" si="33"/>
        <v>9.391406879526349E-3</v>
      </c>
      <c r="P139" s="4">
        <f t="shared" ca="1" si="33"/>
        <v>-8.934731607978268E-3</v>
      </c>
      <c r="Q139" s="4">
        <f t="shared" ca="1" si="33"/>
        <v>-1.2962298695431742E-2</v>
      </c>
    </row>
    <row r="140" spans="1:17">
      <c r="A140" t="s">
        <v>150</v>
      </c>
      <c r="B140" s="1">
        <v>383</v>
      </c>
      <c r="C140" s="4">
        <f t="shared" si="20"/>
        <v>2.9591222143661336E-3</v>
      </c>
      <c r="D140" s="4">
        <f t="shared" ca="1" si="32"/>
        <v>5.7875064351472633E-2</v>
      </c>
      <c r="E140" s="4">
        <f t="shared" ca="1" si="32"/>
        <v>4.4312768290522442E-2</v>
      </c>
      <c r="F140" s="4">
        <f t="shared" ca="1" si="32"/>
        <v>-3.0294179563454498E-3</v>
      </c>
      <c r="G140" s="4">
        <f t="shared" ca="1" si="32"/>
        <v>-1.3351640940132435E-2</v>
      </c>
      <c r="H140" s="4">
        <f t="shared" ca="1" si="32"/>
        <v>-1.1529196997350466E-2</v>
      </c>
      <c r="J140" t="s">
        <v>150</v>
      </c>
      <c r="K140" s="1">
        <v>210.14</v>
      </c>
      <c r="L140" s="4">
        <f t="shared" si="21"/>
        <v>2.3226371914106158E-2</v>
      </c>
      <c r="M140" s="4">
        <f t="shared" ca="1" si="33"/>
        <v>2.2936281873743029E-2</v>
      </c>
      <c r="N140" s="4">
        <f t="shared" ca="1" si="33"/>
        <v>1.0524495347310866E-2</v>
      </c>
      <c r="O140" s="4">
        <f t="shared" ca="1" si="33"/>
        <v>-1.0127877398480204E-2</v>
      </c>
      <c r="P140" s="4">
        <f t="shared" ca="1" si="33"/>
        <v>2.3704274837901666E-2</v>
      </c>
      <c r="Q140" s="4">
        <f t="shared" ca="1" si="33"/>
        <v>-1.8225928304581591E-2</v>
      </c>
    </row>
    <row r="141" spans="1:17">
      <c r="A141" t="s">
        <v>151</v>
      </c>
      <c r="B141" s="1">
        <v>372.74</v>
      </c>
      <c r="C141" s="4">
        <f t="shared" si="20"/>
        <v>-2.6788511749347235E-2</v>
      </c>
      <c r="D141" s="4">
        <f t="shared" ca="1" si="32"/>
        <v>2.5389653874189833E-2</v>
      </c>
      <c r="E141" s="4">
        <f t="shared" ca="1" si="32"/>
        <v>4.0109048093519735E-3</v>
      </c>
      <c r="F141" s="4">
        <f t="shared" ca="1" si="32"/>
        <v>-1.9434139155384163E-2</v>
      </c>
      <c r="G141" s="4">
        <f t="shared" ca="1" si="32"/>
        <v>1.8290873949757498E-2</v>
      </c>
      <c r="H141" s="4">
        <f t="shared" ca="1" si="32"/>
        <v>2.3450424590705572E-2</v>
      </c>
      <c r="J141" t="s">
        <v>151</v>
      </c>
      <c r="K141" s="1">
        <v>207.24</v>
      </c>
      <c r="L141" s="4">
        <f t="shared" si="21"/>
        <v>-1.3800323593794506E-2</v>
      </c>
      <c r="M141" s="4">
        <f t="shared" ca="1" si="33"/>
        <v>1.163661513391725E-2</v>
      </c>
      <c r="N141" s="4">
        <f t="shared" ca="1" si="33"/>
        <v>2.1916093302228615E-2</v>
      </c>
      <c r="O141" s="4">
        <f t="shared" ca="1" si="33"/>
        <v>-1.2469450481912196E-2</v>
      </c>
      <c r="P141" s="4">
        <f t="shared" ca="1" si="33"/>
        <v>1.976873716077272E-2</v>
      </c>
      <c r="Q141" s="4">
        <f t="shared" ca="1" si="33"/>
        <v>-2.0312084183805319E-2</v>
      </c>
    </row>
    <row r="142" spans="1:17">
      <c r="A142" t="s">
        <v>152</v>
      </c>
      <c r="B142" s="1">
        <v>371.04</v>
      </c>
      <c r="C142" s="4">
        <f t="shared" si="20"/>
        <v>-4.5608198744432815E-3</v>
      </c>
      <c r="D142" s="4">
        <f t="shared" ca="1" si="32"/>
        <v>3.9168611834453837E-3</v>
      </c>
      <c r="E142" s="4">
        <f t="shared" ca="1" si="32"/>
        <v>-1.2586852677058105E-2</v>
      </c>
      <c r="F142" s="4">
        <f t="shared" ca="1" si="32"/>
        <v>-6.7485306854001515E-3</v>
      </c>
      <c r="G142" s="4">
        <f t="shared" ca="1" si="32"/>
        <v>-1.7132810585812385E-3</v>
      </c>
      <c r="H142" s="4">
        <f t="shared" ca="1" si="32"/>
        <v>-1.6648125995104169E-2</v>
      </c>
      <c r="J142" t="s">
        <v>152</v>
      </c>
      <c r="K142" s="1">
        <v>211.71</v>
      </c>
      <c r="L142" s="4">
        <f t="shared" si="21"/>
        <v>2.156919513607411E-2</v>
      </c>
      <c r="M142" s="4">
        <f t="shared" ca="1" si="33"/>
        <v>1.0530484358575632E-3</v>
      </c>
      <c r="N142" s="4">
        <f t="shared" ca="1" si="33"/>
        <v>5.3395756586394096E-2</v>
      </c>
      <c r="O142" s="4">
        <f t="shared" ca="1" si="33"/>
        <v>2.0792505584186039E-2</v>
      </c>
      <c r="P142" s="4">
        <f t="shared" ca="1" si="33"/>
        <v>-2.8739687490471351E-2</v>
      </c>
      <c r="Q142" s="4">
        <f t="shared" ca="1" si="33"/>
        <v>2.7639495063431522E-3</v>
      </c>
    </row>
    <row r="143" spans="1:17">
      <c r="A143" t="s">
        <v>153</v>
      </c>
      <c r="B143" s="1">
        <v>365.97</v>
      </c>
      <c r="C143" s="4">
        <f t="shared" si="20"/>
        <v>-1.3664294954721844E-2</v>
      </c>
      <c r="D143" s="4">
        <f t="shared" ca="1" si="32"/>
        <v>1.2423463088147556E-2</v>
      </c>
      <c r="E143" s="4">
        <f t="shared" ca="1" si="32"/>
        <v>-3.506788685622865E-2</v>
      </c>
      <c r="F143" s="4">
        <f t="shared" ca="1" si="32"/>
        <v>-1.5177793204021593E-2</v>
      </c>
      <c r="G143" s="4">
        <f t="shared" ca="1" si="32"/>
        <v>1.128466275661121E-2</v>
      </c>
      <c r="H143" s="4">
        <f t="shared" ca="1" si="32"/>
        <v>1.0004267111902127E-2</v>
      </c>
      <c r="J143" t="s">
        <v>153</v>
      </c>
      <c r="K143" s="1">
        <v>207.54</v>
      </c>
      <c r="L143" s="4">
        <f t="shared" si="21"/>
        <v>-1.969675499504046E-2</v>
      </c>
      <c r="M143" s="4">
        <f t="shared" ca="1" si="33"/>
        <v>1.4840555591467268E-2</v>
      </c>
      <c r="N143" s="4">
        <f t="shared" ca="1" si="33"/>
        <v>-1.1369694118820413E-2</v>
      </c>
      <c r="O143" s="4">
        <f t="shared" ca="1" si="33"/>
        <v>-3.1285161026853292E-4</v>
      </c>
      <c r="P143" s="4">
        <f t="shared" ca="1" si="33"/>
        <v>2.6241636610903188E-2</v>
      </c>
      <c r="Q143" s="4">
        <f t="shared" ca="1" si="33"/>
        <v>-3.9560301275097581E-3</v>
      </c>
    </row>
    <row r="144" spans="1:17">
      <c r="A144" t="s">
        <v>154</v>
      </c>
      <c r="B144" s="1">
        <v>356.77</v>
      </c>
      <c r="C144" s="4">
        <f t="shared" ref="C144:C207" si="34">(B144-B143)/B143</f>
        <v>-2.5138672568789915E-2</v>
      </c>
      <c r="D144" s="4">
        <f t="shared" ca="1" si="32"/>
        <v>-1.6449866480659377E-2</v>
      </c>
      <c r="E144" s="4">
        <f t="shared" ca="1" si="32"/>
        <v>-3.1229544957325339E-2</v>
      </c>
      <c r="F144" s="4">
        <f t="shared" ca="1" si="32"/>
        <v>-1.2672986094219258E-2</v>
      </c>
      <c r="G144" s="4">
        <f t="shared" ca="1" si="32"/>
        <v>4.3798299255693611E-2</v>
      </c>
      <c r="H144" s="4">
        <f t="shared" ca="1" si="32"/>
        <v>-3.9402842063040538E-2</v>
      </c>
      <c r="J144" t="s">
        <v>154</v>
      </c>
      <c r="K144" s="1">
        <v>199.34</v>
      </c>
      <c r="L144" s="4">
        <f t="shared" ref="L144:L207" si="35">(K144-K143)/K143</f>
        <v>-3.9510455815746311E-2</v>
      </c>
      <c r="M144" s="4">
        <f t="shared" ca="1" si="33"/>
        <v>1.0522995447028527E-3</v>
      </c>
      <c r="N144" s="4">
        <f t="shared" ca="1" si="33"/>
        <v>-3.6421375704593785E-2</v>
      </c>
      <c r="O144" s="4">
        <f t="shared" ca="1" si="33"/>
        <v>-1.5185792854699701E-3</v>
      </c>
      <c r="P144" s="4">
        <f t="shared" ca="1" si="33"/>
        <v>6.6483621117586584E-3</v>
      </c>
      <c r="Q144" s="4">
        <f t="shared" ca="1" si="33"/>
        <v>2.7924090350588383E-2</v>
      </c>
    </row>
    <row r="145" spans="1:17">
      <c r="A145" t="s">
        <v>155</v>
      </c>
      <c r="B145" s="1">
        <v>358.96</v>
      </c>
      <c r="C145" s="4">
        <f t="shared" si="34"/>
        <v>6.1384084984723994E-3</v>
      </c>
      <c r="D145" s="4">
        <f t="shared" ca="1" si="32"/>
        <v>-1.3976616682623833E-2</v>
      </c>
      <c r="E145" s="4">
        <f t="shared" ca="1" si="32"/>
        <v>-7.9342491715492184E-3</v>
      </c>
      <c r="F145" s="4">
        <f t="shared" ca="1" si="32"/>
        <v>1.7340243296803656E-2</v>
      </c>
      <c r="G145" s="4">
        <f t="shared" ca="1" si="32"/>
        <v>-1.3481091889495778E-2</v>
      </c>
      <c r="H145" s="4">
        <f t="shared" ca="1" si="32"/>
        <v>4.0919519924227975E-3</v>
      </c>
      <c r="J145" t="s">
        <v>155</v>
      </c>
      <c r="K145" s="1">
        <v>200.95</v>
      </c>
      <c r="L145" s="4">
        <f t="shared" si="35"/>
        <v>8.0766529547506034E-3</v>
      </c>
      <c r="M145" s="4">
        <f t="shared" ca="1" si="33"/>
        <v>-1.0349495741230565E-2</v>
      </c>
      <c r="N145" s="4">
        <f t="shared" ca="1" si="33"/>
        <v>-7.6696100380973208E-3</v>
      </c>
      <c r="O145" s="4">
        <f t="shared" ca="1" si="33"/>
        <v>-3.6531620912526833E-2</v>
      </c>
      <c r="P145" s="4">
        <f t="shared" ca="1" si="33"/>
        <v>7.2102974621875296E-3</v>
      </c>
      <c r="Q145" s="4">
        <f t="shared" ca="1" si="33"/>
        <v>-2.0913936327070278E-2</v>
      </c>
    </row>
    <row r="146" spans="1:17">
      <c r="A146" t="s">
        <v>156</v>
      </c>
      <c r="B146" s="1">
        <v>370.17</v>
      </c>
      <c r="C146" s="4">
        <f t="shared" si="34"/>
        <v>3.1229106307109532E-2</v>
      </c>
      <c r="D146" s="4">
        <f t="shared" ref="D146:H155" ca="1" si="36">NORMINV(RAND(), $C$6, $C$7)</f>
        <v>-4.4954628425947409E-3</v>
      </c>
      <c r="E146" s="4">
        <f t="shared" ca="1" si="36"/>
        <v>9.6242753083034382E-3</v>
      </c>
      <c r="F146" s="4">
        <f t="shared" ca="1" si="36"/>
        <v>-8.4707901849066236E-3</v>
      </c>
      <c r="G146" s="4">
        <f t="shared" ca="1" si="36"/>
        <v>-5.6852856269928094E-4</v>
      </c>
      <c r="H146" s="4">
        <f t="shared" ca="1" si="36"/>
        <v>2.0927643686668566E-3</v>
      </c>
      <c r="J146" t="s">
        <v>156</v>
      </c>
      <c r="K146" s="1">
        <v>208.27</v>
      </c>
      <c r="L146" s="4">
        <f t="shared" si="35"/>
        <v>3.6426971883553233E-2</v>
      </c>
      <c r="M146" s="4">
        <f t="shared" ref="M146:Q155" ca="1" si="37">NORMINV(RAND(), $L$6, $L$7)</f>
        <v>-3.5459854194848567E-2</v>
      </c>
      <c r="N146" s="4">
        <f t="shared" ca="1" si="37"/>
        <v>9.5889130857911235E-3</v>
      </c>
      <c r="O146" s="4">
        <f t="shared" ca="1" si="37"/>
        <v>3.9681796605005551E-2</v>
      </c>
      <c r="P146" s="4">
        <f t="shared" ca="1" si="37"/>
        <v>4.4317394634437865E-3</v>
      </c>
      <c r="Q146" s="4">
        <f t="shared" ca="1" si="37"/>
        <v>-3.9690017406908409E-3</v>
      </c>
    </row>
    <row r="147" spans="1:17">
      <c r="A147" t="s">
        <v>157</v>
      </c>
      <c r="B147" s="1">
        <v>369.37</v>
      </c>
      <c r="C147" s="4">
        <f t="shared" si="34"/>
        <v>-2.1611691925331909E-3</v>
      </c>
      <c r="D147" s="4">
        <f t="shared" ca="1" si="36"/>
        <v>-4.0586172957514655E-2</v>
      </c>
      <c r="E147" s="4">
        <f t="shared" ca="1" si="36"/>
        <v>-2.9174908212987346E-2</v>
      </c>
      <c r="F147" s="4">
        <f t="shared" ca="1" si="36"/>
        <v>3.4733326954068465E-2</v>
      </c>
      <c r="G147" s="4">
        <f t="shared" ca="1" si="36"/>
        <v>1.1523573539429221E-2</v>
      </c>
      <c r="H147" s="4">
        <f t="shared" ca="1" si="36"/>
        <v>-8.0171618462558138E-3</v>
      </c>
      <c r="J147" t="s">
        <v>157</v>
      </c>
      <c r="K147" s="1">
        <v>210.57</v>
      </c>
      <c r="L147" s="4">
        <f t="shared" si="35"/>
        <v>1.1043357180582815E-2</v>
      </c>
      <c r="M147" s="4">
        <f t="shared" ca="1" si="37"/>
        <v>1.171104420914015E-2</v>
      </c>
      <c r="N147" s="4">
        <f t="shared" ca="1" si="37"/>
        <v>-4.2792823351339134E-3</v>
      </c>
      <c r="O147" s="4">
        <f t="shared" ca="1" si="37"/>
        <v>-7.6380200704433878E-3</v>
      </c>
      <c r="P147" s="4">
        <f t="shared" ca="1" si="37"/>
        <v>1.2887176496030727E-3</v>
      </c>
      <c r="Q147" s="4">
        <f t="shared" ca="1" si="37"/>
        <v>-3.8865962906579329E-2</v>
      </c>
    </row>
    <row r="148" spans="1:17">
      <c r="A148" t="s">
        <v>158</v>
      </c>
      <c r="B148" s="1">
        <v>373.46</v>
      </c>
      <c r="C148" s="4">
        <f t="shared" si="34"/>
        <v>1.1072907924303476E-2</v>
      </c>
      <c r="D148" s="4">
        <f t="shared" ca="1" si="36"/>
        <v>-4.5954339827462647E-4</v>
      </c>
      <c r="E148" s="4">
        <f t="shared" ca="1" si="36"/>
        <v>-7.3736892373811843E-3</v>
      </c>
      <c r="F148" s="4">
        <f t="shared" ca="1" si="36"/>
        <v>1.5578052544051538E-2</v>
      </c>
      <c r="G148" s="4">
        <f t="shared" ca="1" si="36"/>
        <v>-1.1883069553620374E-3</v>
      </c>
      <c r="H148" s="4">
        <f t="shared" ca="1" si="36"/>
        <v>-2.4721464808683865E-2</v>
      </c>
      <c r="J148" t="s">
        <v>158</v>
      </c>
      <c r="K148" s="1">
        <v>209.77</v>
      </c>
      <c r="L148" s="4">
        <f t="shared" si="35"/>
        <v>-3.7992116635797261E-3</v>
      </c>
      <c r="M148" s="4">
        <f t="shared" ca="1" si="37"/>
        <v>-1.3902665081177251E-2</v>
      </c>
      <c r="N148" s="4">
        <f t="shared" ca="1" si="37"/>
        <v>4.2228272586052572E-4</v>
      </c>
      <c r="O148" s="4">
        <f t="shared" ca="1" si="37"/>
        <v>-8.7021753864911476E-3</v>
      </c>
      <c r="P148" s="4">
        <f t="shared" ca="1" si="37"/>
        <v>-3.761297828045206E-3</v>
      </c>
      <c r="Q148" s="4">
        <f t="shared" ca="1" si="37"/>
        <v>-3.7772081901729225E-2</v>
      </c>
    </row>
    <row r="149" spans="1:17">
      <c r="A149" t="s">
        <v>159</v>
      </c>
      <c r="B149" s="1">
        <v>372.88</v>
      </c>
      <c r="C149" s="4">
        <f t="shared" si="34"/>
        <v>-1.5530445027579502E-3</v>
      </c>
      <c r="D149" s="4">
        <f t="shared" ca="1" si="36"/>
        <v>-2.1965448339222073E-2</v>
      </c>
      <c r="E149" s="4">
        <f t="shared" ca="1" si="36"/>
        <v>6.1548624339849093E-3</v>
      </c>
      <c r="F149" s="4">
        <f t="shared" ca="1" si="36"/>
        <v>3.5274448058677924E-2</v>
      </c>
      <c r="G149" s="4">
        <f t="shared" ca="1" si="36"/>
        <v>1.8231296979358654E-2</v>
      </c>
      <c r="H149" s="4">
        <f t="shared" ca="1" si="36"/>
        <v>-3.3693256726352555E-3</v>
      </c>
      <c r="J149" t="s">
        <v>159</v>
      </c>
      <c r="K149" s="1">
        <v>212.79</v>
      </c>
      <c r="L149" s="4">
        <f t="shared" si="35"/>
        <v>1.4396720217380853E-2</v>
      </c>
      <c r="M149" s="4">
        <f t="shared" ca="1" si="37"/>
        <v>1.9204651271879095E-2</v>
      </c>
      <c r="N149" s="4">
        <f t="shared" ca="1" si="37"/>
        <v>-1.3795753934756643E-2</v>
      </c>
      <c r="O149" s="4">
        <f t="shared" ca="1" si="37"/>
        <v>-1.7161240810129635E-2</v>
      </c>
      <c r="P149" s="4">
        <f t="shared" ca="1" si="37"/>
        <v>5.2132198436498434E-3</v>
      </c>
      <c r="Q149" s="4">
        <f t="shared" ca="1" si="37"/>
        <v>3.6643997067256433E-3</v>
      </c>
    </row>
    <row r="150" spans="1:17">
      <c r="A150" t="s">
        <v>160</v>
      </c>
      <c r="B150" s="1">
        <v>372.29</v>
      </c>
      <c r="C150" s="4">
        <f t="shared" si="34"/>
        <v>-1.5822784810125912E-3</v>
      </c>
      <c r="D150" s="4">
        <f t="shared" ca="1" si="36"/>
        <v>-2.1336036754458491E-2</v>
      </c>
      <c r="E150" s="4">
        <f t="shared" ca="1" si="36"/>
        <v>1.6796355314405469E-2</v>
      </c>
      <c r="F150" s="4">
        <f t="shared" ca="1" si="36"/>
        <v>1.5802794951412569E-2</v>
      </c>
      <c r="G150" s="4">
        <f t="shared" ca="1" si="36"/>
        <v>-2.8624036396717831E-2</v>
      </c>
      <c r="H150" s="4">
        <f t="shared" ca="1" si="36"/>
        <v>-4.6036565772742878E-2</v>
      </c>
      <c r="J150" t="s">
        <v>160</v>
      </c>
      <c r="K150" s="1">
        <v>213.77</v>
      </c>
      <c r="L150" s="4">
        <f t="shared" si="35"/>
        <v>4.6054795808074542E-3</v>
      </c>
      <c r="M150" s="4">
        <f t="shared" ca="1" si="37"/>
        <v>-2.6805708079088641E-3</v>
      </c>
      <c r="N150" s="4">
        <f t="shared" ca="1" si="37"/>
        <v>-3.9089793844114618E-3</v>
      </c>
      <c r="O150" s="4">
        <f t="shared" ca="1" si="37"/>
        <v>-2.4086751199630458E-2</v>
      </c>
      <c r="P150" s="4">
        <f t="shared" ca="1" si="37"/>
        <v>2.6009899308121115E-2</v>
      </c>
      <c r="Q150" s="4">
        <f t="shared" ca="1" si="37"/>
        <v>-1.7746522946634889E-2</v>
      </c>
    </row>
    <row r="151" spans="1:17">
      <c r="A151" t="s">
        <v>161</v>
      </c>
      <c r="B151" s="1">
        <v>374.33</v>
      </c>
      <c r="C151" s="4">
        <f t="shared" si="34"/>
        <v>5.4795992371537341E-3</v>
      </c>
      <c r="D151" s="4">
        <f t="shared" ca="1" si="36"/>
        <v>1.6191700837919064E-2</v>
      </c>
      <c r="E151" s="4">
        <f t="shared" ca="1" si="36"/>
        <v>-1.5057864653964281E-2</v>
      </c>
      <c r="F151" s="4">
        <f t="shared" ca="1" si="36"/>
        <v>5.6398408603655125E-3</v>
      </c>
      <c r="G151" s="4">
        <f t="shared" ca="1" si="36"/>
        <v>3.9042882235802816E-2</v>
      </c>
      <c r="H151" s="4">
        <f t="shared" ca="1" si="36"/>
        <v>4.2721747722367788E-2</v>
      </c>
      <c r="J151" t="s">
        <v>161</v>
      </c>
      <c r="K151" s="1">
        <v>221.25</v>
      </c>
      <c r="L151" s="4">
        <f t="shared" si="35"/>
        <v>3.4990878046498523E-2</v>
      </c>
      <c r="M151" s="4">
        <f t="shared" ca="1" si="37"/>
        <v>-1.5524901939372774E-3</v>
      </c>
      <c r="N151" s="4">
        <f t="shared" ca="1" si="37"/>
        <v>4.1023867782149139E-3</v>
      </c>
      <c r="O151" s="4">
        <f t="shared" ca="1" si="37"/>
        <v>3.0038581008289805E-3</v>
      </c>
      <c r="P151" s="4">
        <f t="shared" ca="1" si="37"/>
        <v>-4.0177667531471353E-2</v>
      </c>
      <c r="Q151" s="4">
        <f t="shared" ca="1" si="37"/>
        <v>-3.5912995175764344E-2</v>
      </c>
    </row>
    <row r="152" spans="1:17">
      <c r="A152" t="s">
        <v>162</v>
      </c>
      <c r="B152" s="1">
        <v>373.07</v>
      </c>
      <c r="C152" s="4">
        <f t="shared" si="34"/>
        <v>-3.3660139449148904E-3</v>
      </c>
      <c r="D152" s="4">
        <f t="shared" ca="1" si="36"/>
        <v>5.077005717026857E-3</v>
      </c>
      <c r="E152" s="4">
        <f t="shared" ca="1" si="36"/>
        <v>-9.4807662401085752E-3</v>
      </c>
      <c r="F152" s="4">
        <f t="shared" ca="1" si="36"/>
        <v>-1.4207277203673246E-2</v>
      </c>
      <c r="G152" s="4">
        <f t="shared" ca="1" si="36"/>
        <v>-1.2213354872664693E-2</v>
      </c>
      <c r="H152" s="4">
        <f t="shared" ca="1" si="36"/>
        <v>2.3602598477021255E-2</v>
      </c>
      <c r="J152" t="s">
        <v>162</v>
      </c>
      <c r="K152" s="1">
        <v>233.65</v>
      </c>
      <c r="L152" s="4">
        <f t="shared" si="35"/>
        <v>5.6045197740113017E-2</v>
      </c>
      <c r="M152" s="4">
        <f t="shared" ca="1" si="37"/>
        <v>1.0067216629028727E-2</v>
      </c>
      <c r="N152" s="4">
        <f t="shared" ca="1" si="37"/>
        <v>6.4289609003489049E-3</v>
      </c>
      <c r="O152" s="4">
        <f t="shared" ca="1" si="37"/>
        <v>-6.9485732370220266E-3</v>
      </c>
      <c r="P152" s="4">
        <f t="shared" ca="1" si="37"/>
        <v>-2.9556756823954877E-2</v>
      </c>
      <c r="Q152" s="4">
        <f t="shared" ca="1" si="37"/>
        <v>-1.3530520867811683E-2</v>
      </c>
    </row>
    <row r="153" spans="1:17">
      <c r="A153" t="s">
        <v>163</v>
      </c>
      <c r="B153" s="1">
        <v>370.87</v>
      </c>
      <c r="C153" s="4">
        <f t="shared" si="34"/>
        <v>-5.8970166456696832E-3</v>
      </c>
      <c r="D153" s="4">
        <f t="shared" ca="1" si="36"/>
        <v>-1.7087774074711685E-2</v>
      </c>
      <c r="E153" s="4">
        <f t="shared" ca="1" si="36"/>
        <v>3.06230043748007E-2</v>
      </c>
      <c r="F153" s="4">
        <f t="shared" ca="1" si="36"/>
        <v>-8.9426630397317752E-3</v>
      </c>
      <c r="G153" s="4">
        <f t="shared" ca="1" si="36"/>
        <v>-1.8911864835994368E-2</v>
      </c>
      <c r="H153" s="4">
        <f t="shared" ca="1" si="36"/>
        <v>-2.5158508645176238E-2</v>
      </c>
      <c r="J153" t="s">
        <v>163</v>
      </c>
      <c r="K153" s="1">
        <v>238.38</v>
      </c>
      <c r="L153" s="4">
        <f t="shared" si="35"/>
        <v>2.024395463299803E-2</v>
      </c>
      <c r="M153" s="4">
        <f t="shared" ca="1" si="37"/>
        <v>1.4288077722421095E-2</v>
      </c>
      <c r="N153" s="4">
        <f t="shared" ca="1" si="37"/>
        <v>5.2354185062991592E-3</v>
      </c>
      <c r="O153" s="4">
        <f t="shared" ca="1" si="37"/>
        <v>-2.4678010002047862E-2</v>
      </c>
      <c r="P153" s="4">
        <f t="shared" ca="1" si="37"/>
        <v>-3.9549744931735333E-2</v>
      </c>
      <c r="Q153" s="4">
        <f t="shared" ca="1" si="37"/>
        <v>5.3235709970526512E-2</v>
      </c>
    </row>
    <row r="154" spans="1:17">
      <c r="A154" t="s">
        <v>164</v>
      </c>
      <c r="B154" s="1">
        <v>384.37</v>
      </c>
      <c r="C154" s="4">
        <f t="shared" si="34"/>
        <v>3.6400895192385471E-2</v>
      </c>
      <c r="D154" s="4">
        <f t="shared" ca="1" si="36"/>
        <v>-1.398242794818824E-2</v>
      </c>
      <c r="E154" s="4">
        <f t="shared" ca="1" si="36"/>
        <v>-3.087369148005828E-2</v>
      </c>
      <c r="F154" s="4">
        <f t="shared" ca="1" si="36"/>
        <v>-1.3551563434632285E-3</v>
      </c>
      <c r="G154" s="4">
        <f t="shared" ca="1" si="36"/>
        <v>9.9782040682430025E-3</v>
      </c>
      <c r="H154" s="4">
        <f t="shared" ca="1" si="36"/>
        <v>-2.4403638282870156E-2</v>
      </c>
      <c r="J154" t="s">
        <v>164</v>
      </c>
      <c r="K154" s="1">
        <v>239.89</v>
      </c>
      <c r="L154" s="4">
        <f t="shared" si="35"/>
        <v>6.3344240288614436E-3</v>
      </c>
      <c r="M154" s="4">
        <f t="shared" ca="1" si="37"/>
        <v>1.5431902089344212E-2</v>
      </c>
      <c r="N154" s="4">
        <f t="shared" ca="1" si="37"/>
        <v>-1.551002603395053E-2</v>
      </c>
      <c r="O154" s="4">
        <f t="shared" ca="1" si="37"/>
        <v>4.7721853910543913E-2</v>
      </c>
      <c r="P154" s="4">
        <f t="shared" ca="1" si="37"/>
        <v>5.1365529222825185E-3</v>
      </c>
      <c r="Q154" s="4">
        <f t="shared" ca="1" si="37"/>
        <v>-1.0814634532165343E-2</v>
      </c>
    </row>
    <row r="155" spans="1:17">
      <c r="A155" t="s">
        <v>165</v>
      </c>
      <c r="B155" s="1">
        <v>393.11</v>
      </c>
      <c r="C155" s="4">
        <f t="shared" si="34"/>
        <v>2.2738507167572936E-2</v>
      </c>
      <c r="D155" s="4">
        <f t="shared" ca="1" si="36"/>
        <v>4.7488363759708802E-2</v>
      </c>
      <c r="E155" s="4">
        <f t="shared" ca="1" si="36"/>
        <v>2.8645122517272116E-2</v>
      </c>
      <c r="F155" s="4">
        <f t="shared" ca="1" si="36"/>
        <v>-2.2800867433697521E-2</v>
      </c>
      <c r="G155" s="4">
        <f t="shared" ca="1" si="36"/>
        <v>1.5886720447886759E-2</v>
      </c>
      <c r="H155" s="4">
        <f t="shared" ca="1" si="36"/>
        <v>4.1398468977740091E-2</v>
      </c>
      <c r="J155" t="s">
        <v>165</v>
      </c>
      <c r="K155" s="1">
        <v>249.02</v>
      </c>
      <c r="L155" s="4">
        <f t="shared" si="35"/>
        <v>3.8059110425611838E-2</v>
      </c>
      <c r="M155" s="4">
        <f t="shared" ca="1" si="37"/>
        <v>-2.5265062136222604E-2</v>
      </c>
      <c r="N155" s="4">
        <f t="shared" ca="1" si="37"/>
        <v>-5.4106276000734903E-3</v>
      </c>
      <c r="O155" s="4">
        <f t="shared" ca="1" si="37"/>
        <v>-3.0393191746877407E-2</v>
      </c>
      <c r="P155" s="4">
        <f t="shared" ca="1" si="37"/>
        <v>5.5726515804251121E-2</v>
      </c>
      <c r="Q155" s="4">
        <f t="shared" ca="1" si="37"/>
        <v>4.8315850318896278E-2</v>
      </c>
    </row>
    <row r="156" spans="1:17">
      <c r="A156" t="s">
        <v>166</v>
      </c>
      <c r="B156" s="1">
        <v>411.22</v>
      </c>
      <c r="C156" s="4">
        <f t="shared" si="34"/>
        <v>4.6068530436773454E-2</v>
      </c>
      <c r="D156" s="4">
        <f t="shared" ref="D156:H165" ca="1" si="38">NORMINV(RAND(), $C$6, $C$7)</f>
        <v>3.645968593687512E-4</v>
      </c>
      <c r="E156" s="4">
        <f t="shared" ca="1" si="38"/>
        <v>1.466212055482278E-3</v>
      </c>
      <c r="F156" s="4">
        <f t="shared" ca="1" si="38"/>
        <v>1.813409629020055E-2</v>
      </c>
      <c r="G156" s="4">
        <f t="shared" ca="1" si="38"/>
        <v>-3.6785338041567181E-2</v>
      </c>
      <c r="H156" s="4">
        <f t="shared" ca="1" si="38"/>
        <v>4.3003000007517294E-3</v>
      </c>
      <c r="J156" t="s">
        <v>166</v>
      </c>
      <c r="K156" s="1">
        <v>248.5</v>
      </c>
      <c r="L156" s="4">
        <f t="shared" si="35"/>
        <v>-2.0881856878965954E-3</v>
      </c>
      <c r="M156" s="4">
        <f t="shared" ref="M156:Q165" ca="1" si="39">NORMINV(RAND(), $L$6, $L$7)</f>
        <v>1.1239385236866366E-2</v>
      </c>
      <c r="N156" s="4">
        <f t="shared" ca="1" si="39"/>
        <v>-2.2015288232575113E-2</v>
      </c>
      <c r="O156" s="4">
        <f t="shared" ca="1" si="39"/>
        <v>-2.0675785895920465E-2</v>
      </c>
      <c r="P156" s="4">
        <f t="shared" ca="1" si="39"/>
        <v>1.0604969789225741E-2</v>
      </c>
      <c r="Q156" s="4">
        <f t="shared" ca="1" si="39"/>
        <v>3.5437591899375384E-2</v>
      </c>
    </row>
    <row r="157" spans="1:17">
      <c r="A157" t="s">
        <v>167</v>
      </c>
      <c r="B157" s="1">
        <v>420.26</v>
      </c>
      <c r="C157" s="4">
        <f t="shared" si="34"/>
        <v>2.1983366567773849E-2</v>
      </c>
      <c r="D157" s="4">
        <f t="shared" ca="1" si="38"/>
        <v>1.9771552804399895E-2</v>
      </c>
      <c r="E157" s="4">
        <f t="shared" ca="1" si="38"/>
        <v>4.2123463408493302E-2</v>
      </c>
      <c r="F157" s="4">
        <f t="shared" ca="1" si="38"/>
        <v>-3.7374680234435044E-3</v>
      </c>
      <c r="G157" s="4">
        <f t="shared" ca="1" si="38"/>
        <v>5.7921583313773296E-3</v>
      </c>
      <c r="H157" s="4">
        <f t="shared" ca="1" si="38"/>
        <v>-4.1208361899944066E-3</v>
      </c>
      <c r="J157" t="s">
        <v>167</v>
      </c>
      <c r="K157" s="1">
        <v>249.7</v>
      </c>
      <c r="L157" s="4">
        <f t="shared" si="35"/>
        <v>4.828973843058304E-3</v>
      </c>
      <c r="M157" s="4">
        <f t="shared" ca="1" si="39"/>
        <v>-6.9487249386301615E-4</v>
      </c>
      <c r="N157" s="4">
        <f t="shared" ca="1" si="39"/>
        <v>-3.4280347470359789E-2</v>
      </c>
      <c r="O157" s="4">
        <f t="shared" ca="1" si="39"/>
        <v>2.3530879095353317E-2</v>
      </c>
      <c r="P157" s="4">
        <f t="shared" ca="1" si="39"/>
        <v>-3.2888459213345059E-2</v>
      </c>
      <c r="Q157" s="4">
        <f t="shared" ca="1" si="39"/>
        <v>-1.9319863939859954E-3</v>
      </c>
    </row>
    <row r="158" spans="1:17">
      <c r="A158" t="s">
        <v>168</v>
      </c>
      <c r="B158" s="1">
        <v>422.79</v>
      </c>
      <c r="C158" s="4">
        <f t="shared" si="34"/>
        <v>6.0200828058821435E-3</v>
      </c>
      <c r="D158" s="4">
        <f t="shared" ca="1" si="38"/>
        <v>-6.2300049508466652E-3</v>
      </c>
      <c r="E158" s="4">
        <f t="shared" ca="1" si="38"/>
        <v>-3.1674140481386927E-2</v>
      </c>
      <c r="F158" s="4">
        <f t="shared" ca="1" si="38"/>
        <v>-1.542834234071405E-2</v>
      </c>
      <c r="G158" s="4">
        <f t="shared" ca="1" si="38"/>
        <v>8.8016598376059931E-3</v>
      </c>
      <c r="H158" s="4">
        <f t="shared" ca="1" si="38"/>
        <v>-1.5437190842784861E-2</v>
      </c>
      <c r="J158" t="s">
        <v>168</v>
      </c>
      <c r="K158" s="1">
        <v>250.56</v>
      </c>
      <c r="L158" s="4">
        <f t="shared" si="35"/>
        <v>3.4441329595515167E-3</v>
      </c>
      <c r="M158" s="4">
        <f t="shared" ca="1" si="39"/>
        <v>1.4353057018148551E-2</v>
      </c>
      <c r="N158" s="4">
        <f t="shared" ca="1" si="39"/>
        <v>7.4967611678982346E-3</v>
      </c>
      <c r="O158" s="4">
        <f t="shared" ca="1" si="39"/>
        <v>2.7821153872190786E-2</v>
      </c>
      <c r="P158" s="4">
        <f t="shared" ca="1" si="39"/>
        <v>1.4805746707895496E-2</v>
      </c>
      <c r="Q158" s="4">
        <f t="shared" ca="1" si="39"/>
        <v>-1.0793587984747442E-2</v>
      </c>
    </row>
    <row r="159" spans="1:17">
      <c r="A159" t="s">
        <v>169</v>
      </c>
      <c r="B159" s="1">
        <v>418.07</v>
      </c>
      <c r="C159" s="4">
        <f t="shared" si="34"/>
        <v>-1.1163934813973904E-2</v>
      </c>
      <c r="D159" s="4">
        <f t="shared" ca="1" si="38"/>
        <v>-3.0348997742231699E-2</v>
      </c>
      <c r="E159" s="4">
        <f t="shared" ca="1" si="38"/>
        <v>-1.001476408132207E-2</v>
      </c>
      <c r="F159" s="4">
        <f t="shared" ca="1" si="38"/>
        <v>1.4989474224661853E-2</v>
      </c>
      <c r="G159" s="4">
        <f t="shared" ca="1" si="38"/>
        <v>8.639453662906825E-3</v>
      </c>
      <c r="H159" s="4">
        <f t="shared" ca="1" si="38"/>
        <v>-3.2316015797168814E-3</v>
      </c>
      <c r="J159" t="s">
        <v>169</v>
      </c>
      <c r="K159" s="1">
        <v>248.28</v>
      </c>
      <c r="L159" s="4">
        <f t="shared" si="35"/>
        <v>-9.0996168582375518E-3</v>
      </c>
      <c r="M159" s="4">
        <f t="shared" ca="1" si="39"/>
        <v>-2.6513989814877435E-2</v>
      </c>
      <c r="N159" s="4">
        <f t="shared" ca="1" si="39"/>
        <v>1.5423742537734547E-3</v>
      </c>
      <c r="O159" s="4">
        <f t="shared" ca="1" si="39"/>
        <v>-2.4879897865365003E-2</v>
      </c>
      <c r="P159" s="4">
        <f t="shared" ca="1" si="39"/>
        <v>3.3388617601143152E-2</v>
      </c>
      <c r="Q159" s="4">
        <f t="shared" ca="1" si="39"/>
        <v>-2.7104771114154083E-3</v>
      </c>
    </row>
    <row r="160" spans="1:17">
      <c r="A160" t="s">
        <v>170</v>
      </c>
      <c r="B160" s="1">
        <v>424.16</v>
      </c>
      <c r="C160" s="4">
        <f t="shared" si="34"/>
        <v>1.4566938550960442E-2</v>
      </c>
      <c r="D160" s="4">
        <f t="shared" ca="1" si="38"/>
        <v>-7.5746972674030797E-3</v>
      </c>
      <c r="E160" s="4">
        <f t="shared" ca="1" si="38"/>
        <v>1.9152177867228535E-2</v>
      </c>
      <c r="F160" s="4">
        <f t="shared" ca="1" si="38"/>
        <v>-1.980032592062032E-2</v>
      </c>
      <c r="G160" s="4">
        <f t="shared" ca="1" si="38"/>
        <v>-1.5844603019507564E-2</v>
      </c>
      <c r="H160" s="4">
        <f t="shared" ca="1" si="38"/>
        <v>5.5272570900625571E-3</v>
      </c>
      <c r="J160" t="s">
        <v>170</v>
      </c>
      <c r="K160" s="1">
        <v>249.91</v>
      </c>
      <c r="L160" s="4">
        <f t="shared" si="35"/>
        <v>6.5651683583051214E-3</v>
      </c>
      <c r="M160" s="4">
        <f t="shared" ca="1" si="39"/>
        <v>-6.3250712557180039E-3</v>
      </c>
      <c r="N160" s="4">
        <f t="shared" ca="1" si="39"/>
        <v>-9.3587284741302925E-3</v>
      </c>
      <c r="O160" s="4">
        <f t="shared" ca="1" si="39"/>
        <v>1.5926492694999527E-2</v>
      </c>
      <c r="P160" s="4">
        <f t="shared" ca="1" si="39"/>
        <v>-2.3231064522238078E-2</v>
      </c>
      <c r="Q160" s="4">
        <f t="shared" ca="1" si="39"/>
        <v>2.6266749283543254E-2</v>
      </c>
    </row>
    <row r="161" spans="1:17">
      <c r="A161" t="s">
        <v>171</v>
      </c>
      <c r="B161" s="1">
        <v>432.92</v>
      </c>
      <c r="C161" s="4">
        <f t="shared" si="34"/>
        <v>2.0652583930592206E-2</v>
      </c>
      <c r="D161" s="4">
        <f t="shared" ca="1" si="38"/>
        <v>-1.936842098606854E-2</v>
      </c>
      <c r="E161" s="4">
        <f t="shared" ca="1" si="38"/>
        <v>9.9964766094616311E-3</v>
      </c>
      <c r="F161" s="4">
        <f t="shared" ca="1" si="38"/>
        <v>-1.4109331647865063E-2</v>
      </c>
      <c r="G161" s="4">
        <f t="shared" ca="1" si="38"/>
        <v>-1.1466529052658967E-2</v>
      </c>
      <c r="H161" s="4">
        <f t="shared" ca="1" si="38"/>
        <v>3.085554647512484E-2</v>
      </c>
      <c r="J161" t="s">
        <v>171</v>
      </c>
      <c r="K161" s="1">
        <v>255.36</v>
      </c>
      <c r="L161" s="4">
        <f t="shared" si="35"/>
        <v>2.1807850826297534E-2</v>
      </c>
      <c r="M161" s="4">
        <f t="shared" ca="1" si="39"/>
        <v>1.8979782739984453E-2</v>
      </c>
      <c r="N161" s="4">
        <f t="shared" ca="1" si="39"/>
        <v>2.6130667708931534E-3</v>
      </c>
      <c r="O161" s="4">
        <f t="shared" ca="1" si="39"/>
        <v>2.7720853231053288E-2</v>
      </c>
      <c r="P161" s="4">
        <f t="shared" ca="1" si="39"/>
        <v>1.2377243822922933E-2</v>
      </c>
      <c r="Q161" s="4">
        <f t="shared" ca="1" si="39"/>
        <v>3.8700410067067315E-2</v>
      </c>
    </row>
    <row r="162" spans="1:17">
      <c r="A162" t="s">
        <v>172</v>
      </c>
      <c r="B162" s="1">
        <v>415.75</v>
      </c>
      <c r="C162" s="4">
        <f t="shared" si="34"/>
        <v>-3.9660907326988855E-2</v>
      </c>
      <c r="D162" s="4">
        <f t="shared" ca="1" si="38"/>
        <v>-4.1397336821569805E-2</v>
      </c>
      <c r="E162" s="4">
        <f t="shared" ca="1" si="38"/>
        <v>2.1962282131263954E-2</v>
      </c>
      <c r="F162" s="4">
        <f t="shared" ca="1" si="38"/>
        <v>1.781744149752245E-2</v>
      </c>
      <c r="G162" s="4">
        <f t="shared" ca="1" si="38"/>
        <v>1.5039248151242881E-2</v>
      </c>
      <c r="H162" s="4">
        <f t="shared" ca="1" si="38"/>
        <v>-1.4290048223680758E-2</v>
      </c>
      <c r="J162" t="s">
        <v>172</v>
      </c>
      <c r="K162" s="1">
        <v>255.08</v>
      </c>
      <c r="L162" s="4">
        <f t="shared" si="35"/>
        <v>-1.0964912280701799E-3</v>
      </c>
      <c r="M162" s="4">
        <f t="shared" ca="1" si="39"/>
        <v>-2.1828045421862671E-2</v>
      </c>
      <c r="N162" s="4">
        <f t="shared" ca="1" si="39"/>
        <v>2.6267960578044681E-2</v>
      </c>
      <c r="O162" s="4">
        <f t="shared" ca="1" si="39"/>
        <v>-2.4798938257847802E-2</v>
      </c>
      <c r="P162" s="4">
        <f t="shared" ca="1" si="39"/>
        <v>3.0044045937834763E-2</v>
      </c>
      <c r="Q162" s="4">
        <f t="shared" ca="1" si="39"/>
        <v>-3.4853448870120099E-3</v>
      </c>
    </row>
    <row r="163" spans="1:17">
      <c r="A163" t="s">
        <v>173</v>
      </c>
      <c r="B163" s="1">
        <v>424.62</v>
      </c>
      <c r="C163" s="4">
        <f t="shared" si="34"/>
        <v>2.133493686109442E-2</v>
      </c>
      <c r="D163" s="4">
        <f t="shared" ca="1" si="38"/>
        <v>5.381361597259577E-2</v>
      </c>
      <c r="E163" s="4">
        <f t="shared" ca="1" si="38"/>
        <v>1.3651499878501181E-2</v>
      </c>
      <c r="F163" s="4">
        <f t="shared" ca="1" si="38"/>
        <v>-3.6133143981902788E-2</v>
      </c>
      <c r="G163" s="4">
        <f t="shared" ca="1" si="38"/>
        <v>-1.618796468113036E-2</v>
      </c>
      <c r="H163" s="4">
        <f t="shared" ca="1" si="38"/>
        <v>-2.7828270056654399E-2</v>
      </c>
      <c r="J163" t="s">
        <v>173</v>
      </c>
      <c r="K163" s="1">
        <v>263.99</v>
      </c>
      <c r="L163" s="4">
        <f t="shared" si="35"/>
        <v>3.4930217970832664E-2</v>
      </c>
      <c r="M163" s="4">
        <f t="shared" ca="1" si="39"/>
        <v>-1.129728125648974E-2</v>
      </c>
      <c r="N163" s="4">
        <f t="shared" ca="1" si="39"/>
        <v>-3.4853527924438366E-4</v>
      </c>
      <c r="O163" s="4">
        <f t="shared" ca="1" si="39"/>
        <v>3.1354730719648533E-2</v>
      </c>
      <c r="P163" s="4">
        <f t="shared" ca="1" si="39"/>
        <v>-1.0141891289572607E-2</v>
      </c>
      <c r="Q163" s="4">
        <f t="shared" ca="1" si="39"/>
        <v>-2.3979719893825698E-2</v>
      </c>
    </row>
    <row r="164" spans="1:17">
      <c r="A164" t="s">
        <v>174</v>
      </c>
      <c r="B164" s="1">
        <v>424.82</v>
      </c>
      <c r="C164" s="4">
        <f t="shared" si="34"/>
        <v>4.7100937308649767E-4</v>
      </c>
      <c r="D164" s="4">
        <f t="shared" ca="1" si="38"/>
        <v>-2.5967014179686592E-2</v>
      </c>
      <c r="E164" s="4">
        <f t="shared" ca="1" si="38"/>
        <v>2.0040101390772249E-2</v>
      </c>
      <c r="F164" s="4">
        <f t="shared" ca="1" si="38"/>
        <v>-7.5808084474555089E-3</v>
      </c>
      <c r="G164" s="4">
        <f t="shared" ca="1" si="38"/>
        <v>1.0725935111977256E-2</v>
      </c>
      <c r="H164" s="4">
        <f t="shared" ca="1" si="38"/>
        <v>-9.2533718786643013E-4</v>
      </c>
      <c r="J164" t="s">
        <v>174</v>
      </c>
      <c r="K164" s="1">
        <v>261.12</v>
      </c>
      <c r="L164" s="4">
        <f t="shared" si="35"/>
        <v>-1.0871623925148696E-2</v>
      </c>
      <c r="M164" s="4">
        <f t="shared" ca="1" si="39"/>
        <v>3.1314428658441437E-3</v>
      </c>
      <c r="N164" s="4">
        <f t="shared" ca="1" si="39"/>
        <v>1.6634822597977713E-2</v>
      </c>
      <c r="O164" s="4">
        <f t="shared" ca="1" si="39"/>
        <v>2.0868560741275452E-2</v>
      </c>
      <c r="P164" s="4">
        <f t="shared" ca="1" si="39"/>
        <v>3.197269195104771E-2</v>
      </c>
      <c r="Q164" s="4">
        <f t="shared" ca="1" si="39"/>
        <v>-3.3619447781878475E-2</v>
      </c>
    </row>
    <row r="165" spans="1:17">
      <c r="A165" t="s">
        <v>175</v>
      </c>
      <c r="B165" s="1">
        <v>429.25</v>
      </c>
      <c r="C165" s="4">
        <f t="shared" si="34"/>
        <v>1.0427945953580356E-2</v>
      </c>
      <c r="D165" s="4">
        <f t="shared" ca="1" si="38"/>
        <v>-6.9865395830627369E-3</v>
      </c>
      <c r="E165" s="4">
        <f t="shared" ca="1" si="38"/>
        <v>4.3290507934401881E-2</v>
      </c>
      <c r="F165" s="4">
        <f t="shared" ca="1" si="38"/>
        <v>6.403150852157858E-3</v>
      </c>
      <c r="G165" s="4">
        <f t="shared" ca="1" si="38"/>
        <v>1.1426746608621407E-2</v>
      </c>
      <c r="H165" s="4">
        <f t="shared" ca="1" si="38"/>
        <v>-1.9067382399081893E-2</v>
      </c>
      <c r="J165" t="s">
        <v>175</v>
      </c>
      <c r="K165" s="1">
        <v>259.7</v>
      </c>
      <c r="L165" s="4">
        <f t="shared" si="35"/>
        <v>-5.4381127450980997E-3</v>
      </c>
      <c r="M165" s="4">
        <f t="shared" ca="1" si="39"/>
        <v>-7.6034498235865791E-3</v>
      </c>
      <c r="N165" s="4">
        <f t="shared" ca="1" si="39"/>
        <v>1.8698772863579654E-3</v>
      </c>
      <c r="O165" s="4">
        <f t="shared" ca="1" si="39"/>
        <v>-1.6623644209801319E-2</v>
      </c>
      <c r="P165" s="4">
        <f t="shared" ca="1" si="39"/>
        <v>-4.9382356381831357E-3</v>
      </c>
      <c r="Q165" s="4">
        <f t="shared" ca="1" si="39"/>
        <v>3.0719539799781204E-2</v>
      </c>
    </row>
    <row r="166" spans="1:17">
      <c r="A166" t="s">
        <v>176</v>
      </c>
      <c r="B166" s="1">
        <v>424.46</v>
      </c>
      <c r="C166" s="4">
        <f t="shared" si="34"/>
        <v>-1.11589982527665E-2</v>
      </c>
      <c r="D166" s="4">
        <f t="shared" ref="D166:H175" ca="1" si="40">NORMINV(RAND(), $C$6, $C$7)</f>
        <v>-1.7487117141111255E-2</v>
      </c>
      <c r="E166" s="4">
        <f t="shared" ca="1" si="40"/>
        <v>-2.6627022324765638E-2</v>
      </c>
      <c r="F166" s="4">
        <f t="shared" ca="1" si="40"/>
        <v>-5.1963649935506784E-2</v>
      </c>
      <c r="G166" s="4">
        <f t="shared" ca="1" si="40"/>
        <v>-1.2554405080975878E-2</v>
      </c>
      <c r="H166" s="4">
        <f t="shared" ca="1" si="40"/>
        <v>-3.601945805601353E-3</v>
      </c>
      <c r="J166" t="s">
        <v>176</v>
      </c>
      <c r="K166" s="1">
        <v>263.04000000000002</v>
      </c>
      <c r="L166" s="4">
        <f t="shared" si="35"/>
        <v>1.2860993453985491E-2</v>
      </c>
      <c r="M166" s="4">
        <f t="shared" ref="M166:Q175" ca="1" si="41">NORMINV(RAND(), $L$6, $L$7)</f>
        <v>4.714691325647398E-3</v>
      </c>
      <c r="N166" s="4">
        <f t="shared" ca="1" si="41"/>
        <v>3.0285716690263577E-4</v>
      </c>
      <c r="O166" s="4">
        <f t="shared" ca="1" si="41"/>
        <v>7.755172719206593E-3</v>
      </c>
      <c r="P166" s="4">
        <f t="shared" ca="1" si="41"/>
        <v>-1.0631461643487038E-2</v>
      </c>
      <c r="Q166" s="4">
        <f t="shared" ca="1" si="41"/>
        <v>-2.2479435659088873E-2</v>
      </c>
    </row>
    <row r="167" spans="1:17">
      <c r="A167" t="s">
        <v>177</v>
      </c>
      <c r="B167" s="1">
        <v>407.78</v>
      </c>
      <c r="C167" s="4">
        <f t="shared" si="34"/>
        <v>-3.9296989115582166E-2</v>
      </c>
      <c r="D167" s="4">
        <f t="shared" ca="1" si="40"/>
        <v>-7.9780571018775639E-3</v>
      </c>
      <c r="E167" s="4">
        <f t="shared" ca="1" si="40"/>
        <v>-4.5598564584037804E-3</v>
      </c>
      <c r="F167" s="4">
        <f t="shared" ca="1" si="40"/>
        <v>-1.0016142417473173E-2</v>
      </c>
      <c r="G167" s="4">
        <f t="shared" ca="1" si="40"/>
        <v>7.9744489610436651E-3</v>
      </c>
      <c r="H167" s="4">
        <f t="shared" ca="1" si="40"/>
        <v>1.1097414602847576E-2</v>
      </c>
      <c r="J167" t="s">
        <v>177</v>
      </c>
      <c r="K167" s="1">
        <v>265.06</v>
      </c>
      <c r="L167" s="4">
        <f t="shared" si="35"/>
        <v>7.6794403892943338E-3</v>
      </c>
      <c r="M167" s="4">
        <f t="shared" ca="1" si="41"/>
        <v>3.7874948765055427E-2</v>
      </c>
      <c r="N167" s="4">
        <f t="shared" ca="1" si="41"/>
        <v>-3.6882433205960817E-2</v>
      </c>
      <c r="O167" s="4">
        <f t="shared" ca="1" si="41"/>
        <v>-2.1749954762891533E-2</v>
      </c>
      <c r="P167" s="4">
        <f t="shared" ca="1" si="41"/>
        <v>1.6104733883699492E-2</v>
      </c>
      <c r="Q167" s="4">
        <f t="shared" ca="1" si="41"/>
        <v>4.6834390182370213E-2</v>
      </c>
    </row>
    <row r="168" spans="1:17">
      <c r="A168" t="s">
        <v>178</v>
      </c>
      <c r="B168" s="1">
        <v>414.44</v>
      </c>
      <c r="C168" s="4">
        <f t="shared" si="34"/>
        <v>1.6332336063563747E-2</v>
      </c>
      <c r="D168" s="4">
        <f t="shared" ca="1" si="40"/>
        <v>3.6178199393110962E-2</v>
      </c>
      <c r="E168" s="4">
        <f t="shared" ca="1" si="40"/>
        <v>-2.8669907976537741E-2</v>
      </c>
      <c r="F168" s="4">
        <f t="shared" ca="1" si="40"/>
        <v>-1.4537191949731246E-2</v>
      </c>
      <c r="G168" s="4">
        <f t="shared" ca="1" si="40"/>
        <v>-2.7430893497369369E-2</v>
      </c>
      <c r="H168" s="4">
        <f t="shared" ca="1" si="40"/>
        <v>5.0145935789058189E-2</v>
      </c>
      <c r="J168" t="s">
        <v>178</v>
      </c>
      <c r="K168" s="1">
        <v>268.26</v>
      </c>
      <c r="L168" s="4">
        <f t="shared" si="35"/>
        <v>1.207273824794382E-2</v>
      </c>
      <c r="M168" s="4">
        <f t="shared" ca="1" si="41"/>
        <v>1.9060494505718308E-2</v>
      </c>
      <c r="N168" s="4">
        <f t="shared" ca="1" si="41"/>
        <v>-1.4739189349473712E-2</v>
      </c>
      <c r="O168" s="4">
        <f t="shared" ca="1" si="41"/>
        <v>-8.0091235700419528E-3</v>
      </c>
      <c r="P168" s="4">
        <f t="shared" ca="1" si="41"/>
        <v>4.3128576649087537E-3</v>
      </c>
      <c r="Q168" s="4">
        <f t="shared" ca="1" si="41"/>
        <v>2.0069511901926237E-2</v>
      </c>
    </row>
    <row r="169" spans="1:17">
      <c r="A169" t="s">
        <v>179</v>
      </c>
      <c r="B169" s="1">
        <v>413.62</v>
      </c>
      <c r="C169" s="4">
        <f t="shared" si="34"/>
        <v>-1.978573496766705E-3</v>
      </c>
      <c r="D169" s="4">
        <f t="shared" ca="1" si="40"/>
        <v>-8.6230207330739751E-3</v>
      </c>
      <c r="E169" s="4">
        <f t="shared" ca="1" si="40"/>
        <v>1.4867112417387356E-2</v>
      </c>
      <c r="F169" s="4">
        <f t="shared" ca="1" si="40"/>
        <v>2.1611106751279457E-2</v>
      </c>
      <c r="G169" s="4">
        <f t="shared" ca="1" si="40"/>
        <v>4.3227547825320086E-3</v>
      </c>
      <c r="H169" s="4">
        <f t="shared" ca="1" si="40"/>
        <v>3.1575958884489816E-2</v>
      </c>
      <c r="J169" t="s">
        <v>179</v>
      </c>
      <c r="K169" s="1">
        <v>272.05</v>
      </c>
      <c r="L169" s="4">
        <f t="shared" si="35"/>
        <v>1.4128084693953704E-2</v>
      </c>
      <c r="M169" s="4">
        <f t="shared" ca="1" si="41"/>
        <v>4.5005122693927355E-3</v>
      </c>
      <c r="N169" s="4">
        <f t="shared" ca="1" si="41"/>
        <v>-1.0958783173454542E-2</v>
      </c>
      <c r="O169" s="4">
        <f t="shared" ca="1" si="41"/>
        <v>4.2398134408382923E-3</v>
      </c>
      <c r="P169" s="4">
        <f t="shared" ca="1" si="41"/>
        <v>8.3796057350384485E-3</v>
      </c>
      <c r="Q169" s="4">
        <f t="shared" ca="1" si="41"/>
        <v>1.0107717000270449E-2</v>
      </c>
    </row>
    <row r="170" spans="1:17">
      <c r="A170" t="s">
        <v>180</v>
      </c>
      <c r="B170" s="1">
        <v>411.38</v>
      </c>
      <c r="C170" s="4">
        <f t="shared" si="34"/>
        <v>-5.4155988588559766E-3</v>
      </c>
      <c r="D170" s="4">
        <f t="shared" ca="1" si="40"/>
        <v>-1.0699700562921625E-2</v>
      </c>
      <c r="E170" s="4">
        <f t="shared" ca="1" si="40"/>
        <v>-1.0713181130494123E-2</v>
      </c>
      <c r="F170" s="4">
        <f t="shared" ca="1" si="40"/>
        <v>-9.6505670084124136E-3</v>
      </c>
      <c r="G170" s="4">
        <f t="shared" ca="1" si="40"/>
        <v>7.0244297319913048E-3</v>
      </c>
      <c r="H170" s="4">
        <f t="shared" ca="1" si="40"/>
        <v>-8.3914970716059524E-4</v>
      </c>
      <c r="J170" t="s">
        <v>180</v>
      </c>
      <c r="K170" s="1">
        <v>273.55</v>
      </c>
      <c r="L170" s="4">
        <f t="shared" si="35"/>
        <v>5.5136923359676527E-3</v>
      </c>
      <c r="M170" s="4">
        <f t="shared" ca="1" si="41"/>
        <v>2.98222190267841E-2</v>
      </c>
      <c r="N170" s="4">
        <f t="shared" ca="1" si="41"/>
        <v>-1.2792540967798947E-2</v>
      </c>
      <c r="O170" s="4">
        <f t="shared" ca="1" si="41"/>
        <v>-6.4293362516279736E-3</v>
      </c>
      <c r="P170" s="4">
        <f t="shared" ca="1" si="41"/>
        <v>7.8834761854522043E-3</v>
      </c>
      <c r="Q170" s="4">
        <f t="shared" ca="1" si="41"/>
        <v>-2.4018101180545887E-2</v>
      </c>
    </row>
    <row r="171" spans="1:17">
      <c r="A171" t="s">
        <v>181</v>
      </c>
      <c r="B171" s="1">
        <v>413.96</v>
      </c>
      <c r="C171" s="4">
        <f t="shared" si="34"/>
        <v>6.2715737274538965E-3</v>
      </c>
      <c r="D171" s="4">
        <f t="shared" ca="1" si="40"/>
        <v>-7.0588058121963376E-3</v>
      </c>
      <c r="E171" s="4">
        <f t="shared" ca="1" si="40"/>
        <v>3.7415524104585436E-2</v>
      </c>
      <c r="F171" s="4">
        <f t="shared" ca="1" si="40"/>
        <v>-1.657531621268141E-4</v>
      </c>
      <c r="G171" s="4">
        <f t="shared" ca="1" si="40"/>
        <v>-8.1994429859838237E-5</v>
      </c>
      <c r="H171" s="4">
        <f t="shared" ca="1" si="40"/>
        <v>-3.1506826354855591E-2</v>
      </c>
      <c r="J171" t="s">
        <v>181</v>
      </c>
      <c r="K171" s="1">
        <v>274.99</v>
      </c>
      <c r="L171" s="4">
        <f t="shared" si="35"/>
        <v>5.2641199049533825E-3</v>
      </c>
      <c r="M171" s="4">
        <f t="shared" ca="1" si="41"/>
        <v>1.057387809929073E-2</v>
      </c>
      <c r="N171" s="4">
        <f t="shared" ca="1" si="41"/>
        <v>-2.5497901608291212E-2</v>
      </c>
      <c r="O171" s="4">
        <f t="shared" ca="1" si="41"/>
        <v>1.7219656898002536E-3</v>
      </c>
      <c r="P171" s="4">
        <f t="shared" ca="1" si="41"/>
        <v>1.2789377717261945E-2</v>
      </c>
      <c r="Q171" s="4">
        <f t="shared" ca="1" si="41"/>
        <v>-1.4984868808692743E-2</v>
      </c>
    </row>
    <row r="172" spans="1:17">
      <c r="A172" t="s">
        <v>182</v>
      </c>
      <c r="B172" s="1">
        <v>420.77</v>
      </c>
      <c r="C172" s="4">
        <f t="shared" si="34"/>
        <v>1.6450864817856806E-2</v>
      </c>
      <c r="D172" s="4">
        <f t="shared" ca="1" si="40"/>
        <v>-8.2246613620404283E-3</v>
      </c>
      <c r="E172" s="4">
        <f t="shared" ca="1" si="40"/>
        <v>2.8774206817849431E-3</v>
      </c>
      <c r="F172" s="4">
        <f t="shared" ca="1" si="40"/>
        <v>-3.2722650193813443E-2</v>
      </c>
      <c r="G172" s="4">
        <f t="shared" ca="1" si="40"/>
        <v>-2.2870313082131222E-2</v>
      </c>
      <c r="H172" s="4">
        <f t="shared" ca="1" si="40"/>
        <v>1.8877809836293127E-2</v>
      </c>
      <c r="J172" t="s">
        <v>182</v>
      </c>
      <c r="K172" s="1">
        <v>271.17</v>
      </c>
      <c r="L172" s="4">
        <f t="shared" si="35"/>
        <v>-1.3891414233244821E-2</v>
      </c>
      <c r="M172" s="4">
        <f t="shared" ca="1" si="41"/>
        <v>-4.1804014134374484E-2</v>
      </c>
      <c r="N172" s="4">
        <f t="shared" ca="1" si="41"/>
        <v>-2.1866473254408388E-2</v>
      </c>
      <c r="O172" s="4">
        <f t="shared" ca="1" si="41"/>
        <v>-2.254760914926375E-2</v>
      </c>
      <c r="P172" s="4">
        <f t="shared" ca="1" si="41"/>
        <v>-4.1944669230243668E-2</v>
      </c>
      <c r="Q172" s="4">
        <f t="shared" ca="1" si="41"/>
        <v>-2.6663753222872729E-2</v>
      </c>
    </row>
    <row r="173" spans="1:17">
      <c r="A173" t="s">
        <v>183</v>
      </c>
      <c r="B173" s="1">
        <v>415.12</v>
      </c>
      <c r="C173" s="4">
        <f t="shared" si="34"/>
        <v>-1.3427763386172915E-2</v>
      </c>
      <c r="D173" s="4">
        <f t="shared" ca="1" si="40"/>
        <v>-4.2867234050608487E-2</v>
      </c>
      <c r="E173" s="4">
        <f t="shared" ca="1" si="40"/>
        <v>1.2355717613926964E-2</v>
      </c>
      <c r="F173" s="4">
        <f t="shared" ca="1" si="40"/>
        <v>2.0611280439392917E-2</v>
      </c>
      <c r="G173" s="4">
        <f t="shared" ca="1" si="40"/>
        <v>1.7260300671085291E-2</v>
      </c>
      <c r="H173" s="4">
        <f t="shared" ca="1" si="40"/>
        <v>1.529441776144272E-3</v>
      </c>
      <c r="J173" t="s">
        <v>183</v>
      </c>
      <c r="K173" s="1">
        <v>272.68</v>
      </c>
      <c r="L173" s="4">
        <f t="shared" si="35"/>
        <v>5.5684625880443664E-3</v>
      </c>
      <c r="M173" s="4">
        <f t="shared" ca="1" si="41"/>
        <v>-2.8097684322297204E-2</v>
      </c>
      <c r="N173" s="4">
        <f t="shared" ca="1" si="41"/>
        <v>-1.973413415568236E-2</v>
      </c>
      <c r="O173" s="4">
        <f t="shared" ca="1" si="41"/>
        <v>2.9871373877372577E-2</v>
      </c>
      <c r="P173" s="4">
        <f t="shared" ca="1" si="41"/>
        <v>1.156852485987369E-2</v>
      </c>
      <c r="Q173" s="4">
        <f t="shared" ca="1" si="41"/>
        <v>1.5437472893889491E-2</v>
      </c>
    </row>
    <row r="174" spans="1:17">
      <c r="A174" t="s">
        <v>184</v>
      </c>
      <c r="B174" s="1">
        <v>412.66</v>
      </c>
      <c r="C174" s="4">
        <f t="shared" si="34"/>
        <v>-5.9259973019849185E-3</v>
      </c>
      <c r="D174" s="4">
        <f t="shared" ca="1" si="40"/>
        <v>-2.7743851215599909E-2</v>
      </c>
      <c r="E174" s="4">
        <f t="shared" ca="1" si="40"/>
        <v>6.4495485806669323E-3</v>
      </c>
      <c r="F174" s="4">
        <f t="shared" ca="1" si="40"/>
        <v>3.3069813004165761E-2</v>
      </c>
      <c r="G174" s="4">
        <f t="shared" ca="1" si="40"/>
        <v>-5.3537032966452812E-2</v>
      </c>
      <c r="H174" s="4">
        <f t="shared" ca="1" si="40"/>
        <v>2.9370766439716586E-2</v>
      </c>
      <c r="J174" t="s">
        <v>184</v>
      </c>
      <c r="K174" s="1">
        <v>268.99</v>
      </c>
      <c r="L174" s="4">
        <f t="shared" si="35"/>
        <v>-1.3532345606571797E-2</v>
      </c>
      <c r="M174" s="4">
        <f t="shared" ca="1" si="41"/>
        <v>-2.7620017836591869E-2</v>
      </c>
      <c r="N174" s="4">
        <f t="shared" ca="1" si="41"/>
        <v>9.1546572336748729E-3</v>
      </c>
      <c r="O174" s="4">
        <f t="shared" ca="1" si="41"/>
        <v>-1.1682084126124787E-2</v>
      </c>
      <c r="P174" s="4">
        <f t="shared" ca="1" si="41"/>
        <v>1.5443635461099423E-2</v>
      </c>
      <c r="Q174" s="4">
        <f t="shared" ca="1" si="41"/>
        <v>-1.5228974707762532E-2</v>
      </c>
    </row>
    <row r="175" spans="1:17">
      <c r="A175" t="s">
        <v>185</v>
      </c>
      <c r="B175" s="1">
        <v>407.77</v>
      </c>
      <c r="C175" s="4">
        <f t="shared" si="34"/>
        <v>-1.1849949110648095E-2</v>
      </c>
      <c r="D175" s="4">
        <f t="shared" ca="1" si="40"/>
        <v>-2.7941652554226298E-2</v>
      </c>
      <c r="E175" s="4">
        <f t="shared" ca="1" si="40"/>
        <v>-1.78861051948613E-2</v>
      </c>
      <c r="F175" s="4">
        <f t="shared" ca="1" si="40"/>
        <v>-1.8305519410127747E-2</v>
      </c>
      <c r="G175" s="4">
        <f t="shared" ca="1" si="40"/>
        <v>-1.0285871705590401E-3</v>
      </c>
      <c r="H175" s="4">
        <f t="shared" ca="1" si="40"/>
        <v>-3.6738446912770242E-2</v>
      </c>
      <c r="J175" t="s">
        <v>185</v>
      </c>
      <c r="K175" s="1">
        <v>265.82</v>
      </c>
      <c r="L175" s="4">
        <f t="shared" si="35"/>
        <v>-1.1784824714673467E-2</v>
      </c>
      <c r="M175" s="4">
        <f t="shared" ca="1" si="41"/>
        <v>7.7304774006774274E-3</v>
      </c>
      <c r="N175" s="4">
        <f t="shared" ca="1" si="41"/>
        <v>-1.1207686809669095E-2</v>
      </c>
      <c r="O175" s="4">
        <f t="shared" ca="1" si="41"/>
        <v>3.0394397671420884E-2</v>
      </c>
      <c r="P175" s="4">
        <f t="shared" ca="1" si="41"/>
        <v>1.6919174907638453E-2</v>
      </c>
      <c r="Q175" s="4">
        <f t="shared" ca="1" si="41"/>
        <v>5.9118676736101751E-2</v>
      </c>
    </row>
    <row r="176" spans="1:17">
      <c r="A176" t="s">
        <v>186</v>
      </c>
      <c r="B176" s="1">
        <v>405.21</v>
      </c>
      <c r="C176" s="4">
        <f t="shared" si="34"/>
        <v>-6.2780489001152667E-3</v>
      </c>
      <c r="D176" s="4">
        <f t="shared" ref="D176:H185" ca="1" si="42">NORMINV(RAND(), $C$6, $C$7)</f>
        <v>2.5172189086370583E-3</v>
      </c>
      <c r="E176" s="4">
        <f t="shared" ca="1" si="42"/>
        <v>-2.3113606788241699E-2</v>
      </c>
      <c r="F176" s="4">
        <f t="shared" ca="1" si="42"/>
        <v>5.0729753856682564E-3</v>
      </c>
      <c r="G176" s="4">
        <f t="shared" ca="1" si="42"/>
        <v>1.4496780325187301E-2</v>
      </c>
      <c r="H176" s="4">
        <f t="shared" ca="1" si="42"/>
        <v>9.5775110149005135E-3</v>
      </c>
      <c r="J176" t="s">
        <v>186</v>
      </c>
      <c r="K176" s="1">
        <v>270.13</v>
      </c>
      <c r="L176" s="4">
        <f t="shared" si="35"/>
        <v>1.6213979384545944E-2</v>
      </c>
      <c r="M176" s="4">
        <f t="shared" ref="M176:Q185" ca="1" si="43">NORMINV(RAND(), $L$6, $L$7)</f>
        <v>-1.4329701995493523E-2</v>
      </c>
      <c r="N176" s="4">
        <f t="shared" ca="1" si="43"/>
        <v>-1.2473306450400437E-2</v>
      </c>
      <c r="O176" s="4">
        <f t="shared" ca="1" si="43"/>
        <v>3.1371264850367209E-3</v>
      </c>
      <c r="P176" s="4">
        <f t="shared" ca="1" si="43"/>
        <v>1.8761267182252184E-2</v>
      </c>
      <c r="Q176" s="4">
        <f t="shared" ca="1" si="43"/>
        <v>-3.2718054742891967E-2</v>
      </c>
    </row>
    <row r="177" spans="1:17">
      <c r="A177" t="s">
        <v>187</v>
      </c>
      <c r="B177" s="1">
        <v>409.43</v>
      </c>
      <c r="C177" s="4">
        <f t="shared" si="34"/>
        <v>1.0414353051504226E-2</v>
      </c>
      <c r="D177" s="4">
        <f t="shared" ca="1" si="42"/>
        <v>1.2906738217677387E-2</v>
      </c>
      <c r="E177" s="4">
        <f t="shared" ca="1" si="42"/>
        <v>-2.418114559933968E-2</v>
      </c>
      <c r="F177" s="4">
        <f t="shared" ca="1" si="42"/>
        <v>-3.0857567548472908E-2</v>
      </c>
      <c r="G177" s="4">
        <f t="shared" ca="1" si="42"/>
        <v>-7.5539053827007509E-3</v>
      </c>
      <c r="H177" s="4">
        <f t="shared" ca="1" si="42"/>
        <v>2.8420015992262071E-2</v>
      </c>
      <c r="J177" t="s">
        <v>187</v>
      </c>
      <c r="K177" s="1">
        <v>267.22000000000003</v>
      </c>
      <c r="L177" s="4">
        <f t="shared" si="35"/>
        <v>-1.077259097471576E-2</v>
      </c>
      <c r="M177" s="4">
        <f t="shared" ca="1" si="43"/>
        <v>-7.1072694701594767E-3</v>
      </c>
      <c r="N177" s="4">
        <f t="shared" ca="1" si="43"/>
        <v>-1.4270966684852776E-3</v>
      </c>
      <c r="O177" s="4">
        <f t="shared" ca="1" si="43"/>
        <v>3.4760878598351246E-2</v>
      </c>
      <c r="P177" s="4">
        <f t="shared" ca="1" si="43"/>
        <v>5.3399073458159321E-2</v>
      </c>
      <c r="Q177" s="4">
        <f t="shared" ca="1" si="43"/>
        <v>-2.2149645780834778E-2</v>
      </c>
    </row>
    <row r="178" spans="1:17">
      <c r="A178" t="s">
        <v>188</v>
      </c>
      <c r="B178" s="1">
        <v>421.92</v>
      </c>
      <c r="C178" s="4">
        <f t="shared" si="34"/>
        <v>3.0505825171580025E-2</v>
      </c>
      <c r="D178" s="4">
        <f t="shared" ca="1" si="42"/>
        <v>-2.44972802717725E-2</v>
      </c>
      <c r="E178" s="4">
        <f t="shared" ca="1" si="42"/>
        <v>-9.6169777028286031E-3</v>
      </c>
      <c r="F178" s="4">
        <f t="shared" ca="1" si="42"/>
        <v>3.1120532344436017E-2</v>
      </c>
      <c r="G178" s="4">
        <f t="shared" ca="1" si="42"/>
        <v>-1.5069978358889518E-2</v>
      </c>
      <c r="H178" s="4">
        <f t="shared" ca="1" si="42"/>
        <v>-2.7459347282897336E-2</v>
      </c>
      <c r="J178" t="s">
        <v>188</v>
      </c>
      <c r="K178" s="1">
        <v>264.14</v>
      </c>
      <c r="L178" s="4">
        <f t="shared" si="35"/>
        <v>-1.1526083376992891E-2</v>
      </c>
      <c r="M178" s="4">
        <f t="shared" ca="1" si="43"/>
        <v>7.1963732653648436E-3</v>
      </c>
      <c r="N178" s="4">
        <f t="shared" ca="1" si="43"/>
        <v>-1.3053639495169095E-3</v>
      </c>
      <c r="O178" s="4">
        <f t="shared" ca="1" si="43"/>
        <v>-3.2672508843086381E-2</v>
      </c>
      <c r="P178" s="4">
        <f t="shared" ca="1" si="43"/>
        <v>4.7871055281622447E-3</v>
      </c>
      <c r="Q178" s="4">
        <f t="shared" ca="1" si="43"/>
        <v>-1.1981154052274575E-3</v>
      </c>
    </row>
    <row r="179" spans="1:17">
      <c r="A179" t="s">
        <v>189</v>
      </c>
      <c r="B179" s="1">
        <v>423.54</v>
      </c>
      <c r="C179" s="4">
        <f t="shared" si="34"/>
        <v>3.8395904436860175E-3</v>
      </c>
      <c r="D179" s="4">
        <f t="shared" ca="1" si="42"/>
        <v>1.8525987558163461E-2</v>
      </c>
      <c r="E179" s="4">
        <f t="shared" ca="1" si="42"/>
        <v>3.1049328864538601E-2</v>
      </c>
      <c r="F179" s="4">
        <f t="shared" ca="1" si="42"/>
        <v>2.403444171485878E-2</v>
      </c>
      <c r="G179" s="4">
        <f t="shared" ca="1" si="42"/>
        <v>-1.1362281477492273E-3</v>
      </c>
      <c r="H179" s="4">
        <f t="shared" ca="1" si="42"/>
        <v>-1.9981183977954793E-2</v>
      </c>
      <c r="J179" t="s">
        <v>189</v>
      </c>
      <c r="K179" s="1">
        <v>264.86</v>
      </c>
      <c r="L179" s="4">
        <f t="shared" si="35"/>
        <v>2.7258272128417782E-3</v>
      </c>
      <c r="M179" s="4">
        <f t="shared" ca="1" si="43"/>
        <v>-1.1201518288885873E-3</v>
      </c>
      <c r="N179" s="4">
        <f t="shared" ca="1" si="43"/>
        <v>-1.159656451760922E-2</v>
      </c>
      <c r="O179" s="4">
        <f t="shared" ca="1" si="43"/>
        <v>-1.3099385461593095E-2</v>
      </c>
      <c r="P179" s="4">
        <f t="shared" ca="1" si="43"/>
        <v>-4.553929806659944E-2</v>
      </c>
      <c r="Q179" s="4">
        <f t="shared" ca="1" si="43"/>
        <v>-1.4104661797300267E-2</v>
      </c>
    </row>
    <row r="180" spans="1:17">
      <c r="A180" t="s">
        <v>190</v>
      </c>
      <c r="B180" s="1">
        <v>417.42</v>
      </c>
      <c r="C180" s="4">
        <f t="shared" si="34"/>
        <v>-1.4449638759031035E-2</v>
      </c>
      <c r="D180" s="4">
        <f t="shared" ca="1" si="42"/>
        <v>2.0133312680261091E-2</v>
      </c>
      <c r="E180" s="4">
        <f t="shared" ca="1" si="42"/>
        <v>-1.6764250028370741E-2</v>
      </c>
      <c r="F180" s="4">
        <f t="shared" ca="1" si="42"/>
        <v>1.9652489236422791E-3</v>
      </c>
      <c r="G180" s="4">
        <f t="shared" ca="1" si="42"/>
        <v>-1.7761506492460263E-2</v>
      </c>
      <c r="H180" s="4">
        <f t="shared" ca="1" si="42"/>
        <v>8.4665061170496759E-3</v>
      </c>
      <c r="J180" t="s">
        <v>190</v>
      </c>
      <c r="K180" s="1">
        <v>259.33999999999997</v>
      </c>
      <c r="L180" s="4">
        <f t="shared" si="35"/>
        <v>-2.084119912406569E-2</v>
      </c>
      <c r="M180" s="4">
        <f t="shared" ca="1" si="43"/>
        <v>1.3364340985189854E-2</v>
      </c>
      <c r="N180" s="4">
        <f t="shared" ca="1" si="43"/>
        <v>-1.611476373876318E-2</v>
      </c>
      <c r="O180" s="4">
        <f t="shared" ca="1" si="43"/>
        <v>-1.4540499387201193E-2</v>
      </c>
      <c r="P180" s="4">
        <f t="shared" ca="1" si="43"/>
        <v>1.4390319474446131E-3</v>
      </c>
      <c r="Q180" s="4">
        <f t="shared" ca="1" si="43"/>
        <v>7.2688843496879893E-3</v>
      </c>
    </row>
    <row r="181" spans="1:17">
      <c r="A181" t="s">
        <v>191</v>
      </c>
      <c r="B181" s="1">
        <v>421.06</v>
      </c>
      <c r="C181" s="4">
        <f t="shared" si="34"/>
        <v>8.7202338172583643E-3</v>
      </c>
      <c r="D181" s="4">
        <f t="shared" ca="1" si="42"/>
        <v>-4.5859871856956815E-2</v>
      </c>
      <c r="E181" s="4">
        <f t="shared" ca="1" si="42"/>
        <v>1.5980495099794028E-2</v>
      </c>
      <c r="F181" s="4">
        <f t="shared" ca="1" si="42"/>
        <v>4.4540185149115043E-2</v>
      </c>
      <c r="G181" s="4">
        <f t="shared" ca="1" si="42"/>
        <v>-1.077768453104031E-2</v>
      </c>
      <c r="H181" s="4">
        <f t="shared" ca="1" si="42"/>
        <v>-2.0896098062296886E-3</v>
      </c>
      <c r="J181" t="s">
        <v>191</v>
      </c>
      <c r="K181" s="1">
        <v>265.01</v>
      </c>
      <c r="L181" s="4">
        <f t="shared" si="35"/>
        <v>2.1863191177604751E-2</v>
      </c>
      <c r="M181" s="4">
        <f t="shared" ca="1" si="43"/>
        <v>2.2420193848840288E-2</v>
      </c>
      <c r="N181" s="4">
        <f t="shared" ca="1" si="43"/>
        <v>-7.1902947559894237E-3</v>
      </c>
      <c r="O181" s="4">
        <f t="shared" ca="1" si="43"/>
        <v>-5.0836487722626243E-2</v>
      </c>
      <c r="P181" s="4">
        <f t="shared" ca="1" si="43"/>
        <v>7.3251959609987854E-3</v>
      </c>
      <c r="Q181" s="4">
        <f t="shared" ca="1" si="43"/>
        <v>-1.1365693715908042E-3</v>
      </c>
    </row>
    <row r="182" spans="1:17">
      <c r="A182" t="s">
        <v>192</v>
      </c>
      <c r="B182" s="1">
        <v>419.09</v>
      </c>
      <c r="C182" s="4">
        <f t="shared" si="34"/>
        <v>-4.6786681233079068E-3</v>
      </c>
      <c r="D182" s="4">
        <f t="shared" ca="1" si="42"/>
        <v>-1.534654779255362E-2</v>
      </c>
      <c r="E182" s="4">
        <f t="shared" ca="1" si="42"/>
        <v>1.779819504565738E-2</v>
      </c>
      <c r="F182" s="4">
        <f t="shared" ca="1" si="42"/>
        <v>2.8299183567642296E-2</v>
      </c>
      <c r="G182" s="4">
        <f t="shared" ca="1" si="42"/>
        <v>-6.8854016726811367E-3</v>
      </c>
      <c r="H182" s="4">
        <f t="shared" ca="1" si="42"/>
        <v>-1.5918482564014062E-2</v>
      </c>
      <c r="J182" t="s">
        <v>192</v>
      </c>
      <c r="K182" s="1">
        <v>268.45999999999998</v>
      </c>
      <c r="L182" s="4">
        <f t="shared" si="35"/>
        <v>1.3018376665031466E-2</v>
      </c>
      <c r="M182" s="4">
        <f t="shared" ca="1" si="43"/>
        <v>2.339835753140394E-2</v>
      </c>
      <c r="N182" s="4">
        <f t="shared" ca="1" si="43"/>
        <v>-3.781757176346251E-2</v>
      </c>
      <c r="O182" s="4">
        <f t="shared" ca="1" si="43"/>
        <v>-7.4763255930437606E-3</v>
      </c>
      <c r="P182" s="4">
        <f t="shared" ca="1" si="43"/>
        <v>6.0591814637547753E-3</v>
      </c>
      <c r="Q182" s="4">
        <f t="shared" ca="1" si="43"/>
        <v>-2.7002616324124415E-2</v>
      </c>
    </row>
    <row r="183" spans="1:17">
      <c r="A183" t="s">
        <v>193</v>
      </c>
      <c r="B183" s="1">
        <v>418.57</v>
      </c>
      <c r="C183" s="4">
        <f t="shared" si="34"/>
        <v>-1.2407836025674242E-3</v>
      </c>
      <c r="D183" s="4">
        <f t="shared" ca="1" si="42"/>
        <v>5.118854178937606E-3</v>
      </c>
      <c r="E183" s="4">
        <f t="shared" ca="1" si="42"/>
        <v>-1.5103514094482353E-2</v>
      </c>
      <c r="F183" s="4">
        <f t="shared" ca="1" si="42"/>
        <v>1.2290326571512173E-2</v>
      </c>
      <c r="G183" s="4">
        <f t="shared" ca="1" si="42"/>
        <v>2.2833682291633538E-2</v>
      </c>
      <c r="H183" s="4">
        <f t="shared" ca="1" si="42"/>
        <v>-1.3533159175146572E-2</v>
      </c>
      <c r="J183" t="s">
        <v>193</v>
      </c>
      <c r="K183" s="1">
        <v>266.32</v>
      </c>
      <c r="L183" s="4">
        <f t="shared" si="35"/>
        <v>-7.9713923862027355E-3</v>
      </c>
      <c r="M183" s="4">
        <f t="shared" ca="1" si="43"/>
        <v>9.3423291822138203E-3</v>
      </c>
      <c r="N183" s="4">
        <f t="shared" ca="1" si="43"/>
        <v>3.5176309938302973E-2</v>
      </c>
      <c r="O183" s="4">
        <f t="shared" ca="1" si="43"/>
        <v>-2.6520560381625397E-2</v>
      </c>
      <c r="P183" s="4">
        <f t="shared" ca="1" si="43"/>
        <v>-2.1365524432988559E-2</v>
      </c>
      <c r="Q183" s="4">
        <f t="shared" ca="1" si="43"/>
        <v>-9.4842400921534009E-3</v>
      </c>
    </row>
    <row r="184" spans="1:17">
      <c r="A184" t="s">
        <v>194</v>
      </c>
      <c r="B184" s="1">
        <v>416.03</v>
      </c>
      <c r="C184" s="4">
        <f t="shared" si="34"/>
        <v>-6.06828009651915E-3</v>
      </c>
      <c r="D184" s="4">
        <f t="shared" ca="1" si="42"/>
        <v>1.4974424309227453E-2</v>
      </c>
      <c r="E184" s="4">
        <f t="shared" ca="1" si="42"/>
        <v>9.783981864876239E-3</v>
      </c>
      <c r="F184" s="4">
        <f t="shared" ca="1" si="42"/>
        <v>-1.2524745625521741E-2</v>
      </c>
      <c r="G184" s="4">
        <f t="shared" ca="1" si="42"/>
        <v>-1.7725946008066241E-2</v>
      </c>
      <c r="H184" s="4">
        <f t="shared" ca="1" si="42"/>
        <v>7.9471335054953091E-3</v>
      </c>
      <c r="J184" t="s">
        <v>194</v>
      </c>
      <c r="K184" s="1">
        <v>265.29000000000002</v>
      </c>
      <c r="L184" s="4">
        <f t="shared" si="35"/>
        <v>-3.8675277861218564E-3</v>
      </c>
      <c r="M184" s="4">
        <f t="shared" ca="1" si="43"/>
        <v>3.4122367776693932E-3</v>
      </c>
      <c r="N184" s="4">
        <f t="shared" ca="1" si="43"/>
        <v>-2.0935995027849409E-2</v>
      </c>
      <c r="O184" s="4">
        <f t="shared" ca="1" si="43"/>
        <v>-4.2205334833664621E-2</v>
      </c>
      <c r="P184" s="4">
        <f t="shared" ca="1" si="43"/>
        <v>2.8740460204956125E-3</v>
      </c>
      <c r="Q184" s="4">
        <f t="shared" ca="1" si="43"/>
        <v>1.096600503647561E-3</v>
      </c>
    </row>
    <row r="185" spans="1:17">
      <c r="A185" t="s">
        <v>195</v>
      </c>
      <c r="B185" s="1">
        <v>412.67</v>
      </c>
      <c r="C185" s="4">
        <f t="shared" si="34"/>
        <v>-8.076340648510821E-3</v>
      </c>
      <c r="D185" s="4">
        <f t="shared" ca="1" si="42"/>
        <v>7.7527685844899245E-3</v>
      </c>
      <c r="E185" s="4">
        <f t="shared" ca="1" si="42"/>
        <v>-6.510749860231666E-3</v>
      </c>
      <c r="F185" s="4">
        <f t="shared" ca="1" si="42"/>
        <v>-1.0628949800160336E-2</v>
      </c>
      <c r="G185" s="4">
        <f t="shared" ca="1" si="42"/>
        <v>-2.9093162593242912E-2</v>
      </c>
      <c r="H185" s="4">
        <f t="shared" ca="1" si="42"/>
        <v>-2.9998179452098369E-2</v>
      </c>
      <c r="J185" t="s">
        <v>195</v>
      </c>
      <c r="K185" s="1">
        <v>271.85000000000002</v>
      </c>
      <c r="L185" s="4">
        <f t="shared" si="35"/>
        <v>2.4727656526819713E-2</v>
      </c>
      <c r="M185" s="4">
        <f t="shared" ca="1" si="43"/>
        <v>-3.8501023749633288E-2</v>
      </c>
      <c r="N185" s="4">
        <f t="shared" ca="1" si="43"/>
        <v>3.7151147302667713E-2</v>
      </c>
      <c r="O185" s="4">
        <f t="shared" ca="1" si="43"/>
        <v>3.6187787485832887E-2</v>
      </c>
      <c r="P185" s="4">
        <f t="shared" ca="1" si="43"/>
        <v>2.099889344960847E-2</v>
      </c>
      <c r="Q185" s="4">
        <f t="shared" ca="1" si="43"/>
        <v>-1.2812349327874324E-2</v>
      </c>
    </row>
    <row r="186" spans="1:17">
      <c r="A186" t="s">
        <v>196</v>
      </c>
      <c r="B186" s="1">
        <v>426.99</v>
      </c>
      <c r="C186" s="4">
        <f t="shared" si="34"/>
        <v>3.4700850558557671E-2</v>
      </c>
      <c r="D186" s="4">
        <f t="shared" ref="D186:H195" ca="1" si="44">NORMINV(RAND(), $C$6, $C$7)</f>
        <v>3.5132181280405614E-2</v>
      </c>
      <c r="E186" s="4">
        <f t="shared" ca="1" si="44"/>
        <v>1.1475335752968722E-2</v>
      </c>
      <c r="F186" s="4">
        <f t="shared" ca="1" si="44"/>
        <v>2.1732063022245427E-2</v>
      </c>
      <c r="G186" s="4">
        <f t="shared" ca="1" si="44"/>
        <v>-1.3887950146465306E-2</v>
      </c>
      <c r="H186" s="4">
        <f t="shared" ca="1" si="44"/>
        <v>3.5523043436399414E-2</v>
      </c>
      <c r="J186" t="s">
        <v>196</v>
      </c>
      <c r="K186" s="1">
        <v>274</v>
      </c>
      <c r="L186" s="4">
        <f t="shared" si="35"/>
        <v>7.9087732205259404E-3</v>
      </c>
      <c r="M186" s="4">
        <f t="shared" ref="M186:Q195" ca="1" si="45">NORMINV(RAND(), $L$6, $L$7)</f>
        <v>5.6307327992436047E-3</v>
      </c>
      <c r="N186" s="4">
        <f t="shared" ca="1" si="45"/>
        <v>-2.0228523564398658E-2</v>
      </c>
      <c r="O186" s="4">
        <f t="shared" ca="1" si="45"/>
        <v>1.0477923710380411E-2</v>
      </c>
      <c r="P186" s="4">
        <f t="shared" ca="1" si="45"/>
        <v>1.2112750876481474E-2</v>
      </c>
      <c r="Q186" s="4">
        <f t="shared" ca="1" si="45"/>
        <v>-5.3543393369499009E-2</v>
      </c>
    </row>
    <row r="187" spans="1:17">
      <c r="A187" t="s">
        <v>197</v>
      </c>
      <c r="B187" s="1">
        <v>450.24</v>
      </c>
      <c r="C187" s="4">
        <f t="shared" si="34"/>
        <v>5.4450923909225041E-2</v>
      </c>
      <c r="D187" s="4">
        <f t="shared" ca="1" si="44"/>
        <v>-2.0322869394661745E-2</v>
      </c>
      <c r="E187" s="4">
        <f t="shared" ca="1" si="44"/>
        <v>-1.6017473460117029E-2</v>
      </c>
      <c r="F187" s="4">
        <f t="shared" ca="1" si="44"/>
        <v>2.0261431077967407E-2</v>
      </c>
      <c r="G187" s="4">
        <f t="shared" ca="1" si="44"/>
        <v>2.2210518725132244E-2</v>
      </c>
      <c r="H187" s="4">
        <f t="shared" ca="1" si="44"/>
        <v>2.4554264545048735E-2</v>
      </c>
      <c r="J187" t="s">
        <v>197</v>
      </c>
      <c r="K187" s="1">
        <v>270.64</v>
      </c>
      <c r="L187" s="4">
        <f t="shared" si="35"/>
        <v>-1.2262773722627787E-2</v>
      </c>
      <c r="M187" s="4">
        <f t="shared" ca="1" si="45"/>
        <v>-8.4348489859272669E-3</v>
      </c>
      <c r="N187" s="4">
        <f t="shared" ca="1" si="45"/>
        <v>-1.3341202613108193E-2</v>
      </c>
      <c r="O187" s="4">
        <f t="shared" ca="1" si="45"/>
        <v>3.0601663439143625E-2</v>
      </c>
      <c r="P187" s="4">
        <f t="shared" ca="1" si="45"/>
        <v>3.3314723908081864E-2</v>
      </c>
      <c r="Q187" s="4">
        <f t="shared" ca="1" si="45"/>
        <v>2.5723725220701175E-2</v>
      </c>
    </row>
    <row r="188" spans="1:17">
      <c r="A188" t="s">
        <v>198</v>
      </c>
      <c r="B188" s="1">
        <v>460.52</v>
      </c>
      <c r="C188" s="4">
        <f t="shared" si="34"/>
        <v>2.2832267235252248E-2</v>
      </c>
      <c r="D188" s="4">
        <f t="shared" ca="1" si="44"/>
        <v>-1.3767215771959964E-2</v>
      </c>
      <c r="E188" s="4">
        <f t="shared" ca="1" si="44"/>
        <v>-4.0587006417979264E-2</v>
      </c>
      <c r="F188" s="4">
        <f t="shared" ca="1" si="44"/>
        <v>-2.7232213416528036E-2</v>
      </c>
      <c r="G188" s="4">
        <f t="shared" ca="1" si="44"/>
        <v>-2.1258140658252551E-2</v>
      </c>
      <c r="H188" s="4">
        <f t="shared" ca="1" si="44"/>
        <v>-6.0583880390476463E-2</v>
      </c>
      <c r="J188" t="s">
        <v>198</v>
      </c>
      <c r="K188" s="1">
        <v>261.26</v>
      </c>
      <c r="L188" s="4">
        <f t="shared" si="35"/>
        <v>-3.4658587052911603E-2</v>
      </c>
      <c r="M188" s="4">
        <f t="shared" ca="1" si="45"/>
        <v>4.6260664454037936E-3</v>
      </c>
      <c r="N188" s="4">
        <f t="shared" ca="1" si="45"/>
        <v>-2.9308795416716174E-2</v>
      </c>
      <c r="O188" s="4">
        <f t="shared" ca="1" si="45"/>
        <v>5.9254781138688845E-3</v>
      </c>
      <c r="P188" s="4">
        <f t="shared" ca="1" si="45"/>
        <v>1.1994259010834708E-2</v>
      </c>
      <c r="Q188" s="4">
        <f t="shared" ca="1" si="45"/>
        <v>-1.5857561715724451E-2</v>
      </c>
    </row>
    <row r="189" spans="1:17">
      <c r="A189" t="s">
        <v>199</v>
      </c>
      <c r="B189" s="1">
        <v>441.31</v>
      </c>
      <c r="C189" s="4">
        <f t="shared" si="34"/>
        <v>-4.1713714930947582E-2</v>
      </c>
      <c r="D189" s="4">
        <f t="shared" ca="1" si="44"/>
        <v>-1.0605645681048121E-2</v>
      </c>
      <c r="E189" s="4">
        <f t="shared" ca="1" si="44"/>
        <v>-3.2865739942896814E-2</v>
      </c>
      <c r="F189" s="4">
        <f t="shared" ca="1" si="44"/>
        <v>-4.1884968723395789E-3</v>
      </c>
      <c r="G189" s="4">
        <f t="shared" ca="1" si="44"/>
        <v>4.5721113795720069E-3</v>
      </c>
      <c r="H189" s="4">
        <f t="shared" ca="1" si="44"/>
        <v>4.1014040736522435E-2</v>
      </c>
      <c r="J189" t="s">
        <v>199</v>
      </c>
      <c r="K189" s="1">
        <v>256.52</v>
      </c>
      <c r="L189" s="4">
        <f t="shared" si="35"/>
        <v>-1.8142846206843793E-2</v>
      </c>
      <c r="M189" s="4">
        <f t="shared" ca="1" si="45"/>
        <v>-3.2467627987537141E-2</v>
      </c>
      <c r="N189" s="4">
        <f t="shared" ca="1" si="45"/>
        <v>1.3480301037069509E-2</v>
      </c>
      <c r="O189" s="4">
        <f t="shared" ca="1" si="45"/>
        <v>-4.1003488086218495E-2</v>
      </c>
      <c r="P189" s="4">
        <f t="shared" ca="1" si="45"/>
        <v>-8.9504256875352851E-4</v>
      </c>
      <c r="Q189" s="4">
        <f t="shared" ca="1" si="45"/>
        <v>3.1071816746592127E-2</v>
      </c>
    </row>
    <row r="190" spans="1:17">
      <c r="A190" t="s">
        <v>200</v>
      </c>
      <c r="B190" s="1">
        <v>427.34</v>
      </c>
      <c r="C190" s="4">
        <f t="shared" si="34"/>
        <v>-3.1655752192336517E-2</v>
      </c>
      <c r="D190" s="4">
        <f t="shared" ca="1" si="44"/>
        <v>-2.1554049100020053E-2</v>
      </c>
      <c r="E190" s="4">
        <f t="shared" ca="1" si="44"/>
        <v>3.1729074689126578E-2</v>
      </c>
      <c r="F190" s="4">
        <f t="shared" ca="1" si="44"/>
        <v>-8.1002933921759442E-3</v>
      </c>
      <c r="G190" s="4">
        <f t="shared" ca="1" si="44"/>
        <v>3.2691582150024365E-2</v>
      </c>
      <c r="H190" s="4">
        <f t="shared" ca="1" si="44"/>
        <v>-4.6329925684874929E-2</v>
      </c>
      <c r="J190" t="s">
        <v>200</v>
      </c>
      <c r="K190" s="1">
        <v>250.02</v>
      </c>
      <c r="L190" s="4">
        <f t="shared" si="35"/>
        <v>-2.5339154841727631E-2</v>
      </c>
      <c r="M190" s="4">
        <f t="shared" ca="1" si="45"/>
        <v>9.4061965149816202E-3</v>
      </c>
      <c r="N190" s="4">
        <f t="shared" ca="1" si="45"/>
        <v>-1.3782240259111792E-2</v>
      </c>
      <c r="O190" s="4">
        <f t="shared" ca="1" si="45"/>
        <v>1.6188784450465506E-2</v>
      </c>
      <c r="P190" s="4">
        <f t="shared" ca="1" si="45"/>
        <v>4.9032462499857668E-2</v>
      </c>
      <c r="Q190" s="4">
        <f t="shared" ca="1" si="45"/>
        <v>-1.5393222123683187E-2</v>
      </c>
    </row>
    <row r="191" spans="1:17">
      <c r="A191" t="s">
        <v>201</v>
      </c>
      <c r="B191" s="1">
        <v>428.05</v>
      </c>
      <c r="C191" s="4">
        <f t="shared" si="34"/>
        <v>1.6614405391492404E-3</v>
      </c>
      <c r="D191" s="4">
        <f t="shared" ca="1" si="44"/>
        <v>1.3233774207656318E-2</v>
      </c>
      <c r="E191" s="4">
        <f t="shared" ca="1" si="44"/>
        <v>-3.4664867842803794E-2</v>
      </c>
      <c r="F191" s="4">
        <f t="shared" ca="1" si="44"/>
        <v>-1.6111501210269503E-2</v>
      </c>
      <c r="G191" s="4">
        <f t="shared" ca="1" si="44"/>
        <v>-4.0124658665119016E-2</v>
      </c>
      <c r="H191" s="4">
        <f t="shared" ca="1" si="44"/>
        <v>-2.4744439143512195E-2</v>
      </c>
      <c r="J191" t="s">
        <v>201</v>
      </c>
      <c r="K191" s="1">
        <v>253.79</v>
      </c>
      <c r="L191" s="4">
        <f t="shared" si="35"/>
        <v>1.5078793696504207E-2</v>
      </c>
      <c r="M191" s="4">
        <f t="shared" ca="1" si="45"/>
        <v>-1.3111594339263779E-2</v>
      </c>
      <c r="N191" s="4">
        <f t="shared" ca="1" si="45"/>
        <v>1.6043281207026416E-3</v>
      </c>
      <c r="O191" s="4">
        <f t="shared" ca="1" si="45"/>
        <v>-3.4041086009662797E-2</v>
      </c>
      <c r="P191" s="4">
        <f t="shared" ca="1" si="45"/>
        <v>-7.1654850038156241E-3</v>
      </c>
      <c r="Q191" s="4">
        <f t="shared" ca="1" si="45"/>
        <v>4.4075716417229682E-2</v>
      </c>
    </row>
    <row r="192" spans="1:17">
      <c r="A192" t="s">
        <v>202</v>
      </c>
      <c r="B192" s="1">
        <v>416.67</v>
      </c>
      <c r="C192" s="4">
        <f t="shared" si="34"/>
        <v>-2.6585679243079068E-2</v>
      </c>
      <c r="D192" s="4">
        <f t="shared" ca="1" si="44"/>
        <v>-1.4343438529886735E-2</v>
      </c>
      <c r="E192" s="4">
        <f t="shared" ca="1" si="44"/>
        <v>-4.6197092753854805E-3</v>
      </c>
      <c r="F192" s="4">
        <f t="shared" ca="1" si="44"/>
        <v>-9.7112361956968214E-3</v>
      </c>
      <c r="G192" s="4">
        <f t="shared" ca="1" si="44"/>
        <v>-9.6360814352621968E-4</v>
      </c>
      <c r="H192" s="4">
        <f t="shared" ca="1" si="44"/>
        <v>2.650624579010372E-2</v>
      </c>
      <c r="J192" t="s">
        <v>202</v>
      </c>
      <c r="K192" s="1">
        <v>246.03</v>
      </c>
      <c r="L192" s="4">
        <f t="shared" si="35"/>
        <v>-3.0576460853461489E-2</v>
      </c>
      <c r="M192" s="4">
        <f t="shared" ca="1" si="45"/>
        <v>4.056814858060526E-3</v>
      </c>
      <c r="N192" s="4">
        <f t="shared" ca="1" si="45"/>
        <v>-2.87933506595194E-2</v>
      </c>
      <c r="O192" s="4">
        <f t="shared" ca="1" si="45"/>
        <v>5.8930118152615736E-2</v>
      </c>
      <c r="P192" s="4">
        <f t="shared" ca="1" si="45"/>
        <v>7.5117740520794533E-3</v>
      </c>
      <c r="Q192" s="4">
        <f t="shared" ca="1" si="45"/>
        <v>-1.4840055389666753E-2</v>
      </c>
    </row>
    <row r="193" spans="1:17">
      <c r="A193" t="s">
        <v>203</v>
      </c>
      <c r="B193" s="1">
        <v>411.74</v>
      </c>
      <c r="C193" s="4">
        <f t="shared" si="34"/>
        <v>-1.1831905344757258E-2</v>
      </c>
      <c r="D193" s="4">
        <f t="shared" ca="1" si="44"/>
        <v>1.9836954703260048E-4</v>
      </c>
      <c r="E193" s="4">
        <f t="shared" ca="1" si="44"/>
        <v>6.6292085560065344E-3</v>
      </c>
      <c r="F193" s="4">
        <f t="shared" ca="1" si="44"/>
        <v>9.0517360603744271E-3</v>
      </c>
      <c r="G193" s="4">
        <f t="shared" ca="1" si="44"/>
        <v>3.1965500461869314E-2</v>
      </c>
      <c r="H193" s="4">
        <f t="shared" ca="1" si="44"/>
        <v>6.7177640699465548E-3</v>
      </c>
      <c r="J193" t="s">
        <v>203</v>
      </c>
      <c r="K193" s="1">
        <v>245.22</v>
      </c>
      <c r="L193" s="4">
        <f t="shared" si="35"/>
        <v>-3.2922814290940222E-3</v>
      </c>
      <c r="M193" s="4">
        <f t="shared" ca="1" si="45"/>
        <v>3.3413654091979474E-2</v>
      </c>
      <c r="N193" s="4">
        <f t="shared" ca="1" si="45"/>
        <v>-5.3986789251998834E-3</v>
      </c>
      <c r="O193" s="4">
        <f t="shared" ca="1" si="45"/>
        <v>8.6426693276674786E-3</v>
      </c>
      <c r="P193" s="4">
        <f t="shared" ca="1" si="45"/>
        <v>-1.3419526018697909E-2</v>
      </c>
      <c r="Q193" s="4">
        <f t="shared" ca="1" si="45"/>
        <v>4.4581968600257638E-4</v>
      </c>
    </row>
    <row r="194" spans="1:17">
      <c r="A194" t="s">
        <v>204</v>
      </c>
      <c r="B194" s="1">
        <v>403.41</v>
      </c>
      <c r="C194" s="4">
        <f t="shared" si="34"/>
        <v>-2.0231213872832332E-2</v>
      </c>
      <c r="D194" s="4">
        <f t="shared" ca="1" si="44"/>
        <v>7.8818639271500523E-3</v>
      </c>
      <c r="E194" s="4">
        <f t="shared" ca="1" si="44"/>
        <v>3.0402692914402573E-2</v>
      </c>
      <c r="F194" s="4">
        <f t="shared" ca="1" si="44"/>
        <v>8.3168482284311958E-3</v>
      </c>
      <c r="G194" s="4">
        <f t="shared" ca="1" si="44"/>
        <v>-1.3063400910092825E-2</v>
      </c>
      <c r="H194" s="4">
        <f t="shared" ca="1" si="44"/>
        <v>-2.0328294921345753E-2</v>
      </c>
      <c r="J194" t="s">
        <v>204</v>
      </c>
      <c r="K194" s="1">
        <v>244.19</v>
      </c>
      <c r="L194" s="4">
        <f t="shared" si="35"/>
        <v>-4.2003099257809364E-3</v>
      </c>
      <c r="M194" s="4">
        <f t="shared" ca="1" si="45"/>
        <v>-2.0852511427778407E-2</v>
      </c>
      <c r="N194" s="4">
        <f t="shared" ca="1" si="45"/>
        <v>3.6778516294498718E-3</v>
      </c>
      <c r="O194" s="4">
        <f t="shared" ca="1" si="45"/>
        <v>-2.9043496610832017E-3</v>
      </c>
      <c r="P194" s="4">
        <f t="shared" ca="1" si="45"/>
        <v>2.0141908004379035E-2</v>
      </c>
      <c r="Q194" s="4">
        <f t="shared" ca="1" si="45"/>
        <v>3.0821711532981175E-2</v>
      </c>
    </row>
    <row r="195" spans="1:17">
      <c r="A195" t="s">
        <v>205</v>
      </c>
      <c r="B195" s="1">
        <v>397.36</v>
      </c>
      <c r="C195" s="4">
        <f t="shared" si="34"/>
        <v>-1.4997149302198783E-2</v>
      </c>
      <c r="D195" s="4">
        <f t="shared" ca="1" si="44"/>
        <v>-3.2581509610325431E-2</v>
      </c>
      <c r="E195" s="4">
        <f t="shared" ca="1" si="44"/>
        <v>-2.7381365168460976E-2</v>
      </c>
      <c r="F195" s="4">
        <f t="shared" ca="1" si="44"/>
        <v>-1.4223210725284345E-3</v>
      </c>
      <c r="G195" s="4">
        <f t="shared" ca="1" si="44"/>
        <v>-1.8336110186488848E-2</v>
      </c>
      <c r="H195" s="4">
        <f t="shared" ca="1" si="44"/>
        <v>9.2745741822884403E-3</v>
      </c>
      <c r="J195" t="s">
        <v>205</v>
      </c>
      <c r="K195" s="1">
        <v>238</v>
      </c>
      <c r="L195" s="4">
        <f t="shared" si="35"/>
        <v>-2.5349113395306926E-2</v>
      </c>
      <c r="M195" s="4">
        <f t="shared" ca="1" si="45"/>
        <v>-9.685071711257473E-3</v>
      </c>
      <c r="N195" s="4">
        <f t="shared" ca="1" si="45"/>
        <v>-4.5161780995427179E-3</v>
      </c>
      <c r="O195" s="4">
        <f t="shared" ca="1" si="45"/>
        <v>3.2522154076860231E-2</v>
      </c>
      <c r="P195" s="4">
        <f t="shared" ca="1" si="45"/>
        <v>2.795255189065602E-2</v>
      </c>
      <c r="Q195" s="4">
        <f t="shared" ca="1" si="45"/>
        <v>-1.5393696912052744E-2</v>
      </c>
    </row>
    <row r="196" spans="1:17">
      <c r="A196" t="s">
        <v>206</v>
      </c>
      <c r="B196" s="1">
        <v>390.34</v>
      </c>
      <c r="C196" s="4">
        <f t="shared" si="34"/>
        <v>-1.7666599557076803E-2</v>
      </c>
      <c r="D196" s="4">
        <f t="shared" ref="D196:H205" ca="1" si="46">NORMINV(RAND(), $C$6, $C$7)</f>
        <v>4.6716098746885856E-3</v>
      </c>
      <c r="E196" s="4">
        <f t="shared" ca="1" si="46"/>
        <v>-8.2832209345884552E-4</v>
      </c>
      <c r="F196" s="4">
        <f t="shared" ca="1" si="46"/>
        <v>6.0752364586122015E-2</v>
      </c>
      <c r="G196" s="4">
        <f t="shared" ca="1" si="46"/>
        <v>-3.417912248399594E-2</v>
      </c>
      <c r="H196" s="4">
        <f t="shared" ca="1" si="46"/>
        <v>2.3631931741756099E-2</v>
      </c>
      <c r="J196" t="s">
        <v>206</v>
      </c>
      <c r="K196" s="1">
        <v>241.51</v>
      </c>
      <c r="L196" s="4">
        <f t="shared" si="35"/>
        <v>1.4747899159663827E-2</v>
      </c>
      <c r="M196" s="4">
        <f t="shared" ref="M196:Q205" ca="1" si="47">NORMINV(RAND(), $L$6, $L$7)</f>
        <v>-1.6060173816112109E-2</v>
      </c>
      <c r="N196" s="4">
        <f t="shared" ca="1" si="47"/>
        <v>2.3129551054936127E-2</v>
      </c>
      <c r="O196" s="4">
        <f t="shared" ca="1" si="47"/>
        <v>2.4233043387712989E-2</v>
      </c>
      <c r="P196" s="4">
        <f t="shared" ca="1" si="47"/>
        <v>-3.352902369857904E-2</v>
      </c>
      <c r="Q196" s="4">
        <f t="shared" ca="1" si="47"/>
        <v>1.7799422169629139E-2</v>
      </c>
    </row>
    <row r="197" spans="1:17">
      <c r="A197" t="s">
        <v>207</v>
      </c>
      <c r="B197" s="1">
        <v>390.74</v>
      </c>
      <c r="C197" s="4">
        <f t="shared" si="34"/>
        <v>1.0247476558898246E-3</v>
      </c>
      <c r="D197" s="4">
        <f t="shared" ca="1" si="46"/>
        <v>2.1651190834936735E-2</v>
      </c>
      <c r="E197" s="4">
        <f t="shared" ca="1" si="46"/>
        <v>2.9017128880084089E-2</v>
      </c>
      <c r="F197" s="4">
        <f t="shared" ca="1" si="46"/>
        <v>-7.2267142085558787E-3</v>
      </c>
      <c r="G197" s="4">
        <f t="shared" ca="1" si="46"/>
        <v>1.1801435932941138E-2</v>
      </c>
      <c r="H197" s="4">
        <f t="shared" ca="1" si="46"/>
        <v>7.8672047845397639E-4</v>
      </c>
      <c r="J197" t="s">
        <v>207</v>
      </c>
      <c r="K197" s="1">
        <v>238.55</v>
      </c>
      <c r="L197" s="4">
        <f t="shared" si="35"/>
        <v>-1.2256221274481303E-2</v>
      </c>
      <c r="M197" s="4">
        <f t="shared" ca="1" si="47"/>
        <v>3.0062929867047468E-3</v>
      </c>
      <c r="N197" s="4">
        <f t="shared" ca="1" si="47"/>
        <v>2.0217639495403204E-2</v>
      </c>
      <c r="O197" s="4">
        <f t="shared" ca="1" si="47"/>
        <v>3.1987223836832251E-2</v>
      </c>
      <c r="P197" s="4">
        <f t="shared" ca="1" si="47"/>
        <v>4.2583633893499687E-2</v>
      </c>
      <c r="Q197" s="4">
        <f t="shared" ca="1" si="47"/>
        <v>3.1198844286141471E-3</v>
      </c>
    </row>
    <row r="198" spans="1:17">
      <c r="A198" t="s">
        <v>208</v>
      </c>
      <c r="B198" s="1">
        <v>399.76</v>
      </c>
      <c r="C198" s="4">
        <f t="shared" si="34"/>
        <v>2.3084403951476637E-2</v>
      </c>
      <c r="D198" s="4">
        <f t="shared" ca="1" si="46"/>
        <v>2.9169292257448756E-2</v>
      </c>
      <c r="E198" s="4">
        <f t="shared" ca="1" si="46"/>
        <v>2.8152766338001199E-2</v>
      </c>
      <c r="F198" s="4">
        <f t="shared" ca="1" si="46"/>
        <v>1.7244229439100864E-3</v>
      </c>
      <c r="G198" s="4">
        <f t="shared" ca="1" si="46"/>
        <v>-4.183716878201145E-2</v>
      </c>
      <c r="H198" s="4">
        <f t="shared" ca="1" si="46"/>
        <v>4.7188518230337449E-3</v>
      </c>
      <c r="J198" t="s">
        <v>208</v>
      </c>
      <c r="K198" s="1">
        <v>246.02</v>
      </c>
      <c r="L198" s="4">
        <f t="shared" si="35"/>
        <v>3.131418989729616E-2</v>
      </c>
      <c r="M198" s="4">
        <f t="shared" ca="1" si="47"/>
        <v>-2.0564042838868857E-2</v>
      </c>
      <c r="N198" s="4">
        <f t="shared" ca="1" si="47"/>
        <v>-2.3323763245099327E-2</v>
      </c>
      <c r="O198" s="4">
        <f t="shared" ca="1" si="47"/>
        <v>-1.7891803739711946E-2</v>
      </c>
      <c r="P198" s="4">
        <f t="shared" ca="1" si="47"/>
        <v>-3.0601622284970941E-2</v>
      </c>
      <c r="Q198" s="4">
        <f t="shared" ca="1" si="47"/>
        <v>2.5874954186964502E-2</v>
      </c>
    </row>
    <row r="199" spans="1:17">
      <c r="A199" t="s">
        <v>209</v>
      </c>
      <c r="B199" s="1">
        <v>393.83</v>
      </c>
      <c r="C199" s="4">
        <f t="shared" si="34"/>
        <v>-1.483390034020414E-2</v>
      </c>
      <c r="D199" s="4">
        <f t="shared" ca="1" si="46"/>
        <v>3.4519180821821482E-2</v>
      </c>
      <c r="E199" s="4">
        <f t="shared" ca="1" si="46"/>
        <v>1.6590095216923374E-2</v>
      </c>
      <c r="F199" s="4">
        <f t="shared" ca="1" si="46"/>
        <v>2.4729112517448887E-2</v>
      </c>
      <c r="G199" s="4">
        <f t="shared" ca="1" si="46"/>
        <v>4.2542844607966375E-2</v>
      </c>
      <c r="H199" s="4">
        <f t="shared" ca="1" si="46"/>
        <v>1.0166344489212399E-2</v>
      </c>
      <c r="J199" t="s">
        <v>209</v>
      </c>
      <c r="K199" s="1">
        <v>246</v>
      </c>
      <c r="L199" s="4">
        <f t="shared" si="35"/>
        <v>-8.1294203723316114E-5</v>
      </c>
      <c r="M199" s="4">
        <f t="shared" ca="1" si="47"/>
        <v>7.0878030528551388E-3</v>
      </c>
      <c r="N199" s="4">
        <f t="shared" ca="1" si="47"/>
        <v>2.4122989922799962E-2</v>
      </c>
      <c r="O199" s="4">
        <f t="shared" ca="1" si="47"/>
        <v>-2.0866784927220883E-2</v>
      </c>
      <c r="P199" s="4">
        <f t="shared" ca="1" si="47"/>
        <v>-2.8281895510722629E-2</v>
      </c>
      <c r="Q199" s="4">
        <f t="shared" ca="1" si="47"/>
        <v>1.1274837557977385E-3</v>
      </c>
    </row>
    <row r="200" spans="1:17">
      <c r="A200" t="s">
        <v>210</v>
      </c>
      <c r="B200" s="1">
        <v>378.91</v>
      </c>
      <c r="C200" s="4">
        <f t="shared" si="34"/>
        <v>-3.7884366350963511E-2</v>
      </c>
      <c r="D200" s="4">
        <f t="shared" ca="1" si="46"/>
        <v>-1.1495025609731063E-2</v>
      </c>
      <c r="E200" s="4">
        <f t="shared" ca="1" si="46"/>
        <v>2.9900077414204997E-2</v>
      </c>
      <c r="F200" s="4">
        <f t="shared" ca="1" si="46"/>
        <v>-2.2540153837754932E-2</v>
      </c>
      <c r="G200" s="4">
        <f t="shared" ca="1" si="46"/>
        <v>-2.1220586590270764E-3</v>
      </c>
      <c r="H200" s="4">
        <f t="shared" ca="1" si="46"/>
        <v>1.0947138115982229E-2</v>
      </c>
      <c r="J200" t="s">
        <v>210</v>
      </c>
      <c r="K200" s="1">
        <v>237.5</v>
      </c>
      <c r="L200" s="4">
        <f t="shared" si="35"/>
        <v>-3.4552845528455285E-2</v>
      </c>
      <c r="M200" s="4">
        <f t="shared" ca="1" si="47"/>
        <v>1.2335809839670548E-2</v>
      </c>
      <c r="N200" s="4">
        <f t="shared" ca="1" si="47"/>
        <v>-5.3396266837882435E-2</v>
      </c>
      <c r="O200" s="4">
        <f t="shared" ca="1" si="47"/>
        <v>-1.999842441906504E-3</v>
      </c>
      <c r="P200" s="4">
        <f t="shared" ca="1" si="47"/>
        <v>-1.5291365008165001E-2</v>
      </c>
      <c r="Q200" s="4">
        <f t="shared" ca="1" si="47"/>
        <v>6.1046389635216669E-3</v>
      </c>
    </row>
    <row r="201" spans="1:17">
      <c r="A201" t="s">
        <v>211</v>
      </c>
      <c r="B201" s="1">
        <v>379.4</v>
      </c>
      <c r="C201" s="4">
        <f t="shared" si="34"/>
        <v>1.2931830777755989E-3</v>
      </c>
      <c r="D201" s="4">
        <f t="shared" ca="1" si="46"/>
        <v>7.0211951224522645E-4</v>
      </c>
      <c r="E201" s="4">
        <f t="shared" ca="1" si="46"/>
        <v>1.7132139307250552E-2</v>
      </c>
      <c r="F201" s="4">
        <f t="shared" ca="1" si="46"/>
        <v>7.3415653358080736E-3</v>
      </c>
      <c r="G201" s="4">
        <f t="shared" ca="1" si="46"/>
        <v>-2.1497422241944942E-2</v>
      </c>
      <c r="H201" s="4">
        <f t="shared" ca="1" si="46"/>
        <v>1.6808319475264885E-2</v>
      </c>
      <c r="J201" t="s">
        <v>211</v>
      </c>
      <c r="K201" s="1">
        <v>244.39</v>
      </c>
      <c r="L201" s="4">
        <f t="shared" si="35"/>
        <v>2.9010526315789417E-2</v>
      </c>
      <c r="M201" s="4">
        <f t="shared" ca="1" si="47"/>
        <v>-5.5178124879525156E-2</v>
      </c>
      <c r="N201" s="4">
        <f t="shared" ca="1" si="47"/>
        <v>-3.2824325189638577E-2</v>
      </c>
      <c r="O201" s="4">
        <f t="shared" ca="1" si="47"/>
        <v>-6.8917484719926234E-3</v>
      </c>
      <c r="P201" s="4">
        <f t="shared" ca="1" si="47"/>
        <v>2.0087014882199561E-3</v>
      </c>
      <c r="Q201" s="4">
        <f t="shared" ca="1" si="47"/>
        <v>-1.415126732402492E-2</v>
      </c>
    </row>
    <row r="202" spans="1:17">
      <c r="A202" t="s">
        <v>212</v>
      </c>
      <c r="B202" s="1">
        <v>367.34</v>
      </c>
      <c r="C202" s="4">
        <f t="shared" si="34"/>
        <v>-3.1787032156035851E-2</v>
      </c>
      <c r="D202" s="4">
        <f t="shared" ca="1" si="46"/>
        <v>3.2535878046679532E-2</v>
      </c>
      <c r="E202" s="4">
        <f t="shared" ca="1" si="46"/>
        <v>3.4272648729975271E-2</v>
      </c>
      <c r="F202" s="4">
        <f t="shared" ca="1" si="46"/>
        <v>1.2267095347864416E-3</v>
      </c>
      <c r="G202" s="4">
        <f t="shared" ca="1" si="46"/>
        <v>2.0034437450369234E-2</v>
      </c>
      <c r="H202" s="4">
        <f t="shared" ca="1" si="46"/>
        <v>-1.2622675232811444E-2</v>
      </c>
      <c r="J202" t="s">
        <v>212</v>
      </c>
      <c r="K202" s="1">
        <v>232.79</v>
      </c>
      <c r="L202" s="4">
        <f t="shared" si="35"/>
        <v>-4.7465117230655898E-2</v>
      </c>
      <c r="M202" s="4">
        <f t="shared" ca="1" si="47"/>
        <v>6.2390056064494286E-3</v>
      </c>
      <c r="N202" s="4">
        <f t="shared" ca="1" si="47"/>
        <v>9.5632946021549561E-3</v>
      </c>
      <c r="O202" s="4">
        <f t="shared" ca="1" si="47"/>
        <v>1.1626493581642992E-3</v>
      </c>
      <c r="P202" s="4">
        <f t="shared" ca="1" si="47"/>
        <v>1.0613557905743762E-2</v>
      </c>
      <c r="Q202" s="4">
        <f t="shared" ca="1" si="47"/>
        <v>-2.1051487139583182E-2</v>
      </c>
    </row>
    <row r="203" spans="1:17">
      <c r="A203" t="s">
        <v>213</v>
      </c>
      <c r="B203" s="1">
        <v>373.94</v>
      </c>
      <c r="C203" s="4">
        <f t="shared" si="34"/>
        <v>1.7967006043447552E-2</v>
      </c>
      <c r="D203" s="4">
        <f t="shared" ca="1" si="46"/>
        <v>-1.5816466433954943E-2</v>
      </c>
      <c r="E203" s="4">
        <f t="shared" ca="1" si="46"/>
        <v>3.7950577985118195E-2</v>
      </c>
      <c r="F203" s="4">
        <f t="shared" ca="1" si="46"/>
        <v>8.4920002031984767E-3</v>
      </c>
      <c r="G203" s="4">
        <f t="shared" ca="1" si="46"/>
        <v>-2.9076821414428477E-2</v>
      </c>
      <c r="H203" s="4">
        <f t="shared" ca="1" si="46"/>
        <v>-7.7046629932834183E-3</v>
      </c>
      <c r="J203" t="s">
        <v>213</v>
      </c>
      <c r="K203" s="1">
        <v>234.11</v>
      </c>
      <c r="L203" s="4">
        <f t="shared" si="35"/>
        <v>5.6703466643757104E-3</v>
      </c>
      <c r="M203" s="4">
        <f t="shared" ca="1" si="47"/>
        <v>1.2904273602455399E-2</v>
      </c>
      <c r="N203" s="4">
        <f t="shared" ca="1" si="47"/>
        <v>1.5131812535163408E-2</v>
      </c>
      <c r="O203" s="4">
        <f t="shared" ca="1" si="47"/>
        <v>-7.3705983703647501E-3</v>
      </c>
      <c r="P203" s="4">
        <f t="shared" ca="1" si="47"/>
        <v>2.1603029173914445E-2</v>
      </c>
      <c r="Q203" s="4">
        <f t="shared" ca="1" si="47"/>
        <v>5.5324839599779484E-2</v>
      </c>
    </row>
    <row r="204" spans="1:17">
      <c r="A204" t="s">
        <v>214</v>
      </c>
      <c r="B204" s="1">
        <v>365.46</v>
      </c>
      <c r="C204" s="4">
        <f t="shared" si="34"/>
        <v>-2.2677434882601537E-2</v>
      </c>
      <c r="D204" s="4">
        <f t="shared" ca="1" si="46"/>
        <v>-1.316747784380432E-2</v>
      </c>
      <c r="E204" s="4">
        <f t="shared" ca="1" si="46"/>
        <v>2.0503651679058769E-2</v>
      </c>
      <c r="F204" s="4">
        <f t="shared" ca="1" si="46"/>
        <v>-3.2077538480346198E-3</v>
      </c>
      <c r="G204" s="4">
        <f t="shared" ca="1" si="46"/>
        <v>1.4456112503824598E-3</v>
      </c>
      <c r="H204" s="4">
        <f t="shared" ca="1" si="46"/>
        <v>-1.0301569948186736E-3</v>
      </c>
      <c r="J204" t="s">
        <v>214</v>
      </c>
      <c r="K204" s="1">
        <v>234.27</v>
      </c>
      <c r="L204" s="4">
        <f t="shared" si="35"/>
        <v>6.8343940882489677E-4</v>
      </c>
      <c r="M204" s="4">
        <f t="shared" ca="1" si="47"/>
        <v>-1.9703348265762144E-2</v>
      </c>
      <c r="N204" s="4">
        <f t="shared" ca="1" si="47"/>
        <v>6.5556490554310514E-3</v>
      </c>
      <c r="O204" s="4">
        <f t="shared" ca="1" si="47"/>
        <v>2.025944190949476E-2</v>
      </c>
      <c r="P204" s="4">
        <f t="shared" ca="1" si="47"/>
        <v>2.0153147619372234E-2</v>
      </c>
      <c r="Q204" s="4">
        <f t="shared" ca="1" si="47"/>
        <v>3.174447128223918E-2</v>
      </c>
    </row>
    <row r="205" spans="1:17">
      <c r="A205" t="s">
        <v>215</v>
      </c>
      <c r="B205" s="1">
        <v>352.83</v>
      </c>
      <c r="C205" s="4">
        <f t="shared" si="34"/>
        <v>-3.4559185683795755E-2</v>
      </c>
      <c r="D205" s="4">
        <f t="shared" ca="1" si="46"/>
        <v>6.5253408128217016E-3</v>
      </c>
      <c r="E205" s="4">
        <f t="shared" ca="1" si="46"/>
        <v>1.8458616089144828E-2</v>
      </c>
      <c r="F205" s="4">
        <f t="shared" ca="1" si="46"/>
        <v>3.1211684332836904E-2</v>
      </c>
      <c r="G205" s="4">
        <f t="shared" ca="1" si="46"/>
        <v>1.6062355595288836E-2</v>
      </c>
      <c r="H205" s="4">
        <f t="shared" ca="1" si="46"/>
        <v>-7.467630212409873E-3</v>
      </c>
      <c r="J205" t="s">
        <v>215</v>
      </c>
      <c r="K205" s="1">
        <v>227.01</v>
      </c>
      <c r="L205" s="4">
        <f t="shared" si="35"/>
        <v>-3.0989883467793654E-2</v>
      </c>
      <c r="M205" s="4">
        <f t="shared" ca="1" si="47"/>
        <v>-1.9726205250620212E-2</v>
      </c>
      <c r="N205" s="4">
        <f t="shared" ca="1" si="47"/>
        <v>8.916859565903091E-3</v>
      </c>
      <c r="O205" s="4">
        <f t="shared" ca="1" si="47"/>
        <v>2.9107251420487246E-2</v>
      </c>
      <c r="P205" s="4">
        <f t="shared" ca="1" si="47"/>
        <v>2.0333004846672689E-2</v>
      </c>
      <c r="Q205" s="4">
        <f t="shared" ca="1" si="47"/>
        <v>8.8309662045022181E-3</v>
      </c>
    </row>
    <row r="206" spans="1:17">
      <c r="A206" t="s">
        <v>216</v>
      </c>
      <c r="B206" s="1">
        <v>372.97</v>
      </c>
      <c r="C206" s="4">
        <f t="shared" si="34"/>
        <v>5.7081313947226833E-2</v>
      </c>
      <c r="D206" s="4">
        <f t="shared" ref="D206:H215" ca="1" si="48">NORMINV(RAND(), $C$6, $C$7)</f>
        <v>9.6520968030039452E-3</v>
      </c>
      <c r="E206" s="4">
        <f t="shared" ca="1" si="48"/>
        <v>-9.9685946558084656E-3</v>
      </c>
      <c r="F206" s="4">
        <f t="shared" ca="1" si="48"/>
        <v>-2.2960372290635748E-2</v>
      </c>
      <c r="G206" s="4">
        <f t="shared" ca="1" si="48"/>
        <v>-2.6793205087815058E-2</v>
      </c>
      <c r="H206" s="4">
        <f t="shared" ca="1" si="48"/>
        <v>-1.9302317754916046E-2</v>
      </c>
      <c r="J206" t="s">
        <v>216</v>
      </c>
      <c r="K206" s="1">
        <v>232.69</v>
      </c>
      <c r="L206" s="4">
        <f t="shared" si="35"/>
        <v>2.5020924188361778E-2</v>
      </c>
      <c r="M206" s="4">
        <f t="shared" ref="M206:Q215" ca="1" si="49">NORMINV(RAND(), $L$6, $L$7)</f>
        <v>3.1311489980890547E-2</v>
      </c>
      <c r="N206" s="4">
        <f t="shared" ca="1" si="49"/>
        <v>2.8376262947545194E-2</v>
      </c>
      <c r="O206" s="4">
        <f t="shared" ca="1" si="49"/>
        <v>-6.1281822946752567E-3</v>
      </c>
      <c r="P206" s="4">
        <f t="shared" ca="1" si="49"/>
        <v>-1.8877570568740449E-3</v>
      </c>
      <c r="Q206" s="4">
        <f t="shared" ca="1" si="49"/>
        <v>-2.0301693366034292E-2</v>
      </c>
    </row>
    <row r="207" spans="1:17">
      <c r="A207" t="s">
        <v>217</v>
      </c>
      <c r="B207" s="1">
        <v>368.57</v>
      </c>
      <c r="C207" s="4">
        <f t="shared" si="34"/>
        <v>-1.1797195484891637E-2</v>
      </c>
      <c r="D207" s="4">
        <f t="shared" ca="1" si="48"/>
        <v>2.9719408760601165E-3</v>
      </c>
      <c r="E207" s="4">
        <f t="shared" ca="1" si="48"/>
        <v>6.1378574306968081E-3</v>
      </c>
      <c r="F207" s="4">
        <f t="shared" ca="1" si="48"/>
        <v>-1.2310073686828207E-2</v>
      </c>
      <c r="G207" s="4">
        <f t="shared" ca="1" si="48"/>
        <v>1.6880767065593563E-3</v>
      </c>
      <c r="H207" s="4">
        <f t="shared" ca="1" si="48"/>
        <v>1.3721485417748851E-2</v>
      </c>
      <c r="J207" t="s">
        <v>217</v>
      </c>
      <c r="K207" s="1">
        <v>240.14</v>
      </c>
      <c r="L207" s="4">
        <f t="shared" si="35"/>
        <v>3.20168464480639E-2</v>
      </c>
      <c r="M207" s="4">
        <f t="shared" ca="1" si="49"/>
        <v>9.2586366195814788E-3</v>
      </c>
      <c r="N207" s="4">
        <f t="shared" ca="1" si="49"/>
        <v>-5.623169413864126E-3</v>
      </c>
      <c r="O207" s="4">
        <f t="shared" ca="1" si="49"/>
        <v>3.2365094404271169E-2</v>
      </c>
      <c r="P207" s="4">
        <f t="shared" ca="1" si="49"/>
        <v>-1.8635540541692194E-2</v>
      </c>
      <c r="Q207" s="4">
        <f t="shared" ca="1" si="49"/>
        <v>-7.5242795337738758E-3</v>
      </c>
    </row>
    <row r="208" spans="1:17">
      <c r="A208" t="s">
        <v>218</v>
      </c>
      <c r="B208" s="1">
        <v>373.02</v>
      </c>
      <c r="C208" s="4">
        <f t="shared" ref="C208:C271" si="50">(B208-B207)/B207</f>
        <v>1.2073690208101551E-2</v>
      </c>
      <c r="D208" s="4">
        <f t="shared" ca="1" si="48"/>
        <v>2.5587351876925742E-2</v>
      </c>
      <c r="E208" s="4">
        <f t="shared" ca="1" si="48"/>
        <v>-2.256063816946597E-2</v>
      </c>
      <c r="F208" s="4">
        <f t="shared" ca="1" si="48"/>
        <v>5.0745155706568429E-3</v>
      </c>
      <c r="G208" s="4">
        <f t="shared" ca="1" si="48"/>
        <v>-2.3629263387433548E-2</v>
      </c>
      <c r="H208" s="4">
        <f t="shared" ca="1" si="48"/>
        <v>-2.0532868202910417E-2</v>
      </c>
      <c r="J208" t="s">
        <v>218</v>
      </c>
      <c r="K208" s="1">
        <v>238.34</v>
      </c>
      <c r="L208" s="4">
        <f t="shared" ref="L208:L271" si="51">(K208-K207)/K207</f>
        <v>-7.4956275505954151E-3</v>
      </c>
      <c r="M208" s="4">
        <f t="shared" ca="1" si="49"/>
        <v>-1.6616338355649962E-2</v>
      </c>
      <c r="N208" s="4">
        <f t="shared" ca="1" si="49"/>
        <v>1.3937880038831953E-2</v>
      </c>
      <c r="O208" s="4">
        <f t="shared" ca="1" si="49"/>
        <v>-3.1889429226434132E-2</v>
      </c>
      <c r="P208" s="4">
        <f t="shared" ca="1" si="49"/>
        <v>1.8981258229847673E-2</v>
      </c>
      <c r="Q208" s="4">
        <f t="shared" ca="1" si="49"/>
        <v>-3.8327644620292242E-2</v>
      </c>
    </row>
    <row r="209" spans="1:17">
      <c r="A209" t="s">
        <v>219</v>
      </c>
      <c r="B209" s="1">
        <v>384.28</v>
      </c>
      <c r="C209" s="4">
        <f t="shared" si="50"/>
        <v>3.0186049005415237E-2</v>
      </c>
      <c r="D209" s="4">
        <f t="shared" ca="1" si="48"/>
        <v>1.6808011840783673E-3</v>
      </c>
      <c r="E209" s="4">
        <f t="shared" ca="1" si="48"/>
        <v>3.7207765599208522E-3</v>
      </c>
      <c r="F209" s="4">
        <f t="shared" ca="1" si="48"/>
        <v>6.7166812415979677E-3</v>
      </c>
      <c r="G209" s="4">
        <f t="shared" ca="1" si="48"/>
        <v>2.9959891022518516E-3</v>
      </c>
      <c r="H209" s="4">
        <f t="shared" ca="1" si="48"/>
        <v>-3.2214345820365572E-2</v>
      </c>
      <c r="J209" t="s">
        <v>219</v>
      </c>
      <c r="K209" s="1">
        <v>241.7</v>
      </c>
      <c r="L209" s="4">
        <f t="shared" si="51"/>
        <v>1.4097507762020581E-2</v>
      </c>
      <c r="M209" s="4">
        <f t="shared" ca="1" si="49"/>
        <v>7.2603329681240024E-3</v>
      </c>
      <c r="N209" s="4">
        <f t="shared" ca="1" si="49"/>
        <v>-2.1481280171650269E-2</v>
      </c>
      <c r="O209" s="4">
        <f t="shared" ca="1" si="49"/>
        <v>3.2982800646331807E-2</v>
      </c>
      <c r="P209" s="4">
        <f t="shared" ca="1" si="49"/>
        <v>8.4556538444490034E-4</v>
      </c>
      <c r="Q209" s="4">
        <f t="shared" ca="1" si="49"/>
        <v>-4.3236049148823424E-2</v>
      </c>
    </row>
    <row r="210" spans="1:17">
      <c r="A210" t="s">
        <v>220</v>
      </c>
      <c r="B210" s="1">
        <v>390.49</v>
      </c>
      <c r="C210" s="4">
        <f t="shared" si="50"/>
        <v>1.6160091599875186E-2</v>
      </c>
      <c r="D210" s="4">
        <f t="shared" ca="1" si="48"/>
        <v>1.9724663285783591E-2</v>
      </c>
      <c r="E210" s="4">
        <f t="shared" ca="1" si="48"/>
        <v>2.443666306620634E-2</v>
      </c>
      <c r="F210" s="4">
        <f t="shared" ca="1" si="48"/>
        <v>8.4633804907149231E-3</v>
      </c>
      <c r="G210" s="4">
        <f t="shared" ca="1" si="48"/>
        <v>-5.5046032139246552E-3</v>
      </c>
      <c r="H210" s="4">
        <f t="shared" ca="1" si="48"/>
        <v>-2.6051787800735103E-2</v>
      </c>
      <c r="J210" t="s">
        <v>220</v>
      </c>
      <c r="K210" s="1">
        <v>242.67</v>
      </c>
      <c r="L210" s="4">
        <f t="shared" si="51"/>
        <v>4.0132395531650763E-3</v>
      </c>
      <c r="M210" s="4">
        <f t="shared" ca="1" si="49"/>
        <v>-6.7079280544784211E-3</v>
      </c>
      <c r="N210" s="4">
        <f t="shared" ca="1" si="49"/>
        <v>-4.0287036812672573E-2</v>
      </c>
      <c r="O210" s="4">
        <f t="shared" ca="1" si="49"/>
        <v>-2.6183010646481813E-3</v>
      </c>
      <c r="P210" s="4">
        <f t="shared" ca="1" si="49"/>
        <v>3.1233865677746677E-3</v>
      </c>
      <c r="Q210" s="4">
        <f t="shared" ca="1" si="49"/>
        <v>-4.1634750449775118E-2</v>
      </c>
    </row>
    <row r="211" spans="1:17">
      <c r="A211" t="s">
        <v>221</v>
      </c>
      <c r="B211" s="1">
        <v>386.74</v>
      </c>
      <c r="C211" s="4">
        <f t="shared" si="50"/>
        <v>-9.6033189070142636E-3</v>
      </c>
      <c r="D211" s="4">
        <f t="shared" ca="1" si="48"/>
        <v>3.1639013284262364E-2</v>
      </c>
      <c r="E211" s="4">
        <f t="shared" ca="1" si="48"/>
        <v>-1.3444551170557364E-2</v>
      </c>
      <c r="F211" s="4">
        <f t="shared" ca="1" si="48"/>
        <v>1.2549127191702996E-2</v>
      </c>
      <c r="G211" s="4">
        <f t="shared" ca="1" si="48"/>
        <v>1.3674724787757485E-2</v>
      </c>
      <c r="H211" s="4">
        <f t="shared" ca="1" si="48"/>
        <v>-1.1802425430856368E-2</v>
      </c>
      <c r="J211" t="s">
        <v>221</v>
      </c>
      <c r="K211" s="1">
        <v>244.16</v>
      </c>
      <c r="L211" s="4">
        <f t="shared" si="51"/>
        <v>6.1400255490996385E-3</v>
      </c>
      <c r="M211" s="4">
        <f t="shared" ca="1" si="49"/>
        <v>-2.542852457586426E-2</v>
      </c>
      <c r="N211" s="4">
        <f t="shared" ca="1" si="49"/>
        <v>-2.7254277670485235E-3</v>
      </c>
      <c r="O211" s="4">
        <f t="shared" ca="1" si="49"/>
        <v>-1.2710305630892945E-2</v>
      </c>
      <c r="P211" s="4">
        <f t="shared" ca="1" si="49"/>
        <v>1.0111032919083511E-2</v>
      </c>
      <c r="Q211" s="4">
        <f t="shared" ca="1" si="49"/>
        <v>-7.5869946066798363E-3</v>
      </c>
    </row>
    <row r="212" spans="1:17">
      <c r="A212" t="s">
        <v>222</v>
      </c>
      <c r="B212" s="1">
        <v>388.84</v>
      </c>
      <c r="C212" s="4">
        <f t="shared" si="50"/>
        <v>5.4300046542896151E-3</v>
      </c>
      <c r="D212" s="4">
        <f t="shared" ca="1" si="48"/>
        <v>-4.0410664840211611E-3</v>
      </c>
      <c r="E212" s="4">
        <f t="shared" ca="1" si="48"/>
        <v>3.7546801652564292E-2</v>
      </c>
      <c r="F212" s="4">
        <f t="shared" ca="1" si="48"/>
        <v>1.2756339735126116E-2</v>
      </c>
      <c r="G212" s="4">
        <f t="shared" ca="1" si="48"/>
        <v>2.1862082654629633E-2</v>
      </c>
      <c r="H212" s="4">
        <f t="shared" ca="1" si="48"/>
        <v>2.3852853257607209E-3</v>
      </c>
      <c r="J212" t="s">
        <v>222</v>
      </c>
      <c r="K212" s="1">
        <v>245.98</v>
      </c>
      <c r="L212" s="4">
        <f t="shared" si="51"/>
        <v>7.4541284403669443E-3</v>
      </c>
      <c r="M212" s="4">
        <f t="shared" ca="1" si="49"/>
        <v>8.2150797488892043E-3</v>
      </c>
      <c r="N212" s="4">
        <f t="shared" ca="1" si="49"/>
        <v>4.3374672436875925E-5</v>
      </c>
      <c r="O212" s="4">
        <f t="shared" ca="1" si="49"/>
        <v>1.0510041364450037E-2</v>
      </c>
      <c r="P212" s="4">
        <f t="shared" ca="1" si="49"/>
        <v>-1.7618831645294531E-2</v>
      </c>
      <c r="Q212" s="4">
        <f t="shared" ca="1" si="49"/>
        <v>-1.1176536886700872E-2</v>
      </c>
    </row>
    <row r="213" spans="1:17">
      <c r="A213" t="s">
        <v>223</v>
      </c>
      <c r="B213" s="1">
        <v>383.34</v>
      </c>
      <c r="C213" s="4">
        <f t="shared" si="50"/>
        <v>-1.4144635325583788E-2</v>
      </c>
      <c r="D213" s="4">
        <f t="shared" ca="1" si="48"/>
        <v>1.6219719747464261E-2</v>
      </c>
      <c r="E213" s="4">
        <f t="shared" ca="1" si="48"/>
        <v>1.5699279754855352E-2</v>
      </c>
      <c r="F213" s="4">
        <f t="shared" ca="1" si="48"/>
        <v>-5.1140652362185526E-2</v>
      </c>
      <c r="G213" s="4">
        <f t="shared" ca="1" si="48"/>
        <v>-2.497057796109332E-2</v>
      </c>
      <c r="H213" s="4">
        <f t="shared" ca="1" si="48"/>
        <v>-5.8208045902326446E-3</v>
      </c>
      <c r="J213" t="s">
        <v>223</v>
      </c>
      <c r="K213" s="1">
        <v>243.62</v>
      </c>
      <c r="L213" s="4">
        <f t="shared" si="51"/>
        <v>-9.5942759573948502E-3</v>
      </c>
      <c r="M213" s="4">
        <f t="shared" ca="1" si="49"/>
        <v>-8.9600483491708814E-3</v>
      </c>
      <c r="N213" s="4">
        <f t="shared" ca="1" si="49"/>
        <v>2.7009834955247086E-2</v>
      </c>
      <c r="O213" s="4">
        <f t="shared" ca="1" si="49"/>
        <v>1.0537414141692234E-2</v>
      </c>
      <c r="P213" s="4">
        <f t="shared" ca="1" si="49"/>
        <v>4.3574971277122586E-2</v>
      </c>
      <c r="Q213" s="4">
        <f t="shared" ca="1" si="49"/>
        <v>-1.8314643603361561E-2</v>
      </c>
    </row>
    <row r="214" spans="1:17">
      <c r="A214" t="s">
        <v>224</v>
      </c>
      <c r="B214" s="1">
        <v>384.36</v>
      </c>
      <c r="C214" s="4">
        <f t="shared" si="50"/>
        <v>2.6608232900298396E-3</v>
      </c>
      <c r="D214" s="4">
        <f t="shared" ca="1" si="48"/>
        <v>2.8241259934182607E-3</v>
      </c>
      <c r="E214" s="4">
        <f t="shared" ca="1" si="48"/>
        <v>-4.4976327268740216E-3</v>
      </c>
      <c r="F214" s="4">
        <f t="shared" ca="1" si="48"/>
        <v>2.5445080847945938E-2</v>
      </c>
      <c r="G214" s="4">
        <f t="shared" ca="1" si="48"/>
        <v>1.6905370771142188E-2</v>
      </c>
      <c r="H214" s="4">
        <f t="shared" ca="1" si="48"/>
        <v>-2.7282126134768737E-3</v>
      </c>
      <c r="J214" t="s">
        <v>224</v>
      </c>
      <c r="K214" s="1">
        <v>247.04</v>
      </c>
      <c r="L214" s="4">
        <f t="shared" si="51"/>
        <v>1.4038256300796271E-2</v>
      </c>
      <c r="M214" s="4">
        <f t="shared" ca="1" si="49"/>
        <v>3.9034845946860179E-3</v>
      </c>
      <c r="N214" s="4">
        <f t="shared" ca="1" si="49"/>
        <v>6.4404760770831017E-3</v>
      </c>
      <c r="O214" s="4">
        <f t="shared" ca="1" si="49"/>
        <v>-6.5531631210160096E-3</v>
      </c>
      <c r="P214" s="4">
        <f t="shared" ca="1" si="49"/>
        <v>1.2566253546961062E-3</v>
      </c>
      <c r="Q214" s="4">
        <f t="shared" ca="1" si="49"/>
        <v>-9.6080692209200131E-5</v>
      </c>
    </row>
    <row r="215" spans="1:17">
      <c r="A215" t="s">
        <v>225</v>
      </c>
      <c r="B215" s="1">
        <v>385.1</v>
      </c>
      <c r="C215" s="4">
        <f t="shared" si="50"/>
        <v>1.9252783848475623E-3</v>
      </c>
      <c r="D215" s="4">
        <f t="shared" ca="1" si="48"/>
        <v>2.2265962139267011E-2</v>
      </c>
      <c r="E215" s="4">
        <f t="shared" ca="1" si="48"/>
        <v>-2.5364588612450671E-4</v>
      </c>
      <c r="F215" s="4">
        <f t="shared" ca="1" si="48"/>
        <v>-2.0146241340536743E-2</v>
      </c>
      <c r="G215" s="4">
        <f t="shared" ca="1" si="48"/>
        <v>9.8811679601948001E-3</v>
      </c>
      <c r="H215" s="4">
        <f t="shared" ca="1" si="48"/>
        <v>-3.5021845048691948E-3</v>
      </c>
      <c r="J215" t="s">
        <v>225</v>
      </c>
      <c r="K215" s="1">
        <v>245.34</v>
      </c>
      <c r="L215" s="4">
        <f t="shared" si="51"/>
        <v>-6.881476683937778E-3</v>
      </c>
      <c r="M215" s="4">
        <f t="shared" ca="1" si="49"/>
        <v>-2.9275513554788218E-2</v>
      </c>
      <c r="N215" s="4">
        <f t="shared" ca="1" si="49"/>
        <v>5.2195444535946059E-3</v>
      </c>
      <c r="O215" s="4">
        <f t="shared" ca="1" si="49"/>
        <v>1.9212365834783862E-2</v>
      </c>
      <c r="P215" s="4">
        <f t="shared" ca="1" si="49"/>
        <v>3.0924572826414548E-4</v>
      </c>
      <c r="Q215" s="4">
        <f t="shared" ca="1" si="49"/>
        <v>2.5784472027265974E-3</v>
      </c>
    </row>
    <row r="216" spans="1:17">
      <c r="A216" t="s">
        <v>226</v>
      </c>
      <c r="B216" s="1">
        <v>390.99</v>
      </c>
      <c r="C216" s="4">
        <f t="shared" si="50"/>
        <v>1.5294728641911155E-2</v>
      </c>
      <c r="D216" s="4">
        <f t="shared" ref="D216:H225" ca="1" si="52">NORMINV(RAND(), $C$6, $C$7)</f>
        <v>-6.7485194170671912E-3</v>
      </c>
      <c r="E216" s="4">
        <f t="shared" ca="1" si="52"/>
        <v>8.1835451595443347E-3</v>
      </c>
      <c r="F216" s="4">
        <f t="shared" ca="1" si="52"/>
        <v>3.783617442143361E-3</v>
      </c>
      <c r="G216" s="4">
        <f t="shared" ca="1" si="52"/>
        <v>-2.61310016684826E-2</v>
      </c>
      <c r="H216" s="4">
        <f t="shared" ca="1" si="52"/>
        <v>2.6447656721795672E-2</v>
      </c>
      <c r="J216" t="s">
        <v>226</v>
      </c>
      <c r="K216" s="1">
        <v>247.31</v>
      </c>
      <c r="L216" s="4">
        <f t="shared" si="51"/>
        <v>8.0296731067090524E-3</v>
      </c>
      <c r="M216" s="4">
        <f t="shared" ref="M216:Q225" ca="1" si="53">NORMINV(RAND(), $L$6, $L$7)</f>
        <v>-1.8484174088658847E-2</v>
      </c>
      <c r="N216" s="4">
        <f t="shared" ca="1" si="53"/>
        <v>-1.2652276629977014E-2</v>
      </c>
      <c r="O216" s="4">
        <f t="shared" ca="1" si="53"/>
        <v>8.3139370344087627E-3</v>
      </c>
      <c r="P216" s="4">
        <f t="shared" ca="1" si="53"/>
        <v>-4.8540966771827366E-3</v>
      </c>
      <c r="Q216" s="4">
        <f t="shared" ca="1" si="53"/>
        <v>3.4543071558807578E-2</v>
      </c>
    </row>
    <row r="217" spans="1:17">
      <c r="A217" t="s">
        <v>227</v>
      </c>
      <c r="B217" s="1">
        <v>384.93</v>
      </c>
      <c r="C217" s="4">
        <f t="shared" si="50"/>
        <v>-1.549911762449168E-2</v>
      </c>
      <c r="D217" s="4">
        <f t="shared" ca="1" si="52"/>
        <v>-2.1718452841647082E-3</v>
      </c>
      <c r="E217" s="4">
        <f t="shared" ca="1" si="52"/>
        <v>-7.8157211194890898E-5</v>
      </c>
      <c r="F217" s="4">
        <f t="shared" ca="1" si="52"/>
        <v>2.6246099163490917E-2</v>
      </c>
      <c r="G217" s="4">
        <f t="shared" ca="1" si="52"/>
        <v>1.2369378797305779E-2</v>
      </c>
      <c r="H217" s="4">
        <f t="shared" ca="1" si="52"/>
        <v>-4.2444717903067065E-2</v>
      </c>
      <c r="J217" t="s">
        <v>227</v>
      </c>
      <c r="K217" s="1">
        <v>247.49</v>
      </c>
      <c r="L217" s="4">
        <f t="shared" si="51"/>
        <v>7.2783146658043278E-4</v>
      </c>
      <c r="M217" s="4">
        <f t="shared" ca="1" si="53"/>
        <v>4.8170117940674037E-2</v>
      </c>
      <c r="N217" s="4">
        <f t="shared" ca="1" si="53"/>
        <v>6.1854097102400632E-3</v>
      </c>
      <c r="O217" s="4">
        <f t="shared" ca="1" si="53"/>
        <v>-6.7599637235950969E-3</v>
      </c>
      <c r="P217" s="4">
        <f t="shared" ca="1" si="53"/>
        <v>1.367599775200261E-2</v>
      </c>
      <c r="Q217" s="4">
        <f t="shared" ca="1" si="53"/>
        <v>-6.7098509787616688E-3</v>
      </c>
    </row>
    <row r="218" spans="1:17">
      <c r="A218" t="s">
        <v>228</v>
      </c>
      <c r="B218" s="1">
        <v>395.63</v>
      </c>
      <c r="C218" s="4">
        <f t="shared" si="50"/>
        <v>2.7797261839815002E-2</v>
      </c>
      <c r="D218" s="4">
        <f t="shared" ca="1" si="52"/>
        <v>-1.8326102020044321E-2</v>
      </c>
      <c r="E218" s="4">
        <f t="shared" ca="1" si="52"/>
        <v>-8.6580277328311857E-4</v>
      </c>
      <c r="F218" s="4">
        <f t="shared" ca="1" si="52"/>
        <v>-1.9145744985896638E-2</v>
      </c>
      <c r="G218" s="4">
        <f t="shared" ca="1" si="52"/>
        <v>1.2300948629991912E-2</v>
      </c>
      <c r="H218" s="4">
        <f t="shared" ca="1" si="52"/>
        <v>2.8432208870261895E-3</v>
      </c>
      <c r="J218" t="s">
        <v>228</v>
      </c>
      <c r="K218" s="1">
        <v>254.96</v>
      </c>
      <c r="L218" s="4">
        <f t="shared" si="51"/>
        <v>3.0183037698492864E-2</v>
      </c>
      <c r="M218" s="4">
        <f t="shared" ca="1" si="53"/>
        <v>-1.6642186402204162E-2</v>
      </c>
      <c r="N218" s="4">
        <f t="shared" ca="1" si="53"/>
        <v>-3.1727179641872938E-2</v>
      </c>
      <c r="O218" s="4">
        <f t="shared" ca="1" si="53"/>
        <v>7.2336043780559921E-3</v>
      </c>
      <c r="P218" s="4">
        <f t="shared" ca="1" si="53"/>
        <v>8.1664912666482015E-4</v>
      </c>
      <c r="Q218" s="4">
        <f t="shared" ca="1" si="53"/>
        <v>2.1308093970595566E-2</v>
      </c>
    </row>
    <row r="219" spans="1:17">
      <c r="A219" t="s">
        <v>229</v>
      </c>
      <c r="B219" s="1">
        <v>401.1</v>
      </c>
      <c r="C219" s="4">
        <f t="shared" si="50"/>
        <v>1.3826049591790379E-2</v>
      </c>
      <c r="D219" s="4">
        <f t="shared" ca="1" si="52"/>
        <v>-4.5777087973303187E-3</v>
      </c>
      <c r="E219" s="4">
        <f t="shared" ca="1" si="52"/>
        <v>-7.594299771297758E-3</v>
      </c>
      <c r="F219" s="4">
        <f t="shared" ca="1" si="52"/>
        <v>2.0142843174576812E-2</v>
      </c>
      <c r="G219" s="4">
        <f t="shared" ca="1" si="52"/>
        <v>1.7666699888243868E-2</v>
      </c>
      <c r="H219" s="4">
        <f t="shared" ca="1" si="52"/>
        <v>-2.0807599318942695E-2</v>
      </c>
      <c r="J219" t="s">
        <v>229</v>
      </c>
      <c r="K219" s="1">
        <v>249.89</v>
      </c>
      <c r="L219" s="4">
        <f t="shared" si="51"/>
        <v>-1.988547223093827E-2</v>
      </c>
      <c r="M219" s="4">
        <f t="shared" ca="1" si="53"/>
        <v>-1.8011551591839933E-3</v>
      </c>
      <c r="N219" s="4">
        <f t="shared" ca="1" si="53"/>
        <v>3.3733641697469736E-2</v>
      </c>
      <c r="O219" s="4">
        <f t="shared" ca="1" si="53"/>
        <v>-3.721895409285475E-2</v>
      </c>
      <c r="P219" s="4">
        <f t="shared" ca="1" si="53"/>
        <v>-4.2337895243447241E-4</v>
      </c>
      <c r="Q219" s="4">
        <f t="shared" ca="1" si="53"/>
        <v>-2.9718101837324883E-2</v>
      </c>
    </row>
    <row r="220" spans="1:17">
      <c r="A220" t="s">
        <v>230</v>
      </c>
      <c r="B220" s="1">
        <v>393.82</v>
      </c>
      <c r="C220" s="4">
        <f t="shared" si="50"/>
        <v>-1.8150087260034975E-2</v>
      </c>
      <c r="D220" s="4">
        <f t="shared" ca="1" si="52"/>
        <v>-1.004869887320645E-2</v>
      </c>
      <c r="E220" s="4">
        <f t="shared" ca="1" si="52"/>
        <v>1.5072093301733185E-2</v>
      </c>
      <c r="F220" s="4">
        <f t="shared" ca="1" si="52"/>
        <v>-6.9767788019811311E-3</v>
      </c>
      <c r="G220" s="4">
        <f t="shared" ca="1" si="52"/>
        <v>-9.1945079253704567E-3</v>
      </c>
      <c r="H220" s="4">
        <f t="shared" ca="1" si="52"/>
        <v>3.0672681509572728E-2</v>
      </c>
      <c r="J220" t="s">
        <v>230</v>
      </c>
      <c r="K220" s="1">
        <v>247.23</v>
      </c>
      <c r="L220" s="4">
        <f t="shared" si="51"/>
        <v>-1.0644683660810743E-2</v>
      </c>
      <c r="M220" s="4">
        <f t="shared" ca="1" si="53"/>
        <v>3.0300249178964695E-2</v>
      </c>
      <c r="N220" s="4">
        <f t="shared" ca="1" si="53"/>
        <v>3.4882801176576904E-2</v>
      </c>
      <c r="O220" s="4">
        <f t="shared" ca="1" si="53"/>
        <v>-1.2739397114466948E-2</v>
      </c>
      <c r="P220" s="4">
        <f t="shared" ca="1" si="53"/>
        <v>1.1286802190873968E-2</v>
      </c>
      <c r="Q220" s="4">
        <f t="shared" ca="1" si="53"/>
        <v>-1.0634926657809731E-2</v>
      </c>
    </row>
    <row r="221" spans="1:17">
      <c r="A221" t="s">
        <v>231</v>
      </c>
      <c r="B221" s="1">
        <v>402.29</v>
      </c>
      <c r="C221" s="4">
        <f t="shared" si="50"/>
        <v>2.1507287593316812E-2</v>
      </c>
      <c r="D221" s="4">
        <f t="shared" ca="1" si="52"/>
        <v>2.030171932976943E-2</v>
      </c>
      <c r="E221" s="4">
        <f t="shared" ca="1" si="52"/>
        <v>2.0753470261889378E-2</v>
      </c>
      <c r="F221" s="4">
        <f t="shared" ca="1" si="52"/>
        <v>1.2413274653501522E-2</v>
      </c>
      <c r="G221" s="4">
        <f t="shared" ca="1" si="52"/>
        <v>3.0831648056321898E-2</v>
      </c>
      <c r="H221" s="4">
        <f t="shared" ca="1" si="52"/>
        <v>7.4912698985463355E-3</v>
      </c>
      <c r="J221" t="s">
        <v>231</v>
      </c>
      <c r="K221" s="1">
        <v>249.99</v>
      </c>
      <c r="L221" s="4">
        <f t="shared" si="51"/>
        <v>1.1163693726489583E-2</v>
      </c>
      <c r="M221" s="4">
        <f t="shared" ca="1" si="53"/>
        <v>3.2457418740548798E-2</v>
      </c>
      <c r="N221" s="4">
        <f t="shared" ca="1" si="53"/>
        <v>-1.5941631766793071E-2</v>
      </c>
      <c r="O221" s="4">
        <f t="shared" ca="1" si="53"/>
        <v>5.6923260027538199E-3</v>
      </c>
      <c r="P221" s="4">
        <f t="shared" ca="1" si="53"/>
        <v>-1.1465645719332721E-3</v>
      </c>
      <c r="Q221" s="4">
        <f t="shared" ca="1" si="53"/>
        <v>5.045308988219044E-3</v>
      </c>
    </row>
    <row r="222" spans="1:17">
      <c r="A222" t="s">
        <v>232</v>
      </c>
      <c r="B222" s="1">
        <v>397.75</v>
      </c>
      <c r="C222" s="4">
        <f t="shared" si="50"/>
        <v>-1.1285391135747894E-2</v>
      </c>
      <c r="D222" s="4">
        <f t="shared" ca="1" si="52"/>
        <v>-4.3843789986539365E-2</v>
      </c>
      <c r="E222" s="4">
        <f t="shared" ca="1" si="52"/>
        <v>1.3459561719982851E-2</v>
      </c>
      <c r="F222" s="4">
        <f t="shared" ca="1" si="52"/>
        <v>1.2937266845916475E-2</v>
      </c>
      <c r="G222" s="4">
        <f t="shared" ca="1" si="52"/>
        <v>1.9824940030542183E-2</v>
      </c>
      <c r="H222" s="4">
        <f t="shared" ca="1" si="52"/>
        <v>-1.6542009301858267E-2</v>
      </c>
      <c r="J222" t="s">
        <v>232</v>
      </c>
      <c r="K222" s="1">
        <v>247.55</v>
      </c>
      <c r="L222" s="4">
        <f t="shared" si="51"/>
        <v>-9.7603904156166148E-3</v>
      </c>
      <c r="M222" s="4">
        <f t="shared" ca="1" si="53"/>
        <v>-3.0440913020506964E-2</v>
      </c>
      <c r="N222" s="4">
        <f t="shared" ca="1" si="53"/>
        <v>-4.8158237947932506E-3</v>
      </c>
      <c r="O222" s="4">
        <f t="shared" ca="1" si="53"/>
        <v>-1.8269054038363E-2</v>
      </c>
      <c r="P222" s="4">
        <f t="shared" ca="1" si="53"/>
        <v>2.1074332398670174E-2</v>
      </c>
      <c r="Q222" s="4">
        <f t="shared" ca="1" si="53"/>
        <v>2.8999338443370559E-2</v>
      </c>
    </row>
    <row r="223" spans="1:17">
      <c r="A223" t="s">
        <v>233</v>
      </c>
      <c r="B223" s="1">
        <v>390.34</v>
      </c>
      <c r="C223" s="4">
        <f t="shared" si="50"/>
        <v>-1.862979258328102E-2</v>
      </c>
      <c r="D223" s="4">
        <f t="shared" ca="1" si="52"/>
        <v>3.9071358303764594E-3</v>
      </c>
      <c r="E223" s="4">
        <f t="shared" ca="1" si="52"/>
        <v>-3.3907212908881185E-4</v>
      </c>
      <c r="F223" s="4">
        <f t="shared" ca="1" si="52"/>
        <v>-5.8325461619280873E-3</v>
      </c>
      <c r="G223" s="4">
        <f t="shared" ca="1" si="52"/>
        <v>-1.2199614773440117E-2</v>
      </c>
      <c r="H223" s="4">
        <f t="shared" ca="1" si="52"/>
        <v>2.3430250954639846E-2</v>
      </c>
      <c r="J223" t="s">
        <v>233</v>
      </c>
      <c r="K223" s="1">
        <v>244.85</v>
      </c>
      <c r="L223" s="4">
        <f t="shared" si="51"/>
        <v>-1.0906887497475325E-2</v>
      </c>
      <c r="M223" s="4">
        <f t="shared" ca="1" si="53"/>
        <v>2.4184568684639616E-2</v>
      </c>
      <c r="N223" s="4">
        <f t="shared" ca="1" si="53"/>
        <v>1.3248128381549006E-3</v>
      </c>
      <c r="O223" s="4">
        <f t="shared" ca="1" si="53"/>
        <v>3.2971744091167703E-2</v>
      </c>
      <c r="P223" s="4">
        <f t="shared" ca="1" si="53"/>
        <v>3.2283202857694565E-2</v>
      </c>
      <c r="Q223" s="4">
        <f t="shared" ca="1" si="53"/>
        <v>-2.3911288976388716E-2</v>
      </c>
    </row>
    <row r="224" spans="1:17">
      <c r="A224" t="s">
        <v>234</v>
      </c>
      <c r="B224" s="1">
        <v>381.58</v>
      </c>
      <c r="C224" s="4">
        <f t="shared" si="50"/>
        <v>-2.2441973663985221E-2</v>
      </c>
      <c r="D224" s="4">
        <f t="shared" ca="1" si="52"/>
        <v>2.7807967802130087E-2</v>
      </c>
      <c r="E224" s="4">
        <f t="shared" ca="1" si="52"/>
        <v>-8.0367656241788609E-3</v>
      </c>
      <c r="F224" s="4">
        <f t="shared" ca="1" si="52"/>
        <v>-3.2053973476441431E-3</v>
      </c>
      <c r="G224" s="4">
        <f t="shared" ca="1" si="52"/>
        <v>2.9584629298020169E-2</v>
      </c>
      <c r="H224" s="4">
        <f t="shared" ca="1" si="52"/>
        <v>9.3791871821023417E-4</v>
      </c>
      <c r="J224" t="s">
        <v>234</v>
      </c>
      <c r="K224" s="1">
        <v>233.66</v>
      </c>
      <c r="L224" s="4">
        <f t="shared" si="51"/>
        <v>-4.5701449867265667E-2</v>
      </c>
      <c r="M224" s="4">
        <f t="shared" ca="1" si="53"/>
        <v>-3.5475011854382882E-3</v>
      </c>
      <c r="N224" s="4">
        <f t="shared" ca="1" si="53"/>
        <v>-2.2579758289106744E-2</v>
      </c>
      <c r="O224" s="4">
        <f t="shared" ca="1" si="53"/>
        <v>-3.9051452575141047E-3</v>
      </c>
      <c r="P224" s="4">
        <f t="shared" ca="1" si="53"/>
        <v>4.7474197520694775E-2</v>
      </c>
      <c r="Q224" s="4">
        <f t="shared" ca="1" si="53"/>
        <v>-2.49674550244312E-2</v>
      </c>
    </row>
    <row r="225" spans="1:17">
      <c r="A225" t="s">
        <v>235</v>
      </c>
      <c r="B225" s="1">
        <v>381.7</v>
      </c>
      <c r="C225" s="4">
        <f t="shared" si="50"/>
        <v>3.1448189108445034E-4</v>
      </c>
      <c r="D225" s="4">
        <f t="shared" ca="1" si="52"/>
        <v>-1.0858022892260035E-2</v>
      </c>
      <c r="E225" s="4">
        <f t="shared" ca="1" si="52"/>
        <v>-5.2400912911348138E-3</v>
      </c>
      <c r="F225" s="4">
        <f t="shared" ca="1" si="52"/>
        <v>-3.948040042842571E-2</v>
      </c>
      <c r="G225" s="4">
        <f t="shared" ca="1" si="52"/>
        <v>-9.7993434538247502E-4</v>
      </c>
      <c r="H225" s="4">
        <f t="shared" ca="1" si="52"/>
        <v>9.7083745289341661E-3</v>
      </c>
      <c r="J225" t="s">
        <v>235</v>
      </c>
      <c r="K225" s="1">
        <v>232.11</v>
      </c>
      <c r="L225" s="4">
        <f t="shared" si="51"/>
        <v>-6.6335701446545532E-3</v>
      </c>
      <c r="M225" s="4">
        <f t="shared" ca="1" si="53"/>
        <v>2.1606621488459352E-2</v>
      </c>
      <c r="N225" s="4">
        <f t="shared" ca="1" si="53"/>
        <v>-8.892139200397246E-3</v>
      </c>
      <c r="O225" s="4">
        <f t="shared" ca="1" si="53"/>
        <v>2.3996385549416674E-2</v>
      </c>
      <c r="P225" s="4">
        <f t="shared" ca="1" si="53"/>
        <v>1.9145869316431869E-3</v>
      </c>
      <c r="Q225" s="4">
        <f t="shared" ca="1" si="53"/>
        <v>-2.5973411711572567E-2</v>
      </c>
    </row>
    <row r="226" spans="1:17">
      <c r="A226" t="s">
        <v>236</v>
      </c>
      <c r="B226" s="1">
        <v>389.1</v>
      </c>
      <c r="C226" s="4">
        <f t="shared" si="50"/>
        <v>1.9386953104532444E-2</v>
      </c>
      <c r="D226" s="4">
        <f t="shared" ref="D226:H235" ca="1" si="54">NORMINV(RAND(), $C$6, $C$7)</f>
        <v>-6.2111968193425361E-3</v>
      </c>
      <c r="E226" s="4">
        <f t="shared" ca="1" si="54"/>
        <v>1.2292556324532685E-2</v>
      </c>
      <c r="F226" s="4">
        <f t="shared" ca="1" si="54"/>
        <v>2.0898170370886641E-2</v>
      </c>
      <c r="G226" s="4">
        <f t="shared" ca="1" si="54"/>
        <v>-1.2972169766815676E-2</v>
      </c>
      <c r="H226" s="4">
        <f t="shared" ca="1" si="54"/>
        <v>8.7043580842961887E-3</v>
      </c>
      <c r="J226" t="s">
        <v>236</v>
      </c>
      <c r="K226" s="1">
        <v>231.39</v>
      </c>
      <c r="L226" s="4">
        <f t="shared" si="51"/>
        <v>-3.1019775106631651E-3</v>
      </c>
      <c r="M226" s="4">
        <f t="shared" ref="M226:Q235" ca="1" si="55">NORMINV(RAND(), $L$6, $L$7)</f>
        <v>-8.6481445848679605E-5</v>
      </c>
      <c r="N226" s="4">
        <f t="shared" ca="1" si="55"/>
        <v>1.2517273495662397E-2</v>
      </c>
      <c r="O226" s="4">
        <f t="shared" ca="1" si="55"/>
        <v>1.0624597507074906E-2</v>
      </c>
      <c r="P226" s="4">
        <f t="shared" ca="1" si="55"/>
        <v>1.6889978918735202E-2</v>
      </c>
      <c r="Q226" s="4">
        <f t="shared" ca="1" si="55"/>
        <v>1.7786559350755019E-2</v>
      </c>
    </row>
    <row r="227" spans="1:17">
      <c r="A227" t="s">
        <v>237</v>
      </c>
      <c r="B227" s="1">
        <v>393.35</v>
      </c>
      <c r="C227" s="4">
        <f t="shared" si="50"/>
        <v>1.0922641994345925E-2</v>
      </c>
      <c r="D227" s="4">
        <f t="shared" ca="1" si="54"/>
        <v>-6.0472039537359905E-3</v>
      </c>
      <c r="E227" s="4">
        <f t="shared" ca="1" si="54"/>
        <v>5.7266436561797789E-3</v>
      </c>
      <c r="F227" s="4">
        <f t="shared" ca="1" si="54"/>
        <v>-9.0863851622677589E-3</v>
      </c>
      <c r="G227" s="4">
        <f t="shared" ca="1" si="54"/>
        <v>-9.1327451624496105E-3</v>
      </c>
      <c r="H227" s="4">
        <f t="shared" ca="1" si="54"/>
        <v>-1.9445663654806926E-2</v>
      </c>
      <c r="J227" t="s">
        <v>237</v>
      </c>
      <c r="K227" s="1">
        <v>230.86</v>
      </c>
      <c r="L227" s="4">
        <f t="shared" si="51"/>
        <v>-2.2905052076579485E-3</v>
      </c>
      <c r="M227" s="4">
        <f t="shared" ca="1" si="55"/>
        <v>2.6789176785239233E-2</v>
      </c>
      <c r="N227" s="4">
        <f t="shared" ca="1" si="55"/>
        <v>1.4993660427439165E-2</v>
      </c>
      <c r="O227" s="4">
        <f t="shared" ca="1" si="55"/>
        <v>2.6706311677017674E-2</v>
      </c>
      <c r="P227" s="4">
        <f t="shared" ca="1" si="55"/>
        <v>-2.4758291120559953E-2</v>
      </c>
      <c r="Q227" s="4">
        <f t="shared" ca="1" si="55"/>
        <v>3.1336934481877875E-2</v>
      </c>
    </row>
    <row r="228" spans="1:17">
      <c r="A228" t="s">
        <v>238</v>
      </c>
      <c r="B228" s="1">
        <v>390.54</v>
      </c>
      <c r="C228" s="4">
        <f t="shared" si="50"/>
        <v>-7.1437650946993827E-3</v>
      </c>
      <c r="D228" s="4">
        <f t="shared" ca="1" si="54"/>
        <v>4.8625964002089442E-4</v>
      </c>
      <c r="E228" s="4">
        <f t="shared" ca="1" si="54"/>
        <v>-3.4374659939236552E-4</v>
      </c>
      <c r="F228" s="4">
        <f t="shared" ca="1" si="54"/>
        <v>-4.0550599100359639E-3</v>
      </c>
      <c r="G228" s="4">
        <f t="shared" ca="1" si="54"/>
        <v>3.6849493848220546E-2</v>
      </c>
      <c r="H228" s="4">
        <f t="shared" ca="1" si="54"/>
        <v>-1.6872569410537153E-2</v>
      </c>
      <c r="J228" t="s">
        <v>238</v>
      </c>
      <c r="K228" s="1">
        <v>226.65</v>
      </c>
      <c r="L228" s="4">
        <f t="shared" si="51"/>
        <v>-1.8236160443558899E-2</v>
      </c>
      <c r="M228" s="4">
        <f t="shared" ca="1" si="55"/>
        <v>-5.1963896022524621E-4</v>
      </c>
      <c r="N228" s="4">
        <f t="shared" ca="1" si="55"/>
        <v>5.9055444843611991E-3</v>
      </c>
      <c r="O228" s="4">
        <f t="shared" ca="1" si="55"/>
        <v>8.2379540130302648E-3</v>
      </c>
      <c r="P228" s="4">
        <f t="shared" ca="1" si="55"/>
        <v>3.0814964926031686E-2</v>
      </c>
      <c r="Q228" s="4">
        <f t="shared" ca="1" si="55"/>
        <v>-1.962299814758595E-2</v>
      </c>
    </row>
    <row r="229" spans="1:17">
      <c r="A229" t="s">
        <v>239</v>
      </c>
      <c r="B229" s="1">
        <v>451.1</v>
      </c>
      <c r="C229" s="4">
        <f t="shared" si="50"/>
        <v>0.15506734265376146</v>
      </c>
      <c r="D229" s="4">
        <f t="shared" ca="1" si="54"/>
        <v>-1.663955618481416E-2</v>
      </c>
      <c r="E229" s="4">
        <f t="shared" ca="1" si="54"/>
        <v>-1.5763396232518784E-2</v>
      </c>
      <c r="F229" s="4">
        <f t="shared" ca="1" si="54"/>
        <v>-7.6115061646869868E-3</v>
      </c>
      <c r="G229" s="4">
        <f t="shared" ca="1" si="54"/>
        <v>1.9898486385369108E-2</v>
      </c>
      <c r="H229" s="4">
        <f t="shared" ca="1" si="54"/>
        <v>-6.0797060034952282E-3</v>
      </c>
      <c r="J229" t="s">
        <v>239</v>
      </c>
      <c r="K229" s="1">
        <v>235.5</v>
      </c>
      <c r="L229" s="4">
        <f t="shared" si="51"/>
        <v>3.9046988749172708E-2</v>
      </c>
      <c r="M229" s="4">
        <f t="shared" ca="1" si="55"/>
        <v>-5.0009533724550484E-3</v>
      </c>
      <c r="N229" s="4">
        <f t="shared" ca="1" si="55"/>
        <v>4.5233154486627476E-3</v>
      </c>
      <c r="O229" s="4">
        <f t="shared" ca="1" si="55"/>
        <v>-1.9108827391803217E-2</v>
      </c>
      <c r="P229" s="4">
        <f t="shared" ca="1" si="55"/>
        <v>1.9546079169850968E-2</v>
      </c>
      <c r="Q229" s="4">
        <f t="shared" ca="1" si="55"/>
        <v>-1.1378197003597398E-2</v>
      </c>
    </row>
    <row r="230" spans="1:17">
      <c r="A230" t="s">
        <v>240</v>
      </c>
      <c r="B230" s="1">
        <v>464.72</v>
      </c>
      <c r="C230" s="4">
        <f t="shared" si="50"/>
        <v>3.0192861893150087E-2</v>
      </c>
      <c r="D230" s="4">
        <f t="shared" ca="1" si="54"/>
        <v>-5.6190422527813214E-3</v>
      </c>
      <c r="E230" s="4">
        <f t="shared" ca="1" si="54"/>
        <v>1.1128977588172093E-2</v>
      </c>
      <c r="F230" s="4">
        <f t="shared" ca="1" si="54"/>
        <v>2.2039580742009082E-2</v>
      </c>
      <c r="G230" s="4">
        <f t="shared" ca="1" si="54"/>
        <v>7.611393048772278E-3</v>
      </c>
      <c r="H230" s="4">
        <f t="shared" ca="1" si="54"/>
        <v>-2.236432978492988E-2</v>
      </c>
      <c r="J230" t="s">
        <v>240</v>
      </c>
      <c r="K230" s="1">
        <v>271.58</v>
      </c>
      <c r="L230" s="4">
        <f t="shared" si="51"/>
        <v>0.15320594479830141</v>
      </c>
      <c r="M230" s="4">
        <f t="shared" ca="1" si="55"/>
        <v>1.3933979970430698E-2</v>
      </c>
      <c r="N230" s="4">
        <f t="shared" ca="1" si="55"/>
        <v>-1.7674777892189849E-2</v>
      </c>
      <c r="O230" s="4">
        <f t="shared" ca="1" si="55"/>
        <v>-2.6383831989778759E-2</v>
      </c>
      <c r="P230" s="4">
        <f t="shared" ca="1" si="55"/>
        <v>9.1850135957914098E-3</v>
      </c>
      <c r="Q230" s="4">
        <f t="shared" ca="1" si="55"/>
        <v>6.2279006146682006E-3</v>
      </c>
    </row>
    <row r="231" spans="1:17">
      <c r="A231" t="s">
        <v>241</v>
      </c>
      <c r="B231" s="1">
        <v>487.65</v>
      </c>
      <c r="C231" s="4">
        <f t="shared" si="50"/>
        <v>4.9341538991220409E-2</v>
      </c>
      <c r="D231" s="4">
        <f t="shared" ca="1" si="54"/>
        <v>5.6552651010995294E-3</v>
      </c>
      <c r="E231" s="4">
        <f t="shared" ca="1" si="54"/>
        <v>-2.3465885984290296E-3</v>
      </c>
      <c r="F231" s="4">
        <f t="shared" ca="1" si="54"/>
        <v>9.2459511435471903E-3</v>
      </c>
      <c r="G231" s="4">
        <f t="shared" ca="1" si="54"/>
        <v>-2.1077428218119563E-2</v>
      </c>
      <c r="H231" s="4">
        <f t="shared" ca="1" si="54"/>
        <v>-3.2099114890060294E-2</v>
      </c>
      <c r="J231" t="s">
        <v>241</v>
      </c>
      <c r="K231" s="1">
        <v>284.02</v>
      </c>
      <c r="L231" s="4">
        <f t="shared" si="51"/>
        <v>4.5806024007658881E-2</v>
      </c>
      <c r="M231" s="4">
        <f t="shared" ca="1" si="55"/>
        <v>3.0193524943401877E-2</v>
      </c>
      <c r="N231" s="4">
        <f t="shared" ca="1" si="55"/>
        <v>2.6410062394603018E-2</v>
      </c>
      <c r="O231" s="4">
        <f t="shared" ca="1" si="55"/>
        <v>-1.3400948701274746E-2</v>
      </c>
      <c r="P231" s="4">
        <f t="shared" ca="1" si="55"/>
        <v>4.1180330349716385E-3</v>
      </c>
      <c r="Q231" s="4">
        <f t="shared" ca="1" si="55"/>
        <v>-4.6783800298217659E-3</v>
      </c>
    </row>
    <row r="232" spans="1:17">
      <c r="A232" t="s">
        <v>242</v>
      </c>
      <c r="B232" s="1">
        <v>492.81</v>
      </c>
      <c r="C232" s="4">
        <f t="shared" si="50"/>
        <v>1.058135958166723E-2</v>
      </c>
      <c r="D232" s="4">
        <f t="shared" ca="1" si="54"/>
        <v>1.6097294404347894E-2</v>
      </c>
      <c r="E232" s="4">
        <f t="shared" ca="1" si="54"/>
        <v>2.4689880309745393E-2</v>
      </c>
      <c r="F232" s="4">
        <f t="shared" ca="1" si="54"/>
        <v>-1.0954167215028373E-2</v>
      </c>
      <c r="G232" s="4">
        <f t="shared" ca="1" si="54"/>
        <v>-8.4020436914067787E-3</v>
      </c>
      <c r="H232" s="4">
        <f t="shared" ca="1" si="54"/>
        <v>1.1876031858873683E-2</v>
      </c>
      <c r="J232" t="s">
        <v>242</v>
      </c>
      <c r="K232" s="1">
        <v>277.42</v>
      </c>
      <c r="L232" s="4">
        <f t="shared" si="51"/>
        <v>-2.323780015491855E-2</v>
      </c>
      <c r="M232" s="4">
        <f t="shared" ca="1" si="55"/>
        <v>8.0079584614984271E-3</v>
      </c>
      <c r="N232" s="4">
        <f t="shared" ca="1" si="55"/>
        <v>3.8271240256942795E-3</v>
      </c>
      <c r="O232" s="4">
        <f t="shared" ca="1" si="55"/>
        <v>3.5551959942607007E-2</v>
      </c>
      <c r="P232" s="4">
        <f t="shared" ca="1" si="55"/>
        <v>5.6410998261156474E-4</v>
      </c>
      <c r="Q232" s="4">
        <f t="shared" ca="1" si="55"/>
        <v>-4.3029094685834234E-2</v>
      </c>
    </row>
    <row r="233" spans="1:17">
      <c r="A233" t="s">
        <v>243</v>
      </c>
      <c r="B233" s="1">
        <v>487.46</v>
      </c>
      <c r="C233" s="4">
        <f t="shared" si="50"/>
        <v>-1.0856110874373538E-2</v>
      </c>
      <c r="D233" s="4">
        <f t="shared" ca="1" si="54"/>
        <v>3.1218526326669575E-3</v>
      </c>
      <c r="E233" s="4">
        <f t="shared" ca="1" si="54"/>
        <v>6.8538080979871343E-3</v>
      </c>
      <c r="F233" s="4">
        <f t="shared" ca="1" si="54"/>
        <v>-2.6994699500487223E-3</v>
      </c>
      <c r="G233" s="4">
        <f t="shared" ca="1" si="54"/>
        <v>2.7736371914372216E-2</v>
      </c>
      <c r="H233" s="4">
        <f t="shared" ca="1" si="54"/>
        <v>-1.2123088422970123E-2</v>
      </c>
      <c r="J233" t="s">
        <v>243</v>
      </c>
      <c r="K233" s="1">
        <v>272.64999999999998</v>
      </c>
      <c r="L233" s="4">
        <f t="shared" si="51"/>
        <v>-1.7194146060125579E-2</v>
      </c>
      <c r="M233" s="4">
        <f t="shared" ca="1" si="55"/>
        <v>3.0930682088595361E-2</v>
      </c>
      <c r="N233" s="4">
        <f t="shared" ca="1" si="55"/>
        <v>3.0711745306418407E-2</v>
      </c>
      <c r="O233" s="4">
        <f t="shared" ca="1" si="55"/>
        <v>-5.5955361237707284E-5</v>
      </c>
      <c r="P233" s="4">
        <f t="shared" ca="1" si="55"/>
        <v>2.3046784574196805E-2</v>
      </c>
      <c r="Q233" s="4">
        <f t="shared" ca="1" si="55"/>
        <v>3.5191443673390867E-2</v>
      </c>
    </row>
    <row r="234" spans="1:17">
      <c r="A234" t="s">
        <v>244</v>
      </c>
      <c r="B234" s="1">
        <v>499.86</v>
      </c>
      <c r="C234" s="4">
        <f t="shared" si="50"/>
        <v>2.5437984655151263E-2</v>
      </c>
      <c r="D234" s="4">
        <f t="shared" ca="1" si="54"/>
        <v>-1.7724824630510096E-3</v>
      </c>
      <c r="E234" s="4">
        <f t="shared" ca="1" si="54"/>
        <v>1.9014906697326889E-2</v>
      </c>
      <c r="F234" s="4">
        <f t="shared" ca="1" si="54"/>
        <v>-1.1263745055850437E-2</v>
      </c>
      <c r="G234" s="4">
        <f t="shared" ca="1" si="54"/>
        <v>3.0459782891407078E-2</v>
      </c>
      <c r="H234" s="4">
        <f t="shared" ca="1" si="54"/>
        <v>-1.5523849048797505E-2</v>
      </c>
      <c r="J234" t="s">
        <v>244</v>
      </c>
      <c r="K234" s="1">
        <v>272.26</v>
      </c>
      <c r="L234" s="4">
        <f t="shared" si="51"/>
        <v>-1.430405281496374E-3</v>
      </c>
      <c r="M234" s="4">
        <f t="shared" ca="1" si="55"/>
        <v>-2.4499349952102858E-2</v>
      </c>
      <c r="N234" s="4">
        <f t="shared" ca="1" si="55"/>
        <v>2.9586913603712192E-4</v>
      </c>
      <c r="O234" s="4">
        <f t="shared" ca="1" si="55"/>
        <v>-3.5692593268551821E-2</v>
      </c>
      <c r="P234" s="4">
        <f t="shared" ca="1" si="55"/>
        <v>6.5100588351970756E-3</v>
      </c>
      <c r="Q234" s="4">
        <f t="shared" ca="1" si="55"/>
        <v>3.3651020881004866E-3</v>
      </c>
    </row>
    <row r="235" spans="1:17">
      <c r="A235" t="s">
        <v>245</v>
      </c>
      <c r="B235" s="1">
        <v>499.99</v>
      </c>
      <c r="C235" s="4">
        <f t="shared" si="50"/>
        <v>2.6007282038969999E-4</v>
      </c>
      <c r="D235" s="4">
        <f t="shared" ca="1" si="54"/>
        <v>-1.7381307933088036E-2</v>
      </c>
      <c r="E235" s="4">
        <f t="shared" ca="1" si="54"/>
        <v>3.9058980422073623E-3</v>
      </c>
      <c r="F235" s="4">
        <f t="shared" ca="1" si="54"/>
        <v>2.9031680728001711E-3</v>
      </c>
      <c r="G235" s="4">
        <f t="shared" ca="1" si="54"/>
        <v>-1.3739213695412745E-2</v>
      </c>
      <c r="H235" s="4">
        <f t="shared" ca="1" si="54"/>
        <v>-3.2459186409860306E-2</v>
      </c>
      <c r="J235" t="s">
        <v>245</v>
      </c>
      <c r="K235" s="1">
        <v>274.48</v>
      </c>
      <c r="L235" s="4">
        <f t="shared" si="51"/>
        <v>8.153970469404347E-3</v>
      </c>
      <c r="M235" s="4">
        <f t="shared" ca="1" si="55"/>
        <v>-7.3065069304457542E-3</v>
      </c>
      <c r="N235" s="4">
        <f t="shared" ca="1" si="55"/>
        <v>1.9606122409862353E-2</v>
      </c>
      <c r="O235" s="4">
        <f t="shared" ca="1" si="55"/>
        <v>-4.4176044753659299E-2</v>
      </c>
      <c r="P235" s="4">
        <f t="shared" ca="1" si="55"/>
        <v>7.7817186650554343E-3</v>
      </c>
      <c r="Q235" s="4">
        <f t="shared" ca="1" si="55"/>
        <v>-1.3414669128049049E-2</v>
      </c>
    </row>
    <row r="236" spans="1:17">
      <c r="A236" t="s">
        <v>246</v>
      </c>
      <c r="B236" s="1">
        <v>506.06</v>
      </c>
      <c r="C236" s="4">
        <f t="shared" si="50"/>
        <v>1.2140242804856084E-2</v>
      </c>
      <c r="D236" s="4">
        <f t="shared" ref="D236:H245" ca="1" si="56">NORMINV(RAND(), $C$6, $C$7)</f>
        <v>-4.6979924969726312E-2</v>
      </c>
      <c r="E236" s="4">
        <f t="shared" ca="1" si="56"/>
        <v>-2.3936636099983758E-2</v>
      </c>
      <c r="F236" s="4">
        <f t="shared" ca="1" si="56"/>
        <v>2.0571744113285682E-2</v>
      </c>
      <c r="G236" s="4">
        <f t="shared" ca="1" si="56"/>
        <v>-2.1455524017441673E-2</v>
      </c>
      <c r="H236" s="4">
        <f t="shared" ca="1" si="56"/>
        <v>2.5593472837765457E-2</v>
      </c>
      <c r="J236" t="s">
        <v>246</v>
      </c>
      <c r="K236" s="1">
        <v>278.08999999999997</v>
      </c>
      <c r="L236" s="4">
        <f t="shared" si="51"/>
        <v>1.3152142232585094E-2</v>
      </c>
      <c r="M236" s="4">
        <f t="shared" ref="M236:Q245" ca="1" si="57">NORMINV(RAND(), $L$6, $L$7)</f>
        <v>1.7380702241480826E-2</v>
      </c>
      <c r="N236" s="4">
        <f t="shared" ca="1" si="57"/>
        <v>-1.7176973023751665E-2</v>
      </c>
      <c r="O236" s="4">
        <f t="shared" ca="1" si="57"/>
        <v>3.8722194617171683E-2</v>
      </c>
      <c r="P236" s="4">
        <f t="shared" ca="1" si="57"/>
        <v>-4.454128181517753E-3</v>
      </c>
      <c r="Q236" s="4">
        <f t="shared" ca="1" si="57"/>
        <v>-1.5589262308059314E-2</v>
      </c>
    </row>
    <row r="237" spans="1:17">
      <c r="A237" t="s">
        <v>247</v>
      </c>
      <c r="B237" s="1">
        <v>503.81</v>
      </c>
      <c r="C237" s="4">
        <f t="shared" si="50"/>
        <v>-4.4461131091174961E-3</v>
      </c>
      <c r="D237" s="4">
        <f t="shared" ca="1" si="56"/>
        <v>7.0337887539858512E-3</v>
      </c>
      <c r="E237" s="4">
        <f t="shared" ca="1" si="56"/>
        <v>8.1973287143885184E-4</v>
      </c>
      <c r="F237" s="4">
        <f t="shared" ca="1" si="56"/>
        <v>3.3066232929220826E-2</v>
      </c>
      <c r="G237" s="4">
        <f t="shared" ca="1" si="56"/>
        <v>1.4768990654295017E-2</v>
      </c>
      <c r="H237" s="4">
        <f t="shared" ca="1" si="56"/>
        <v>1.3971963979264904E-2</v>
      </c>
      <c r="J237" t="s">
        <v>247</v>
      </c>
      <c r="K237" s="1">
        <v>272.27</v>
      </c>
      <c r="L237" s="4">
        <f t="shared" si="51"/>
        <v>-2.0928476392534767E-2</v>
      </c>
      <c r="M237" s="4">
        <f t="shared" ca="1" si="57"/>
        <v>1.8653873698797816E-2</v>
      </c>
      <c r="N237" s="4">
        <f t="shared" ca="1" si="57"/>
        <v>-1.5762082192289861E-2</v>
      </c>
      <c r="O237" s="4">
        <f t="shared" ca="1" si="57"/>
        <v>1.1692519864632661E-2</v>
      </c>
      <c r="P237" s="4">
        <f t="shared" ca="1" si="57"/>
        <v>-1.2021131107600667E-2</v>
      </c>
      <c r="Q237" s="4">
        <f t="shared" ca="1" si="57"/>
        <v>1.235374723053907E-2</v>
      </c>
    </row>
    <row r="238" spans="1:17">
      <c r="A238" t="s">
        <v>248</v>
      </c>
      <c r="B238" s="1">
        <v>492.43</v>
      </c>
      <c r="C238" s="4">
        <f t="shared" si="50"/>
        <v>-2.2587880351719887E-2</v>
      </c>
      <c r="D238" s="4">
        <f t="shared" ca="1" si="56"/>
        <v>-2.7080008606812696E-2</v>
      </c>
      <c r="E238" s="4">
        <f t="shared" ca="1" si="56"/>
        <v>-2.711499730525558E-2</v>
      </c>
      <c r="F238" s="4">
        <f t="shared" ca="1" si="56"/>
        <v>2.2545772672119869E-2</v>
      </c>
      <c r="G238" s="4">
        <f t="shared" ca="1" si="56"/>
        <v>1.8952885991927678E-3</v>
      </c>
      <c r="H238" s="4">
        <f t="shared" ca="1" si="56"/>
        <v>1.0965796578028699E-2</v>
      </c>
      <c r="J238" t="s">
        <v>248</v>
      </c>
      <c r="K238" s="1">
        <v>267.27999999999997</v>
      </c>
      <c r="L238" s="4">
        <f t="shared" si="51"/>
        <v>-1.832739559995596E-2</v>
      </c>
      <c r="M238" s="4">
        <f t="shared" ca="1" si="57"/>
        <v>3.6676978777045913E-2</v>
      </c>
      <c r="N238" s="4">
        <f t="shared" ca="1" si="57"/>
        <v>2.5947433047127471E-2</v>
      </c>
      <c r="O238" s="4">
        <f t="shared" ca="1" si="57"/>
        <v>-1.3665876985047643E-2</v>
      </c>
      <c r="P238" s="4">
        <f t="shared" ca="1" si="57"/>
        <v>-9.2836338877297572E-3</v>
      </c>
      <c r="Q238" s="4">
        <f t="shared" ca="1" si="57"/>
        <v>4.1802785448447219E-2</v>
      </c>
    </row>
    <row r="239" spans="1:17">
      <c r="A239" t="s">
        <v>249</v>
      </c>
      <c r="B239" s="1">
        <v>496.88</v>
      </c>
      <c r="C239" s="4">
        <f t="shared" si="50"/>
        <v>9.0368174156732709E-3</v>
      </c>
      <c r="D239" s="4">
        <f t="shared" ca="1" si="56"/>
        <v>-2.7211324257649445E-2</v>
      </c>
      <c r="E239" s="4">
        <f t="shared" ca="1" si="56"/>
        <v>-7.7690849809982287E-3</v>
      </c>
      <c r="F239" s="4">
        <f t="shared" ca="1" si="56"/>
        <v>-9.1614891906796128E-3</v>
      </c>
      <c r="G239" s="4">
        <f t="shared" ca="1" si="56"/>
        <v>1.7929433066497521E-2</v>
      </c>
      <c r="H239" s="4">
        <f t="shared" ca="1" si="56"/>
        <v>-1.0743898229623812E-3</v>
      </c>
      <c r="J239" t="s">
        <v>249</v>
      </c>
      <c r="K239" s="1">
        <v>265.13</v>
      </c>
      <c r="L239" s="4">
        <f t="shared" si="51"/>
        <v>-8.0439988027535825E-3</v>
      </c>
      <c r="M239" s="4">
        <f t="shared" ca="1" si="57"/>
        <v>5.4389814695577294E-3</v>
      </c>
      <c r="N239" s="4">
        <f t="shared" ca="1" si="57"/>
        <v>-6.3231152105942068E-3</v>
      </c>
      <c r="O239" s="4">
        <f t="shared" ca="1" si="57"/>
        <v>1.8631987376446245E-2</v>
      </c>
      <c r="P239" s="4">
        <f t="shared" ca="1" si="57"/>
        <v>2.7656871531578055E-2</v>
      </c>
      <c r="Q239" s="4">
        <f t="shared" ca="1" si="57"/>
        <v>-4.7356014728754123E-3</v>
      </c>
    </row>
    <row r="240" spans="1:17">
      <c r="A240" t="s">
        <v>250</v>
      </c>
      <c r="B240" s="1">
        <v>495.4</v>
      </c>
      <c r="C240" s="4">
        <f t="shared" si="50"/>
        <v>-2.978586379005028E-3</v>
      </c>
      <c r="D240" s="4">
        <f t="shared" ca="1" si="56"/>
        <v>-5.4572979293129632E-3</v>
      </c>
      <c r="E240" s="4">
        <f t="shared" ca="1" si="56"/>
        <v>5.8751910615562359E-3</v>
      </c>
      <c r="F240" s="4">
        <f t="shared" ca="1" si="56"/>
        <v>-1.2820347328293282E-2</v>
      </c>
      <c r="G240" s="4">
        <f t="shared" ca="1" si="56"/>
        <v>2.4987801787048718E-2</v>
      </c>
      <c r="H240" s="4">
        <f t="shared" ca="1" si="56"/>
        <v>1.669482978328117E-2</v>
      </c>
      <c r="J240" t="s">
        <v>250</v>
      </c>
      <c r="K240" s="1">
        <v>262.64999999999998</v>
      </c>
      <c r="L240" s="4">
        <f t="shared" si="51"/>
        <v>-9.3539018594652364E-3</v>
      </c>
      <c r="M240" s="4">
        <f t="shared" ca="1" si="57"/>
        <v>3.6175728167734725E-3</v>
      </c>
      <c r="N240" s="4">
        <f t="shared" ca="1" si="57"/>
        <v>-4.4179618240050345E-2</v>
      </c>
      <c r="O240" s="4">
        <f t="shared" ca="1" si="57"/>
        <v>-1.5438396734735571E-2</v>
      </c>
      <c r="P240" s="4">
        <f t="shared" ca="1" si="57"/>
        <v>-5.3456603838279533E-3</v>
      </c>
      <c r="Q240" s="4">
        <f t="shared" ca="1" si="57"/>
        <v>-4.8188753815646954E-2</v>
      </c>
    </row>
    <row r="241" spans="1:17">
      <c r="A241" t="s">
        <v>251</v>
      </c>
      <c r="B241" s="1">
        <v>480.35</v>
      </c>
      <c r="C241" s="4">
        <f t="shared" si="50"/>
        <v>-3.0379491320145245E-2</v>
      </c>
      <c r="D241" s="4">
        <f t="shared" ca="1" si="56"/>
        <v>-8.0463372817878732E-3</v>
      </c>
      <c r="E241" s="4">
        <f t="shared" ca="1" si="56"/>
        <v>1.7799855286972376E-2</v>
      </c>
      <c r="F241" s="4">
        <f t="shared" ca="1" si="56"/>
        <v>-1.9122865451818578E-2</v>
      </c>
      <c r="G241" s="4">
        <f t="shared" ca="1" si="56"/>
        <v>-1.7049681946062719E-3</v>
      </c>
      <c r="H241" s="4">
        <f t="shared" ca="1" si="56"/>
        <v>2.1765550166740203E-2</v>
      </c>
      <c r="J241" t="s">
        <v>251</v>
      </c>
      <c r="K241" s="1">
        <v>261.31</v>
      </c>
      <c r="L241" s="4">
        <f t="shared" si="51"/>
        <v>-5.1018465638681711E-3</v>
      </c>
      <c r="M241" s="4">
        <f t="shared" ca="1" si="57"/>
        <v>5.70370943642184E-3</v>
      </c>
      <c r="N241" s="4">
        <f t="shared" ca="1" si="57"/>
        <v>1.1823334564711649E-2</v>
      </c>
      <c r="O241" s="4">
        <f t="shared" ca="1" si="57"/>
        <v>2.4207439012344036E-2</v>
      </c>
      <c r="P241" s="4">
        <f t="shared" ca="1" si="57"/>
        <v>2.6385931761856218E-2</v>
      </c>
      <c r="Q241" s="4">
        <f t="shared" ca="1" si="57"/>
        <v>-1.6205285988266323E-2</v>
      </c>
    </row>
    <row r="242" spans="1:17">
      <c r="A242" t="s">
        <v>252</v>
      </c>
      <c r="B242" s="1">
        <v>481.63</v>
      </c>
      <c r="C242" s="4">
        <f t="shared" si="50"/>
        <v>2.6647236390131626E-3</v>
      </c>
      <c r="D242" s="4">
        <f t="shared" ca="1" si="56"/>
        <v>-1.0208650219562982E-2</v>
      </c>
      <c r="E242" s="4">
        <f t="shared" ca="1" si="56"/>
        <v>-7.8714667653844144E-3</v>
      </c>
      <c r="F242" s="4">
        <f t="shared" ca="1" si="56"/>
        <v>3.4735648761889414E-2</v>
      </c>
      <c r="G242" s="4">
        <f t="shared" ca="1" si="56"/>
        <v>-9.5120222324455539E-4</v>
      </c>
      <c r="H242" s="4">
        <f t="shared" ca="1" si="56"/>
        <v>4.0471779535876055E-3</v>
      </c>
      <c r="J242" t="s">
        <v>252</v>
      </c>
      <c r="K242" s="1">
        <v>259.45</v>
      </c>
      <c r="L242" s="4">
        <f t="shared" si="51"/>
        <v>-7.1179824729249302E-3</v>
      </c>
      <c r="M242" s="4">
        <f t="shared" ca="1" si="57"/>
        <v>-5.4669005941921173E-2</v>
      </c>
      <c r="N242" s="4">
        <f t="shared" ca="1" si="57"/>
        <v>-6.6230524274333465E-3</v>
      </c>
      <c r="O242" s="4">
        <f t="shared" ca="1" si="57"/>
        <v>1.8904385063382979E-2</v>
      </c>
      <c r="P242" s="4">
        <f t="shared" ca="1" si="57"/>
        <v>3.7222622087973926E-3</v>
      </c>
      <c r="Q242" s="4">
        <f t="shared" ca="1" si="57"/>
        <v>3.8122467178424418E-3</v>
      </c>
    </row>
    <row r="243" spans="1:17">
      <c r="A243" t="s">
        <v>253</v>
      </c>
      <c r="B243" s="1">
        <v>484.31</v>
      </c>
      <c r="C243" s="4">
        <f t="shared" si="50"/>
        <v>5.564437431223152E-3</v>
      </c>
      <c r="D243" s="4">
        <f t="shared" ca="1" si="56"/>
        <v>-9.7824986892000466E-3</v>
      </c>
      <c r="E243" s="4">
        <f t="shared" ca="1" si="56"/>
        <v>2.1078627798889398E-2</v>
      </c>
      <c r="F243" s="4">
        <f t="shared" ca="1" si="56"/>
        <v>-4.6887843775404508E-3</v>
      </c>
      <c r="G243" s="4">
        <f t="shared" ca="1" si="56"/>
        <v>-1.0692204960426952E-2</v>
      </c>
      <c r="H243" s="4">
        <f t="shared" ca="1" si="56"/>
        <v>-1.4673842567297753E-2</v>
      </c>
      <c r="J243" t="s">
        <v>253</v>
      </c>
      <c r="K243" s="1">
        <v>265.83999999999997</v>
      </c>
      <c r="L243" s="4">
        <f t="shared" si="51"/>
        <v>2.4629022933127718E-2</v>
      </c>
      <c r="M243" s="4">
        <f t="shared" ca="1" si="57"/>
        <v>-1.3184718807530636E-2</v>
      </c>
      <c r="N243" s="4">
        <f t="shared" ca="1" si="57"/>
        <v>1.9433060562585865E-2</v>
      </c>
      <c r="O243" s="4">
        <f t="shared" ca="1" si="57"/>
        <v>-1.0682045305952556E-2</v>
      </c>
      <c r="P243" s="4">
        <f t="shared" ca="1" si="57"/>
        <v>-1.0128898328044495E-2</v>
      </c>
      <c r="Q243" s="4">
        <f t="shared" ca="1" si="57"/>
        <v>2.5384452742165307E-2</v>
      </c>
    </row>
    <row r="244" spans="1:17">
      <c r="A244" t="s">
        <v>254</v>
      </c>
      <c r="B244" s="1">
        <v>481.15</v>
      </c>
      <c r="C244" s="4">
        <f t="shared" si="50"/>
        <v>-6.5247465466334066E-3</v>
      </c>
      <c r="D244" s="4">
        <f t="shared" ca="1" si="56"/>
        <v>4.2730280955470962E-3</v>
      </c>
      <c r="E244" s="4">
        <f t="shared" ca="1" si="56"/>
        <v>-8.3070710343237375E-3</v>
      </c>
      <c r="F244" s="4">
        <f t="shared" ca="1" si="56"/>
        <v>1.1038589685869021E-2</v>
      </c>
      <c r="G244" s="4">
        <f t="shared" ca="1" si="56"/>
        <v>3.6543062654888762E-2</v>
      </c>
      <c r="H244" s="4">
        <f t="shared" ca="1" si="56"/>
        <v>-4.2675827669589238E-2</v>
      </c>
      <c r="J244" t="s">
        <v>254</v>
      </c>
      <c r="K244" s="1">
        <v>260.11</v>
      </c>
      <c r="L244" s="4">
        <f t="shared" si="51"/>
        <v>-2.1554318386999557E-2</v>
      </c>
      <c r="M244" s="4">
        <f t="shared" ca="1" si="57"/>
        <v>8.1282030084889496E-3</v>
      </c>
      <c r="N244" s="4">
        <f t="shared" ca="1" si="57"/>
        <v>-2.2479667160043459E-2</v>
      </c>
      <c r="O244" s="4">
        <f t="shared" ca="1" si="57"/>
        <v>3.632281881902615E-3</v>
      </c>
      <c r="P244" s="4">
        <f t="shared" ca="1" si="57"/>
        <v>6.4126458753570158E-3</v>
      </c>
      <c r="Q244" s="4">
        <f t="shared" ca="1" si="57"/>
        <v>-2.7445272118413282E-2</v>
      </c>
    </row>
    <row r="245" spans="1:17">
      <c r="A245" t="s">
        <v>255</v>
      </c>
      <c r="B245" s="1">
        <v>483.24</v>
      </c>
      <c r="C245" s="4">
        <f t="shared" si="50"/>
        <v>4.3437597422841777E-3</v>
      </c>
      <c r="D245" s="4">
        <f t="shared" ca="1" si="56"/>
        <v>-9.0146741961169181E-3</v>
      </c>
      <c r="E245" s="4">
        <f t="shared" ca="1" si="56"/>
        <v>-6.2310835355866368E-3</v>
      </c>
      <c r="F245" s="4">
        <f t="shared" ca="1" si="56"/>
        <v>9.7927139180389745E-3</v>
      </c>
      <c r="G245" s="4">
        <f t="shared" ca="1" si="56"/>
        <v>5.0038158430027848E-3</v>
      </c>
      <c r="H245" s="4">
        <f t="shared" ca="1" si="56"/>
        <v>7.0875352143514583E-3</v>
      </c>
      <c r="J245" t="s">
        <v>255</v>
      </c>
      <c r="K245" s="1">
        <v>258.63</v>
      </c>
      <c r="L245" s="4">
        <f t="shared" si="51"/>
        <v>-5.6899004267426017E-3</v>
      </c>
      <c r="M245" s="4">
        <f t="shared" ca="1" si="57"/>
        <v>-2.271436766290319E-2</v>
      </c>
      <c r="N245" s="4">
        <f t="shared" ca="1" si="57"/>
        <v>5.7331485661335181E-3</v>
      </c>
      <c r="O245" s="4">
        <f t="shared" ca="1" si="57"/>
        <v>4.3792238097838561E-2</v>
      </c>
      <c r="P245" s="4">
        <f t="shared" ca="1" si="57"/>
        <v>5.2174138198163265E-3</v>
      </c>
      <c r="Q245" s="4">
        <f t="shared" ca="1" si="57"/>
        <v>9.6379182283788476E-3</v>
      </c>
    </row>
    <row r="246" spans="1:17">
      <c r="A246" t="s">
        <v>256</v>
      </c>
      <c r="B246" s="1">
        <v>487.31</v>
      </c>
      <c r="C246" s="4">
        <f t="shared" si="50"/>
        <v>8.4223160334409262E-3</v>
      </c>
      <c r="D246" s="4">
        <f t="shared" ref="D246:H255" ca="1" si="58">NORMINV(RAND(), $C$6, $C$7)</f>
        <v>3.2152810586084955E-2</v>
      </c>
      <c r="E246" s="4">
        <f t="shared" ca="1" si="58"/>
        <v>9.5619126700471485E-3</v>
      </c>
      <c r="F246" s="4">
        <f t="shared" ca="1" si="58"/>
        <v>1.6364162324216412E-2</v>
      </c>
      <c r="G246" s="4">
        <f t="shared" ca="1" si="58"/>
        <v>-1.6929982351380411E-2</v>
      </c>
      <c r="H246" s="4">
        <f t="shared" ca="1" si="58"/>
        <v>-1.9816212767938084E-2</v>
      </c>
      <c r="J246" t="s">
        <v>256</v>
      </c>
      <c r="K246" s="1">
        <v>262.07</v>
      </c>
      <c r="L246" s="4">
        <f t="shared" si="51"/>
        <v>1.3300854502571232E-2</v>
      </c>
      <c r="M246" s="4">
        <f t="shared" ref="M246:Q255" ca="1" si="59">NORMINV(RAND(), $L$6, $L$7)</f>
        <v>-4.2923615870329741E-3</v>
      </c>
      <c r="N246" s="4">
        <f t="shared" ca="1" si="59"/>
        <v>-9.4365866775072294E-3</v>
      </c>
      <c r="O246" s="4">
        <f t="shared" ca="1" si="59"/>
        <v>-2.1952364364526199E-2</v>
      </c>
      <c r="P246" s="4">
        <f t="shared" ca="1" si="59"/>
        <v>-1.1493379927098302E-2</v>
      </c>
      <c r="Q246" s="4">
        <f t="shared" ca="1" si="59"/>
        <v>-2.9838184990606052E-2</v>
      </c>
    </row>
    <row r="247" spans="1:17">
      <c r="A247" t="s">
        <v>257</v>
      </c>
      <c r="B247" s="1">
        <v>491.71</v>
      </c>
      <c r="C247" s="4">
        <f t="shared" si="50"/>
        <v>9.02916008290406E-3</v>
      </c>
      <c r="D247" s="4">
        <f t="shared" ca="1" si="58"/>
        <v>4.3850826526815518E-5</v>
      </c>
      <c r="E247" s="4">
        <f t="shared" ca="1" si="58"/>
        <v>-8.0340383626053039E-4</v>
      </c>
      <c r="F247" s="4">
        <f t="shared" ca="1" si="58"/>
        <v>4.3467141370809537E-2</v>
      </c>
      <c r="G247" s="4">
        <f t="shared" ca="1" si="58"/>
        <v>-1.6006570883130428E-2</v>
      </c>
      <c r="H247" s="4">
        <f t="shared" ca="1" si="58"/>
        <v>-2.4852678162210042E-3</v>
      </c>
      <c r="J247" t="s">
        <v>257</v>
      </c>
      <c r="K247" s="1">
        <v>261.06</v>
      </c>
      <c r="L247" s="4">
        <f t="shared" si="51"/>
        <v>-3.8539321555309306E-3</v>
      </c>
      <c r="M247" s="4">
        <f t="shared" ca="1" si="59"/>
        <v>2.3143997912554032E-2</v>
      </c>
      <c r="N247" s="4">
        <f t="shared" ca="1" si="59"/>
        <v>1.3729868942807833E-2</v>
      </c>
      <c r="O247" s="4">
        <f t="shared" ca="1" si="59"/>
        <v>2.1940521927831427E-2</v>
      </c>
      <c r="P247" s="4">
        <f t="shared" ca="1" si="59"/>
        <v>-4.2436807012947025E-2</v>
      </c>
      <c r="Q247" s="4">
        <f t="shared" ca="1" si="59"/>
        <v>2.7941997813160655E-3</v>
      </c>
    </row>
    <row r="248" spans="1:17">
      <c r="A248" t="s">
        <v>258</v>
      </c>
      <c r="B248" s="1">
        <v>496.37</v>
      </c>
      <c r="C248" s="4">
        <f t="shared" si="50"/>
        <v>9.4771308291473136E-3</v>
      </c>
      <c r="D248" s="4">
        <f t="shared" ca="1" si="58"/>
        <v>1.2121216309340392E-2</v>
      </c>
      <c r="E248" s="4">
        <f t="shared" ca="1" si="58"/>
        <v>1.8737445888347932E-2</v>
      </c>
      <c r="F248" s="4">
        <f t="shared" ca="1" si="58"/>
        <v>1.8891869746089803E-2</v>
      </c>
      <c r="G248" s="4">
        <f t="shared" ca="1" si="58"/>
        <v>-6.3251797190577008E-3</v>
      </c>
      <c r="H248" s="4">
        <f t="shared" ca="1" si="58"/>
        <v>8.0546070306797789E-4</v>
      </c>
      <c r="J248" t="s">
        <v>258</v>
      </c>
      <c r="K248" s="1">
        <v>260.27999999999997</v>
      </c>
      <c r="L248" s="4">
        <f t="shared" si="51"/>
        <v>-2.9878188922088009E-3</v>
      </c>
      <c r="M248" s="4">
        <f t="shared" ca="1" si="59"/>
        <v>-2.8109474361579068E-2</v>
      </c>
      <c r="N248" s="4">
        <f t="shared" ca="1" si="59"/>
        <v>-8.9394147169545857E-3</v>
      </c>
      <c r="O248" s="4">
        <f t="shared" ca="1" si="59"/>
        <v>9.1092372717167347E-4</v>
      </c>
      <c r="P248" s="4">
        <f t="shared" ca="1" si="59"/>
        <v>-2.6033858699101627E-2</v>
      </c>
      <c r="Q248" s="4">
        <f t="shared" ca="1" si="59"/>
        <v>2.1974467443550888E-2</v>
      </c>
    </row>
    <row r="249" spans="1:17">
      <c r="A249" t="s">
        <v>259</v>
      </c>
      <c r="B249" s="1">
        <v>505.06</v>
      </c>
      <c r="C249" s="4">
        <f t="shared" si="50"/>
        <v>1.7507101557306039E-2</v>
      </c>
      <c r="D249" s="4">
        <f t="shared" ca="1" si="58"/>
        <v>3.8168362771991905E-2</v>
      </c>
      <c r="E249" s="4">
        <f t="shared" ca="1" si="58"/>
        <v>-4.8751884804108482E-3</v>
      </c>
      <c r="F249" s="4">
        <f t="shared" ca="1" si="58"/>
        <v>4.512132562340701E-2</v>
      </c>
      <c r="G249" s="4">
        <f t="shared" ca="1" si="58"/>
        <v>2.5717153220954421E-2</v>
      </c>
      <c r="H249" s="4">
        <f t="shared" ca="1" si="58"/>
        <v>3.5260599583040106E-2</v>
      </c>
      <c r="J249" t="s">
        <v>259</v>
      </c>
      <c r="K249" s="1">
        <v>256.26</v>
      </c>
      <c r="L249" s="4">
        <f t="shared" si="51"/>
        <v>-1.5444905486399194E-2</v>
      </c>
      <c r="M249" s="4">
        <f t="shared" ca="1" si="59"/>
        <v>-6.1277634338678336E-3</v>
      </c>
      <c r="N249" s="4">
        <f t="shared" ca="1" si="59"/>
        <v>-1.8633296808266225E-2</v>
      </c>
      <c r="O249" s="4">
        <f t="shared" ca="1" si="59"/>
        <v>2.1135609440346328E-2</v>
      </c>
      <c r="P249" s="4">
        <f t="shared" ca="1" si="59"/>
        <v>2.9006833369079905E-3</v>
      </c>
      <c r="Q249" s="4">
        <f t="shared" ca="1" si="59"/>
        <v>-1.8389035546618464E-2</v>
      </c>
    </row>
    <row r="250" spans="1:17">
      <c r="A250" t="s">
        <v>260</v>
      </c>
      <c r="B250" s="1">
        <v>513.53</v>
      </c>
      <c r="C250" s="4">
        <f t="shared" si="50"/>
        <v>1.6770284718647232E-2</v>
      </c>
      <c r="D250" s="4">
        <f t="shared" ca="1" si="58"/>
        <v>1.119179371263735E-2</v>
      </c>
      <c r="E250" s="4">
        <f t="shared" ca="1" si="58"/>
        <v>-1.0615614114646092E-2</v>
      </c>
      <c r="F250" s="4">
        <f t="shared" ca="1" si="58"/>
        <v>-1.4584712579386667E-2</v>
      </c>
      <c r="G250" s="4">
        <f t="shared" ca="1" si="58"/>
        <v>-1.6004594972346419E-2</v>
      </c>
      <c r="H250" s="4">
        <f t="shared" ca="1" si="58"/>
        <v>-2.7614337577161613E-2</v>
      </c>
      <c r="J250" t="s">
        <v>260</v>
      </c>
      <c r="K250" s="1">
        <v>266.43</v>
      </c>
      <c r="L250" s="4">
        <f t="shared" si="51"/>
        <v>3.9686256146101682E-2</v>
      </c>
      <c r="M250" s="4">
        <f t="shared" ca="1" si="59"/>
        <v>9.1476728646853935E-3</v>
      </c>
      <c r="N250" s="4">
        <f t="shared" ca="1" si="59"/>
        <v>1.4108758622001226E-2</v>
      </c>
      <c r="O250" s="4">
        <f t="shared" ca="1" si="59"/>
        <v>3.5170122805996645E-3</v>
      </c>
      <c r="P250" s="4">
        <f t="shared" ca="1" si="59"/>
        <v>-9.7557333526915903E-3</v>
      </c>
      <c r="Q250" s="4">
        <f t="shared" ca="1" si="59"/>
        <v>-4.7082119354581176E-3</v>
      </c>
    </row>
    <row r="251" spans="1:17">
      <c r="A251" t="s">
        <v>261</v>
      </c>
      <c r="B251" s="1">
        <v>507.29</v>
      </c>
      <c r="C251" s="4">
        <f t="shared" si="50"/>
        <v>-1.2151188830253252E-2</v>
      </c>
      <c r="D251" s="4">
        <f t="shared" ca="1" si="58"/>
        <v>-1.234027832612045E-2</v>
      </c>
      <c r="E251" s="4">
        <f t="shared" ca="1" si="58"/>
        <v>-2.1238769895139155E-3</v>
      </c>
      <c r="F251" s="4">
        <f t="shared" ca="1" si="58"/>
        <v>-1.4893990385154404E-3</v>
      </c>
      <c r="G251" s="4">
        <f t="shared" ca="1" si="58"/>
        <v>-1.8078231820608533E-2</v>
      </c>
      <c r="H251" s="4">
        <f t="shared" ca="1" si="58"/>
        <v>4.3667880755701109E-3</v>
      </c>
      <c r="J251" t="s">
        <v>261</v>
      </c>
      <c r="K251" s="1">
        <v>259.77</v>
      </c>
      <c r="L251" s="4">
        <f t="shared" si="51"/>
        <v>-2.4997185001689091E-2</v>
      </c>
      <c r="M251" s="4">
        <f t="shared" ca="1" si="59"/>
        <v>2.0506450286194987E-2</v>
      </c>
      <c r="N251" s="4">
        <f t="shared" ca="1" si="59"/>
        <v>-1.4056697425551152E-2</v>
      </c>
      <c r="O251" s="4">
        <f t="shared" ca="1" si="59"/>
        <v>-1.9124473073995764E-2</v>
      </c>
      <c r="P251" s="4">
        <f t="shared" ca="1" si="59"/>
        <v>-6.0563015260175761E-2</v>
      </c>
      <c r="Q251" s="4">
        <f t="shared" ca="1" si="59"/>
        <v>4.1373876154857693E-3</v>
      </c>
    </row>
    <row r="252" spans="1:17">
      <c r="A252" t="s">
        <v>262</v>
      </c>
      <c r="B252" s="1">
        <v>501.02</v>
      </c>
      <c r="C252" s="4">
        <f t="shared" si="50"/>
        <v>-1.2359794200555971E-2</v>
      </c>
      <c r="D252" s="4">
        <f t="shared" ca="1" si="58"/>
        <v>-2.7444115224033856E-2</v>
      </c>
      <c r="E252" s="4">
        <f t="shared" ca="1" si="58"/>
        <v>-5.4389224141055533E-3</v>
      </c>
      <c r="F252" s="4">
        <f t="shared" ca="1" si="58"/>
        <v>2.1328518302138218E-2</v>
      </c>
      <c r="G252" s="4">
        <f t="shared" ca="1" si="58"/>
        <v>-7.3553496285837143E-3</v>
      </c>
      <c r="H252" s="4">
        <f t="shared" ca="1" si="58"/>
        <v>1.3051605979978594E-2</v>
      </c>
      <c r="J252" t="s">
        <v>262</v>
      </c>
      <c r="K252" s="1">
        <v>254.92</v>
      </c>
      <c r="L252" s="4">
        <f t="shared" si="51"/>
        <v>-1.8670362243523097E-2</v>
      </c>
      <c r="M252" s="4">
        <f t="shared" ca="1" si="59"/>
        <v>1.7225608546302725E-3</v>
      </c>
      <c r="N252" s="4">
        <f t="shared" ca="1" si="59"/>
        <v>1.7183785940974146E-2</v>
      </c>
      <c r="O252" s="4">
        <f t="shared" ca="1" si="59"/>
        <v>-1.3413165729238901E-2</v>
      </c>
      <c r="P252" s="4">
        <f t="shared" ca="1" si="59"/>
        <v>2.5538753749664727E-2</v>
      </c>
      <c r="Q252" s="4">
        <f t="shared" ca="1" si="59"/>
        <v>-1.6248926535421933E-2</v>
      </c>
    </row>
    <row r="253" spans="1:17">
      <c r="A253" t="s">
        <v>263</v>
      </c>
      <c r="B253" s="1">
        <v>496.82</v>
      </c>
      <c r="C253" s="4">
        <f t="shared" si="50"/>
        <v>-8.3828988862719826E-3</v>
      </c>
      <c r="D253" s="4">
        <f t="shared" ca="1" si="58"/>
        <v>-1.2654887042216973E-2</v>
      </c>
      <c r="E253" s="4">
        <f t="shared" ca="1" si="58"/>
        <v>2.0078061197459037E-3</v>
      </c>
      <c r="F253" s="4">
        <f t="shared" ca="1" si="58"/>
        <v>-2.7879007265615666E-2</v>
      </c>
      <c r="G253" s="4">
        <f t="shared" ca="1" si="58"/>
        <v>-1.3485707306238255E-2</v>
      </c>
      <c r="H253" s="4">
        <f t="shared" ca="1" si="58"/>
        <v>-7.0604749275914071E-3</v>
      </c>
      <c r="J253" t="s">
        <v>263</v>
      </c>
      <c r="K253" s="1">
        <v>254.98</v>
      </c>
      <c r="L253" s="4">
        <f t="shared" si="51"/>
        <v>2.3536795857524823E-4</v>
      </c>
      <c r="M253" s="4">
        <f t="shared" ca="1" si="59"/>
        <v>3.9181080095030476E-4</v>
      </c>
      <c r="N253" s="4">
        <f t="shared" ca="1" si="59"/>
        <v>-7.4987506169326527E-3</v>
      </c>
      <c r="O253" s="4">
        <f t="shared" ca="1" si="59"/>
        <v>-8.1814112395711073E-3</v>
      </c>
      <c r="P253" s="4">
        <f t="shared" ca="1" si="59"/>
        <v>8.1054474516482206E-3</v>
      </c>
      <c r="Q253" s="4">
        <f t="shared" ca="1" si="59"/>
        <v>5.3598143976179621E-3</v>
      </c>
    </row>
    <row r="254" spans="1:17">
      <c r="A254" t="s">
        <v>264</v>
      </c>
      <c r="B254" s="1">
        <v>510.12</v>
      </c>
      <c r="C254" s="4">
        <f t="shared" si="50"/>
        <v>2.6770258846262249E-2</v>
      </c>
      <c r="D254" s="4">
        <f t="shared" ca="1" si="58"/>
        <v>3.2828201614332808E-2</v>
      </c>
      <c r="E254" s="4">
        <f t="shared" ca="1" si="58"/>
        <v>-2.9248956868501846E-2</v>
      </c>
      <c r="F254" s="4">
        <f t="shared" ca="1" si="58"/>
        <v>-1.6393342499860727E-2</v>
      </c>
      <c r="G254" s="4">
        <f t="shared" ca="1" si="58"/>
        <v>2.4191339164168161E-3</v>
      </c>
      <c r="H254" s="4">
        <f t="shared" ca="1" si="58"/>
        <v>2.3620953419573008E-2</v>
      </c>
      <c r="J254" t="s">
        <v>264</v>
      </c>
      <c r="K254" s="1">
        <v>258.89999999999998</v>
      </c>
      <c r="L254" s="4">
        <f t="shared" si="51"/>
        <v>1.5373754804298327E-2</v>
      </c>
      <c r="M254" s="4">
        <f t="shared" ca="1" si="59"/>
        <v>-5.376519832027327E-3</v>
      </c>
      <c r="N254" s="4">
        <f t="shared" ca="1" si="59"/>
        <v>2.8951872815541906E-3</v>
      </c>
      <c r="O254" s="4">
        <f t="shared" ca="1" si="59"/>
        <v>2.3402085502929857E-2</v>
      </c>
      <c r="P254" s="4">
        <f t="shared" ca="1" si="59"/>
        <v>4.0542011566455018E-2</v>
      </c>
      <c r="Q254" s="4">
        <f t="shared" ca="1" si="59"/>
        <v>2.0602859699796462E-2</v>
      </c>
    </row>
    <row r="255" spans="1:17">
      <c r="A255" t="s">
        <v>265</v>
      </c>
      <c r="B255" s="1">
        <v>499.7</v>
      </c>
      <c r="C255" s="4">
        <f t="shared" si="50"/>
        <v>-2.0426566298125962E-2</v>
      </c>
      <c r="D255" s="4">
        <f t="shared" ca="1" si="58"/>
        <v>-1.2459238242210553E-2</v>
      </c>
      <c r="E255" s="4">
        <f t="shared" ca="1" si="58"/>
        <v>1.2798924069641863E-2</v>
      </c>
      <c r="F255" s="4">
        <f t="shared" ca="1" si="58"/>
        <v>1.9753697164896049E-2</v>
      </c>
      <c r="G255" s="4">
        <f t="shared" ca="1" si="58"/>
        <v>1.2437760997644936E-2</v>
      </c>
      <c r="H255" s="4">
        <f t="shared" ca="1" si="58"/>
        <v>4.3501906284298335E-2</v>
      </c>
      <c r="J255" t="s">
        <v>265</v>
      </c>
      <c r="K255" s="1">
        <v>258.51</v>
      </c>
      <c r="L255" s="4">
        <f t="shared" si="51"/>
        <v>-1.5063731170335511E-3</v>
      </c>
      <c r="M255" s="4">
        <f t="shared" ca="1" si="59"/>
        <v>2.0951213708449181E-2</v>
      </c>
      <c r="N255" s="4">
        <f t="shared" ca="1" si="59"/>
        <v>1.9268536170392116E-2</v>
      </c>
      <c r="O255" s="4">
        <f t="shared" ca="1" si="59"/>
        <v>-2.1722416593514902E-2</v>
      </c>
      <c r="P255" s="4">
        <f t="shared" ca="1" si="59"/>
        <v>2.4421099287243238E-2</v>
      </c>
      <c r="Q255" s="4">
        <f t="shared" ca="1" si="59"/>
        <v>-3.3503918724327959E-2</v>
      </c>
    </row>
    <row r="256" spans="1:17">
      <c r="A256" t="s">
        <v>266</v>
      </c>
      <c r="B256" s="1">
        <v>493.95</v>
      </c>
      <c r="C256" s="4">
        <f t="shared" si="50"/>
        <v>-1.1506904142485492E-2</v>
      </c>
      <c r="D256" s="4">
        <f t="shared" ref="D256:H265" ca="1" si="60">NORMINV(RAND(), $C$6, $C$7)</f>
        <v>-1.554700764417394E-2</v>
      </c>
      <c r="E256" s="4">
        <f t="shared" ca="1" si="60"/>
        <v>7.5420239149731607E-3</v>
      </c>
      <c r="F256" s="4">
        <f t="shared" ca="1" si="60"/>
        <v>1.3444278364043421E-2</v>
      </c>
      <c r="G256" s="4">
        <f t="shared" ca="1" si="60"/>
        <v>8.3048989262758093E-3</v>
      </c>
      <c r="H256" s="4">
        <f t="shared" ca="1" si="60"/>
        <v>-1.7950991212309989E-2</v>
      </c>
      <c r="J256" t="s">
        <v>266</v>
      </c>
      <c r="K256" s="1">
        <v>256.97000000000003</v>
      </c>
      <c r="L256" s="4">
        <f t="shared" si="51"/>
        <v>-5.9572163552665805E-3</v>
      </c>
      <c r="M256" s="4">
        <f t="shared" ref="M256:Q265" ca="1" si="61">NORMINV(RAND(), $L$6, $L$7)</f>
        <v>6.6835146859540945E-3</v>
      </c>
      <c r="N256" s="4">
        <f t="shared" ca="1" si="61"/>
        <v>1.9510298418269446E-2</v>
      </c>
      <c r="O256" s="4">
        <f t="shared" ca="1" si="61"/>
        <v>-2.705536718168353E-2</v>
      </c>
      <c r="P256" s="4">
        <f t="shared" ca="1" si="61"/>
        <v>8.1673655787441266E-3</v>
      </c>
      <c r="Q256" s="4">
        <f t="shared" ca="1" si="61"/>
        <v>-1.7084058983046196E-2</v>
      </c>
    </row>
    <row r="257" spans="1:17">
      <c r="A257" t="s">
        <v>267</v>
      </c>
      <c r="B257" s="1">
        <v>491.65</v>
      </c>
      <c r="C257" s="4">
        <f t="shared" si="50"/>
        <v>-4.6563417349934433E-3</v>
      </c>
      <c r="D257" s="4">
        <f t="shared" ca="1" si="60"/>
        <v>1.7704233254828519E-2</v>
      </c>
      <c r="E257" s="4">
        <f t="shared" ca="1" si="60"/>
        <v>-2.5515960272318058E-2</v>
      </c>
      <c r="F257" s="4">
        <f t="shared" ca="1" si="60"/>
        <v>-3.7943761082974556E-3</v>
      </c>
      <c r="G257" s="4">
        <f t="shared" ca="1" si="60"/>
        <v>1.5456072058555061E-2</v>
      </c>
      <c r="H257" s="4">
        <f t="shared" ca="1" si="60"/>
        <v>8.3768018662270139E-4</v>
      </c>
      <c r="J257" t="s">
        <v>267</v>
      </c>
      <c r="K257" s="1">
        <v>252.4</v>
      </c>
      <c r="L257" s="4">
        <f t="shared" si="51"/>
        <v>-1.7784177141300622E-2</v>
      </c>
      <c r="M257" s="4">
        <f t="shared" ca="1" si="61"/>
        <v>8.303446157505617E-3</v>
      </c>
      <c r="N257" s="4">
        <f t="shared" ca="1" si="61"/>
        <v>1.4391562132610442E-2</v>
      </c>
      <c r="O257" s="4">
        <f t="shared" ca="1" si="61"/>
        <v>2.1322717706275265E-2</v>
      </c>
      <c r="P257" s="4">
        <f t="shared" ca="1" si="61"/>
        <v>1.6613003215911793E-2</v>
      </c>
      <c r="Q257" s="4">
        <f t="shared" ca="1" si="61"/>
        <v>1.2462919524133774E-2</v>
      </c>
    </row>
    <row r="258" spans="1:17">
      <c r="A258" t="s">
        <v>268</v>
      </c>
      <c r="B258" s="1">
        <v>492.44</v>
      </c>
      <c r="C258" s="4">
        <f t="shared" si="50"/>
        <v>1.6068341299705492E-3</v>
      </c>
      <c r="D258" s="4">
        <f t="shared" ca="1" si="60"/>
        <v>-1.7269249871557112E-2</v>
      </c>
      <c r="E258" s="4">
        <f t="shared" ca="1" si="60"/>
        <v>-6.344832877413273E-3</v>
      </c>
      <c r="F258" s="4">
        <f t="shared" ca="1" si="60"/>
        <v>1.6297680293700659E-2</v>
      </c>
      <c r="G258" s="4">
        <f t="shared" ca="1" si="60"/>
        <v>1.2466684901145228E-2</v>
      </c>
      <c r="H258" s="4">
        <f t="shared" ca="1" si="60"/>
        <v>-3.0957137885461992E-3</v>
      </c>
      <c r="J258" t="s">
        <v>268</v>
      </c>
      <c r="K258" s="1">
        <v>251.89</v>
      </c>
      <c r="L258" s="4">
        <f t="shared" si="51"/>
        <v>-2.0206022187005518E-3</v>
      </c>
      <c r="M258" s="4">
        <f t="shared" ca="1" si="61"/>
        <v>-1.6964821228004932E-2</v>
      </c>
      <c r="N258" s="4">
        <f t="shared" ca="1" si="61"/>
        <v>1.2882530186280499E-2</v>
      </c>
      <c r="O258" s="4">
        <f t="shared" ca="1" si="61"/>
        <v>2.1989937768584617E-2</v>
      </c>
      <c r="P258" s="4">
        <f t="shared" ca="1" si="61"/>
        <v>-1.5289983420931964E-5</v>
      </c>
      <c r="Q258" s="4">
        <f t="shared" ca="1" si="61"/>
        <v>7.1691322848671741E-3</v>
      </c>
    </row>
    <row r="259" spans="1:17">
      <c r="A259" t="s">
        <v>269</v>
      </c>
      <c r="B259" s="1">
        <v>495.63</v>
      </c>
      <c r="C259" s="4">
        <f t="shared" si="50"/>
        <v>6.477946551864182E-3</v>
      </c>
      <c r="D259" s="4">
        <f t="shared" ca="1" si="60"/>
        <v>-3.0707887613961194E-2</v>
      </c>
      <c r="E259" s="4">
        <f t="shared" ca="1" si="60"/>
        <v>-3.131931824146682E-3</v>
      </c>
      <c r="F259" s="4">
        <f t="shared" ca="1" si="60"/>
        <v>-5.6415418050946081E-3</v>
      </c>
      <c r="G259" s="4">
        <f t="shared" ca="1" si="60"/>
        <v>2.4211704685982407E-2</v>
      </c>
      <c r="H259" s="4">
        <f t="shared" ca="1" si="60"/>
        <v>-1.2974950493474554E-2</v>
      </c>
      <c r="J259" t="s">
        <v>269</v>
      </c>
      <c r="K259" s="1">
        <v>256.77999999999997</v>
      </c>
      <c r="L259" s="4">
        <f t="shared" si="51"/>
        <v>1.9413235936321358E-2</v>
      </c>
      <c r="M259" s="4">
        <f t="shared" ca="1" si="61"/>
        <v>7.7244042102783779E-3</v>
      </c>
      <c r="N259" s="4">
        <f t="shared" ca="1" si="61"/>
        <v>-2.8026226265177114E-2</v>
      </c>
      <c r="O259" s="4">
        <f t="shared" ca="1" si="61"/>
        <v>1.1618438296640377E-2</v>
      </c>
      <c r="P259" s="4">
        <f t="shared" ca="1" si="61"/>
        <v>3.2912156961062438E-4</v>
      </c>
      <c r="Q259" s="4">
        <f t="shared" ca="1" si="61"/>
        <v>-1.6068827793212559E-2</v>
      </c>
    </row>
    <row r="260" spans="1:17">
      <c r="A260" t="s">
        <v>270</v>
      </c>
      <c r="B260" s="1">
        <v>505.41</v>
      </c>
      <c r="C260" s="4">
        <f t="shared" si="50"/>
        <v>1.9732461715392592E-2</v>
      </c>
      <c r="D260" s="4">
        <f t="shared" ca="1" si="60"/>
        <v>3.2160563982366698E-2</v>
      </c>
      <c r="E260" s="4">
        <f t="shared" ca="1" si="60"/>
        <v>1.9170876065523101E-2</v>
      </c>
      <c r="F260" s="4">
        <f t="shared" ca="1" si="60"/>
        <v>-4.4652966398512718E-2</v>
      </c>
      <c r="G260" s="4">
        <f t="shared" ca="1" si="60"/>
        <v>-9.9367587312882925E-3</v>
      </c>
      <c r="H260" s="4">
        <f t="shared" ca="1" si="60"/>
        <v>-3.3699912792782415E-2</v>
      </c>
      <c r="J260" t="s">
        <v>270</v>
      </c>
      <c r="K260" s="1">
        <v>253.54</v>
      </c>
      <c r="L260" s="4">
        <f t="shared" si="51"/>
        <v>-1.2617805125009662E-2</v>
      </c>
      <c r="M260" s="4">
        <f t="shared" ca="1" si="61"/>
        <v>1.0642883090939043E-2</v>
      </c>
      <c r="N260" s="4">
        <f t="shared" ca="1" si="61"/>
        <v>-2.7576608729122224E-3</v>
      </c>
      <c r="O260" s="4">
        <f t="shared" ca="1" si="61"/>
        <v>2.190606826342861E-2</v>
      </c>
      <c r="P260" s="4">
        <f t="shared" ca="1" si="61"/>
        <v>1.5325633832964052E-2</v>
      </c>
      <c r="Q260" s="4">
        <f t="shared" ca="1" si="61"/>
        <v>2.9630799525622781E-2</v>
      </c>
    </row>
    <row r="261" spans="1:17">
      <c r="A261" t="s">
        <v>271</v>
      </c>
      <c r="B261" s="1">
        <v>497.12</v>
      </c>
      <c r="C261" s="4">
        <f t="shared" si="50"/>
        <v>-1.6402524682930731E-2</v>
      </c>
      <c r="D261" s="4">
        <f t="shared" ca="1" si="60"/>
        <v>6.689764043076191E-3</v>
      </c>
      <c r="E261" s="4">
        <f t="shared" ca="1" si="60"/>
        <v>-3.4732509794203094E-2</v>
      </c>
      <c r="F261" s="4">
        <f t="shared" ca="1" si="60"/>
        <v>4.8352030288174169E-3</v>
      </c>
      <c r="G261" s="4">
        <f t="shared" ca="1" si="60"/>
        <v>5.9972504558359176E-4</v>
      </c>
      <c r="H261" s="4">
        <f t="shared" ca="1" si="60"/>
        <v>6.5819935386418763E-3</v>
      </c>
      <c r="J261" t="s">
        <v>271</v>
      </c>
      <c r="K261" s="1">
        <v>248.42</v>
      </c>
      <c r="L261" s="4">
        <f t="shared" si="51"/>
        <v>-2.0194052220556934E-2</v>
      </c>
      <c r="M261" s="4">
        <f t="shared" ca="1" si="61"/>
        <v>1.0069917098568439E-3</v>
      </c>
      <c r="N261" s="4">
        <f t="shared" ca="1" si="61"/>
        <v>2.2967970265547515E-2</v>
      </c>
      <c r="O261" s="4">
        <f t="shared" ca="1" si="61"/>
        <v>-1.2662924904090666E-2</v>
      </c>
      <c r="P261" s="4">
        <f t="shared" ca="1" si="61"/>
        <v>1.5314272867243685E-2</v>
      </c>
      <c r="Q261" s="4">
        <f t="shared" ca="1" si="61"/>
        <v>1.4780489241759068E-2</v>
      </c>
    </row>
    <row r="262" spans="1:17">
      <c r="A262" t="s">
        <v>272</v>
      </c>
      <c r="B262" s="1">
        <v>490.3</v>
      </c>
      <c r="C262" s="4">
        <f t="shared" si="50"/>
        <v>-1.3719021564209835E-2</v>
      </c>
      <c r="D262" s="4">
        <f t="shared" ca="1" si="60"/>
        <v>2.0564816176811107E-2</v>
      </c>
      <c r="E262" s="4">
        <f t="shared" ca="1" si="60"/>
        <v>1.6389005540792263E-2</v>
      </c>
      <c r="F262" s="4">
        <f t="shared" ca="1" si="60"/>
        <v>-4.3093361881188799E-2</v>
      </c>
      <c r="G262" s="4">
        <f t="shared" ca="1" si="60"/>
        <v>-4.0486734126924471E-3</v>
      </c>
      <c r="H262" s="4">
        <f t="shared" ca="1" si="60"/>
        <v>-1.0948851314911102E-3</v>
      </c>
      <c r="J262" t="s">
        <v>272</v>
      </c>
      <c r="K262" s="1">
        <v>245.96</v>
      </c>
      <c r="L262" s="4">
        <f t="shared" si="51"/>
        <v>-9.9025843329843804E-3</v>
      </c>
      <c r="M262" s="4">
        <f t="shared" ca="1" si="61"/>
        <v>3.1837929369529921E-2</v>
      </c>
      <c r="N262" s="4">
        <f t="shared" ca="1" si="61"/>
        <v>2.315660958290398E-2</v>
      </c>
      <c r="O262" s="4">
        <f t="shared" ca="1" si="61"/>
        <v>-1.4697636621385875E-2</v>
      </c>
      <c r="P262" s="4">
        <f t="shared" ca="1" si="61"/>
        <v>-9.6566069346981451E-3</v>
      </c>
      <c r="Q262" s="4">
        <f t="shared" ca="1" si="61"/>
        <v>1.5967227387191151E-2</v>
      </c>
    </row>
    <row r="263" spans="1:17">
      <c r="A263" t="s">
        <v>273</v>
      </c>
      <c r="B263" s="1">
        <v>497.75</v>
      </c>
      <c r="C263" s="4">
        <f t="shared" si="50"/>
        <v>1.5194778706914111E-2</v>
      </c>
      <c r="D263" s="4">
        <f t="shared" ca="1" si="60"/>
        <v>-3.6495986371419938E-2</v>
      </c>
      <c r="E263" s="4">
        <f t="shared" ca="1" si="60"/>
        <v>-1.9165666305438742E-2</v>
      </c>
      <c r="F263" s="4">
        <f t="shared" ca="1" si="60"/>
        <v>-8.1354965824070556E-3</v>
      </c>
      <c r="G263" s="4">
        <f t="shared" ca="1" si="60"/>
        <v>-4.5793536929296906E-3</v>
      </c>
      <c r="H263" s="4">
        <f t="shared" ca="1" si="60"/>
        <v>2.8326874969598713E-4</v>
      </c>
      <c r="J263" t="s">
        <v>273</v>
      </c>
      <c r="K263" s="1">
        <v>251.19</v>
      </c>
      <c r="L263" s="4">
        <f t="shared" si="51"/>
        <v>2.1263620100829359E-2</v>
      </c>
      <c r="M263" s="4">
        <f t="shared" ca="1" si="61"/>
        <v>-1.4827843067096053E-2</v>
      </c>
      <c r="N263" s="4">
        <f t="shared" ca="1" si="61"/>
        <v>1.7794820806663479E-3</v>
      </c>
      <c r="O263" s="4">
        <f t="shared" ca="1" si="61"/>
        <v>8.1841215921972538E-3</v>
      </c>
      <c r="P263" s="4">
        <f t="shared" ca="1" si="61"/>
        <v>-2.3515018391463055E-2</v>
      </c>
      <c r="Q263" s="4">
        <f t="shared" ca="1" si="61"/>
        <v>2.897419490639709E-3</v>
      </c>
    </row>
    <row r="264" spans="1:17">
      <c r="A264" t="s">
        <v>274</v>
      </c>
      <c r="B264" s="1">
        <v>493.78</v>
      </c>
      <c r="C264" s="4">
        <f t="shared" si="50"/>
        <v>-7.9758915118031681E-3</v>
      </c>
      <c r="D264" s="4">
        <f t="shared" ca="1" si="60"/>
        <v>-7.6673817575908972E-3</v>
      </c>
      <c r="E264" s="4">
        <f t="shared" ca="1" si="60"/>
        <v>-1.7692318572556712E-2</v>
      </c>
      <c r="F264" s="4">
        <f t="shared" ca="1" si="60"/>
        <v>-3.8178245099078408E-3</v>
      </c>
      <c r="G264" s="4">
        <f t="shared" ca="1" si="60"/>
        <v>-1.6941468065422252E-2</v>
      </c>
      <c r="H264" s="4">
        <f t="shared" ca="1" si="60"/>
        <v>-1.6368073280797646E-2</v>
      </c>
      <c r="J264" t="s">
        <v>274</v>
      </c>
      <c r="K264" s="1">
        <v>253.71</v>
      </c>
      <c r="L264" s="4">
        <f t="shared" si="51"/>
        <v>1.0032246506628489E-2</v>
      </c>
      <c r="M264" s="4">
        <f t="shared" ca="1" si="61"/>
        <v>4.2905925094658827E-2</v>
      </c>
      <c r="N264" s="4">
        <f t="shared" ca="1" si="61"/>
        <v>3.1153160239030357E-3</v>
      </c>
      <c r="O264" s="4">
        <f t="shared" ca="1" si="61"/>
        <v>7.6854574016829809E-3</v>
      </c>
      <c r="P264" s="4">
        <f t="shared" ca="1" si="61"/>
        <v>-2.9523628911537387E-2</v>
      </c>
      <c r="Q264" s="4">
        <f t="shared" ca="1" si="61"/>
        <v>3.7473322632736776E-2</v>
      </c>
    </row>
    <row r="265" spans="1:17">
      <c r="A265" t="s">
        <v>275</v>
      </c>
      <c r="B265" s="1">
        <v>501.61</v>
      </c>
      <c r="C265" s="4">
        <f t="shared" si="50"/>
        <v>1.5857264368747299E-2</v>
      </c>
      <c r="D265" s="4">
        <f t="shared" ca="1" si="60"/>
        <v>3.5191979481769622E-2</v>
      </c>
      <c r="E265" s="4">
        <f t="shared" ca="1" si="60"/>
        <v>-4.8418015612737208E-3</v>
      </c>
      <c r="F265" s="4">
        <f t="shared" ca="1" si="60"/>
        <v>1.6460076435413217E-4</v>
      </c>
      <c r="G265" s="4">
        <f t="shared" ca="1" si="60"/>
        <v>1.3731531194929652E-2</v>
      </c>
      <c r="H265" s="4">
        <f t="shared" ca="1" si="60"/>
        <v>-1.6025010666001441E-2</v>
      </c>
      <c r="J265" t="s">
        <v>275</v>
      </c>
      <c r="K265" s="1">
        <v>258.45</v>
      </c>
      <c r="L265" s="4">
        <f t="shared" si="51"/>
        <v>1.8682748019392143E-2</v>
      </c>
      <c r="M265" s="4">
        <f t="shared" ca="1" si="61"/>
        <v>1.9623007097933163E-3</v>
      </c>
      <c r="N265" s="4">
        <f t="shared" ca="1" si="61"/>
        <v>4.4710538476085034E-3</v>
      </c>
      <c r="O265" s="4">
        <f t="shared" ca="1" si="61"/>
        <v>2.2571977652626009E-2</v>
      </c>
      <c r="P265" s="4">
        <f t="shared" ca="1" si="61"/>
        <v>-1.5338455592075358E-2</v>
      </c>
      <c r="Q265" s="4">
        <f t="shared" ca="1" si="61"/>
        <v>-4.9050580276174338E-3</v>
      </c>
    </row>
  </sheetData>
  <mergeCells count="8">
    <mergeCell ref="S25:V26"/>
    <mergeCell ref="J13:Q13"/>
    <mergeCell ref="S28:V29"/>
    <mergeCell ref="S19:V20"/>
    <mergeCell ref="S22:V23"/>
    <mergeCell ref="S2:V2"/>
    <mergeCell ref="S17:V17"/>
    <mergeCell ref="A13:H13"/>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TUGAS 1</vt:lpstr>
      <vt:lpstr>TUGAS 2</vt:lpstr>
      <vt:lpstr>TUGAS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Geovany Bramanthya Samuel Sihombing</cp:lastModifiedBy>
  <dcterms:created xsi:type="dcterms:W3CDTF">2026-09-22T05:00:36Z</dcterms:created>
  <dcterms:modified xsi:type="dcterms:W3CDTF">2026-09-22T05:00:43Z</dcterms:modified>
</cp:coreProperties>
</file>